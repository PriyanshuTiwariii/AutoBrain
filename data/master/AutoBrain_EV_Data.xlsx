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Engine_Variants" sheetId="3" state="visible" r:id="rId5"/>
    <sheet name="Variant_Ladder" sheetId="4" state="visible" r:id="rId6"/>
    <sheet name="Test_Cases" sheetId="5" state="visible" r:id="rId7"/>
    <sheet name="Engine_Rules" sheetId="6" state="visible" r:id="rId8"/>
    <sheet name="Variants" sheetId="7" state="visible" r:id="rId9"/>
    <sheet name="Features" sheetId="8" state="visible" r:id="rId10"/>
    <sheet name="Sources" sheetId="9" state="visible" r:id="rId11"/>
    <sheet name="Open_Questions" sheetId="10" state="visible" r:id="rId12"/>
    <sheet name="Feature_List" sheetId="11" state="visible" r:id="rId13"/>
    <sheet name="Accessories" sheetId="12" state="visible" r:id="rId14"/>
  </sheets>
  <definedNames>
    <definedName function="false" hidden="true" localSheetId="11" name="_xlnm._FilterDatabase" vbProcedure="false">Accessories!$A$1:$N$820</definedName>
    <definedName function="false" hidden="true" localSheetId="2" name="_xlnm._FilterDatabase" vbProcedure="false">Engine_Variants!$A$1:$AV$88</definedName>
    <definedName function="false" hidden="true" localSheetId="7" name="_xlnm._FilterDatabase" vbProcedure="false">Features!$A$1:$H$4704</definedName>
    <definedName function="false" hidden="true" localSheetId="3" name="_xlnm._FilterDatabase" vbProcedure="false">Variant_Ladder!$A$1:$J$55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1" authorId="0">
      <text>
        <r>
          <rPr>
            <sz val="10"/>
            <rFont val="Arial"/>
            <family val="2"/>
          </rPr>
          <t xml:space="preserve">Cost per km = blended tariff (Assumptions) / efficiency. Efficiency = independent test where available, else maker real-world claim (see efficiency_basis).</t>
        </r>
      </text>
    </comment>
    <comment ref="Z1" authorId="0">
      <text>
        <r>
          <rPr>
            <sz val="10"/>
            <rFont val="Arial"/>
            <family val="2"/>
          </rPr>
          <t xml:space="preserve">Price + wall charger (if not included) + electricity over the ownership period. Excludes insurance, registration, service, resale. Battery-included rows only.</t>
        </r>
      </text>
    </comment>
    <comment ref="AL1" authorId="0">
      <text>
        <r>
          <rPr>
            <sz val="10"/>
            <rFont val="Arial"/>
            <family val="2"/>
          </rPr>
          <t xml:space="preserve">Estimated minutes of DC fast-charging to add 100 km = 100 / efficiency / average DC power. Average DC power derived from maker's charge time and window.</t>
        </r>
      </text>
    </comment>
  </commentList>
</comments>
</file>

<file path=xl/sharedStrings.xml><?xml version="1.0" encoding="utf-8"?>
<sst xmlns="http://schemas.openxmlformats.org/spreadsheetml/2006/main" count="43947" uniqueCount="3176">
  <si>
    <t xml:space="preserve">AutoBrain EV data: Mahindra (4 models) + Tata (7 models)</t>
  </si>
  <si>
    <t xml:space="preserve">Updated 22 Oct 2026. Specs verified from brochure (S009). All BaaS prices + One battery-included price verified from Mahindra website (S010, S011). Other battery-included prices still need checking.</t>
  </si>
  <si>
    <t xml:space="preserve">DECISION LAYER (new):</t>
  </si>
  <si>
    <t xml:space="preserve">Assumptions: editable tariffs, daily km, years (yellow cells). Engine_Variants: one clean row per variant, numeric fields, running cost and 5-year cost formulas, watch-outs.</t>
  </si>
  <si>
    <t xml:space="preserve">Variant_Ladder: every price step within a model, with exactly what you gain and which gains are factory-only. Engine_Rules: how the engine/LLM must use the data.</t>
  </si>
  <si>
    <t xml:space="preserve">Test_Cases: 6 buyer profiles run through the logic as a sanity check. Range-led ranking puts independently tested range ahead of maker claims.</t>
  </si>
  <si>
    <t xml:space="preserve">What each tab is for</t>
  </si>
  <si>
    <t xml:space="preserve">Variants: one line per variant (trim + battery + pricing type). Core numbers only.</t>
  </si>
  <si>
    <t xml:space="preserve">Features: one line per variant per feature. This is where descriptions go. Never make a new tab per variant.</t>
  </si>
  <si>
    <t xml:space="preserve">Sources: one line per receipt. Every value in Variants and Features points to a source_id here.</t>
  </si>
  <si>
    <t xml:space="preserve">Open_Questions: conflicts and gaps. When two sources disagree, log both here and leave the main cell blank.</t>
  </si>
  <si>
    <t xml:space="preserve">Feature_List: the agreed feature names. Use exactly these names in the Features tab so the data stays comparable.</t>
  </si>
  <si>
    <t xml:space="preserve">How to check against Mahindra's website</t>
  </si>
  <si>
    <t xml:space="preserve">1. Open Mahindra's official BE 6 page and price list. Save it as PDF (Ctrl+P &gt; Save as PDF) and log it in Sources as S007.</t>
  </si>
  <si>
    <t xml:space="preserve">2. In Variants, fill only the YELLOW columns: official_price_inr, official_battery_kwh, official_range_km, checked_by, date_checked. Each trim+battery now has TWO rows: battery included and BaaS.</t>
  </si>
  <si>
    <t xml:space="preserve">3. The match columns fill themselves: 'Match', 'MISMATCH', or blank if you haven't entered the official value yet.</t>
  </si>
  <si>
    <t xml:space="preserve">4. If everything matches, change status to 'verified' and source_id to S007. If not, set 'conflicting' and add a line to Open_Questions.</t>
  </si>
  <si>
    <t xml:space="preserve">5. If a variant isn't on Mahindra's site at all, set status to 'rejected' and say why in notes.</t>
  </si>
  <si>
    <t xml:space="preserve">Accessories tab: genuine accessories per model, with which factory feature (if any) each one substitutes. Only 'same' / 'close' items may be used to justify a lower variant. Aftermarket items are never recommended.</t>
  </si>
  <si>
    <t xml:space="preserve">Body type: column D of Variants (summary) + 'body_type' and 'body_type_maker_wording' lines in Features (with source). Rule: maker's own wording first; if the maker doesn't say, use Autocar India (marked secondary). Never filled from shape.</t>
  </si>
  <si>
    <t xml:space="preserve">Data-quality rules</t>
  </si>
  <si>
    <t xml:space="preserve">1. Keep what a brochure states separate from what's been externally verified. Note the source of every value.</t>
  </si>
  <si>
    <t xml:space="preserve">2. Never infer a missing value. If the document doesn't state it, write 'Not stated in the brochure' and mark it pending.</t>
  </si>
  <si>
    <t xml:space="preserve">3. Never upgrade an ambiguous footnote into a confirmed fact (e.g. 'As per ARAI' is not proof of MIDC Part 1 + Part 2).</t>
  </si>
  <si>
    <t xml:space="preserve">4. Values that come only from an AI transcription or chatbot stay pending until checked against the original document.</t>
  </si>
  <si>
    <t xml:space="preserve">5. Status levels: verified = official source (maker, government). corroborated = no official source found, but 2+ independent secondary sources agree. pending = one source or unconfirmed. conflicting = sources disagree.</t>
  </si>
  <si>
    <t xml:space="preserve">6. Independent test data (Autocar etc.) is stored in separate '_tested' / '_independent' fields and never overwrites maker claims.</t>
  </si>
  <si>
    <t xml:space="preserve">Progress</t>
  </si>
  <si>
    <t xml:space="preserve">Variants in sheet</t>
  </si>
  <si>
    <t xml:space="preserve">Pending</t>
  </si>
  <si>
    <t xml:space="preserve">Verified</t>
  </si>
  <si>
    <t xml:space="preserve">Corroborated</t>
  </si>
  <si>
    <t xml:space="preserve">Conflicting</t>
  </si>
  <si>
    <t xml:space="preserve">Price mismatches found</t>
  </si>
  <si>
    <t xml:space="preserve">Assumption</t>
  </si>
  <si>
    <t xml:space="preserve">Value</t>
  </si>
  <si>
    <t xml:space="preserve">Unit</t>
  </si>
  <si>
    <t xml:space="preserve">Why this default / source</t>
  </si>
  <si>
    <t xml:space="preserve">Home electricity tariff</t>
  </si>
  <si>
    <t xml:space="preserve">₹/kWh</t>
  </si>
  <si>
    <t xml:space="preserve">Typical Delhi residential slab; change for your city/DISCOM</t>
  </si>
  <si>
    <t xml:space="preserve">Public DC fast-charging tariff</t>
  </si>
  <si>
    <t xml:space="preserve">Typical Indian public DC rate (Tata Power, Statiq, ChargeZone range ~₹18-25); verify locally</t>
  </si>
  <si>
    <t xml:space="preserve">Share of charging done on public DC</t>
  </si>
  <si>
    <t xml:space="preserve">fraction</t>
  </si>
  <si>
    <t xml:space="preserve">Most private owners charge at home</t>
  </si>
  <si>
    <t xml:space="preserve">Daily driving</t>
  </si>
  <si>
    <t xml:space="preserve">km/day</t>
  </si>
  <si>
    <t xml:space="preserve">Change to buyer's actual use</t>
  </si>
  <si>
    <t xml:space="preserve">Ownership period</t>
  </si>
  <si>
    <t xml:space="preserve">years</t>
  </si>
  <si>
    <t xml:space="preserve">Typical first-owner horizon</t>
  </si>
  <si>
    <t xml:space="preserve">Annual electricity price increase</t>
  </si>
  <si>
    <t xml:space="preserve">Kept 0 for simplicity; not yet used in formulas</t>
  </si>
  <si>
    <t xml:space="preserve">Edit the yellow cells. Engine_Variants running-cost and 5-year cost columns recalculate from these.</t>
  </si>
  <si>
    <t xml:space="preserve">5-year cost INCLUDES: ex-showroom price + home wall charger (if not included) + electricity.</t>
  </si>
  <si>
    <t xml:space="preserve">EXCLUDES: registration, insurance, service, tyres, financing, resale value, discounts. Not a full TCO.</t>
  </si>
  <si>
    <t xml:space="preserve">variant_key</t>
  </si>
  <si>
    <t xml:space="preserve">sheet_id</t>
  </si>
  <si>
    <t xml:space="preserve">brand</t>
  </si>
  <si>
    <t xml:space="preserve">model</t>
  </si>
  <si>
    <t xml:space="preserve">body_type</t>
  </si>
  <si>
    <t xml:space="preserve">variant</t>
  </si>
  <si>
    <t xml:space="preserve">pricing_type</t>
  </si>
  <si>
    <t xml:space="preserve">price_inr</t>
  </si>
  <si>
    <t xml:space="preserve">price_status</t>
  </si>
  <si>
    <t xml:space="preserve">battery_kwh</t>
  </si>
  <si>
    <t xml:space="preserve">drive</t>
  </si>
  <si>
    <t xml:space="preserve">seats</t>
  </si>
  <si>
    <t xml:space="preserve">seat_options</t>
  </si>
  <si>
    <t xml:space="preserve">range_claimed_km</t>
  </si>
  <si>
    <t xml:space="preserve">range_standard</t>
  </si>
  <si>
    <t xml:space="preserve">range_maker_realworld_km</t>
  </si>
  <si>
    <t xml:space="preserve">range_tested_km</t>
  </si>
  <si>
    <t xml:space="preserve">tested_vs_claim_pct</t>
  </si>
  <si>
    <t xml:space="preserve">efficiency_km_per_kwh</t>
  </si>
  <si>
    <t xml:space="preserve">efficiency_basis</t>
  </si>
  <si>
    <t xml:space="preserve">running_cost_inr_per_km</t>
  </si>
  <si>
    <t xml:space="preserve">energy_cost_period_inr</t>
  </si>
  <si>
    <t xml:space="preserve">charger_included</t>
  </si>
  <si>
    <t xml:space="preserve">charger_cost_inr</t>
  </si>
  <si>
    <t xml:space="preserve">charger_basis</t>
  </si>
  <si>
    <t xml:space="preserve">cost_to_own_period_inr</t>
  </si>
  <si>
    <t xml:space="preserve">boot_l</t>
  </si>
  <si>
    <t xml:space="preserve">ground_clearance_mm</t>
  </si>
  <si>
    <t xml:space="preserve">battery_clearance_mm</t>
  </si>
  <si>
    <t xml:space="preserve">airbags</t>
  </si>
  <si>
    <t xml:space="preserve">esp</t>
  </si>
  <si>
    <t xml:space="preserve">adas</t>
  </si>
  <si>
    <t xml:space="preserve">camera</t>
  </si>
  <si>
    <t xml:space="preserve">sunroof</t>
  </si>
  <si>
    <t xml:space="preserve">ventilated_front</t>
  </si>
  <si>
    <t xml:space="preserve">adaptive_suspension</t>
  </si>
  <si>
    <t xml:space="preserve">dc_max_kw</t>
  </si>
  <si>
    <t xml:space="preserve">dc_avg_kw_est</t>
  </si>
  <si>
    <t xml:space="preserve">minutes_dc_per_100km</t>
  </si>
  <si>
    <t xml:space="preserve">ac_full_hours_7kw</t>
  </si>
  <si>
    <t xml:space="preserve">onboard_ac_kw</t>
  </si>
  <si>
    <t xml:space="preserve">battery_warranty</t>
  </si>
  <si>
    <t xml:space="preserve">ncap_status</t>
  </si>
  <si>
    <t xml:space="preserve">ncap_adult_32</t>
  </si>
  <si>
    <t xml:space="preserve">ncap_child_49</t>
  </si>
  <si>
    <t xml:space="preserve">terrain_modes</t>
  </si>
  <si>
    <t xml:space="preserve">wading_mm</t>
  </si>
  <si>
    <t xml:space="preserve">watch_outs</t>
  </si>
  <si>
    <t xml:space="preserve">MAHINDRA-BE6SPORTEQ-ONE-59</t>
  </si>
  <si>
    <t xml:space="preserve">V001</t>
  </si>
  <si>
    <t xml:space="preserve">Mahindra</t>
  </si>
  <si>
    <t xml:space="preserve">BE 6 SPORTEQ</t>
  </si>
  <si>
    <t xml:space="preserve">SUV</t>
  </si>
  <si>
    <t xml:space="preserve">One 59 kWh</t>
  </si>
  <si>
    <t xml:space="preserve">battery included</t>
  </si>
  <si>
    <t xml:space="preserve">verified</t>
  </si>
  <si>
    <t xml:space="preserve">RWD</t>
  </si>
  <si>
    <t xml:space="preserve">5</t>
  </si>
  <si>
    <t xml:space="preserve">MIDC Part 1 + Part 2</t>
  </si>
  <si>
    <t xml:space="preserve">Maker real-world claim (estimate)</t>
  </si>
  <si>
    <t xml:space="preserve">No</t>
  </si>
  <si>
    <t xml:space="preserve">7.2 kW wall box ₹60,000 (Mahindra XEV 9e/9S pages); BE 6 price assumed same</t>
  </si>
  <si>
    <t xml:space="preserve">Yes</t>
  </si>
  <si>
    <t xml:space="preserve">None</t>
  </si>
  <si>
    <t xml:space="preserve">Rear camera</t>
  </si>
  <si>
    <t xml:space="preserve">Lifetime (1st owner)</t>
  </si>
  <si>
    <t xml:space="preserve">Rated, coverage unconfirmed</t>
  </si>
  <si>
    <t xml:space="preserve">Crash rating may not cover this version; Wall charger not in price (~₹60,000)</t>
  </si>
  <si>
    <t xml:space="preserve">MAHINDRA-BE6SPORTEQ-TWO-59</t>
  </si>
  <si>
    <t xml:space="preserve">V003</t>
  </si>
  <si>
    <t xml:space="preserve">Two 59 kWh</t>
  </si>
  <si>
    <t xml:space="preserve">corroborated</t>
  </si>
  <si>
    <t xml:space="preserve">540°</t>
  </si>
  <si>
    <t xml:space="preserve">Crash rating may not cover this version; Wall charger not in price (~₹60,000); Price corroborated, confirm before buying</t>
  </si>
  <si>
    <t xml:space="preserve">MAHINDRA-BE6SPORTEQ-THREE-59</t>
  </si>
  <si>
    <t xml:space="preserve">V005</t>
  </si>
  <si>
    <t xml:space="preserve">Three 59 kWh</t>
  </si>
  <si>
    <t xml:space="preserve">Panoramic</t>
  </si>
  <si>
    <t xml:space="preserve">MAHINDRA-BE6SPORTEQ-THREE-70</t>
  </si>
  <si>
    <t xml:space="preserve">V007</t>
  </si>
  <si>
    <t xml:space="preserve">Three 70 kWh</t>
  </si>
  <si>
    <t xml:space="preserve">MAHINDRA-BE6SPORTEQ-THREEPLUS-70</t>
  </si>
  <si>
    <t xml:space="preserve">V009</t>
  </si>
  <si>
    <t xml:space="preserve">Three+ 70 kWh</t>
  </si>
  <si>
    <t xml:space="preserve">L2</t>
  </si>
  <si>
    <t xml:space="preserve">MAHINDRA-BE6SPORTEQ-FE-79</t>
  </si>
  <si>
    <t xml:space="preserve">V013</t>
  </si>
  <si>
    <t xml:space="preserve">FE 79 kWh</t>
  </si>
  <si>
    <t xml:space="preserve">Independent test</t>
  </si>
  <si>
    <t xml:space="preserve">Crash rating may not cover this version; Tested range only 63% of claim; Wall charger not in price (~₹60,000); Price corroborated, confirm before buying</t>
  </si>
  <si>
    <t xml:space="preserve">MAHINDRA-BE6SPORTEQ-THREEPLUS-79</t>
  </si>
  <si>
    <t xml:space="preserve">V011</t>
  </si>
  <si>
    <t xml:space="preserve">Three+ 79 kWh</t>
  </si>
  <si>
    <t xml:space="preserve">MAHINDRA-BE6SPORTEQ-FOUR-79</t>
  </si>
  <si>
    <t xml:space="preserve">V015</t>
  </si>
  <si>
    <t xml:space="preserve">Four 79 kWh</t>
  </si>
  <si>
    <t xml:space="preserve">L2+</t>
  </si>
  <si>
    <t xml:space="preserve">MAHINDRA-BE6SPORTEQ-FEFOUR-79</t>
  </si>
  <si>
    <t xml:space="preserve">V017</t>
  </si>
  <si>
    <t xml:space="preserve">FE Four 79 kWh</t>
  </si>
  <si>
    <t xml:space="preserve">Not stated</t>
  </si>
  <si>
    <t xml:space="preserve">MAHINDRA-BE6SPORTEQ-LAUNCHEDITION-79</t>
  </si>
  <si>
    <t xml:space="preserve">V019</t>
  </si>
  <si>
    <t xml:space="preserve">Launch Edition 79 kWh</t>
  </si>
  <si>
    <t xml:space="preserve">MAHINDRA-BE6SPORTEQ-ONE-59-BAAS</t>
  </si>
  <si>
    <t xml:space="preserve">V002</t>
  </si>
  <si>
    <t xml:space="preserve">One 59 kWh BaaS</t>
  </si>
  <si>
    <t xml:space="preserve">BaaS</t>
  </si>
  <si>
    <t xml:space="preserve">Crash rating may not cover this version; BaaS: battery paid via separate loan (up to 8 yrs); not pay-per-km</t>
  </si>
  <si>
    <t xml:space="preserve">MAHINDRA-BE6SPORTEQ-TWO-59-BAAS</t>
  </si>
  <si>
    <t xml:space="preserve">V004</t>
  </si>
  <si>
    <t xml:space="preserve">Two 59 kWh BaaS</t>
  </si>
  <si>
    <t xml:space="preserve">MAHINDRA-BE6SPORTEQ-THREE-59-BAAS</t>
  </si>
  <si>
    <t xml:space="preserve">V006</t>
  </si>
  <si>
    <t xml:space="preserve">Three 59 kWh BaaS</t>
  </si>
  <si>
    <t xml:space="preserve">MAHINDRA-BE6SPORTEQ-THREE-70-BAAS</t>
  </si>
  <si>
    <t xml:space="preserve">V008</t>
  </si>
  <si>
    <t xml:space="preserve">Three 70 kWh BaaS</t>
  </si>
  <si>
    <t xml:space="preserve">MAHINDRA-BE6SPORTEQ-FE-79-BAAS</t>
  </si>
  <si>
    <t xml:space="preserve">V014</t>
  </si>
  <si>
    <t xml:space="preserve">FE 79 kWh BaaS</t>
  </si>
  <si>
    <t xml:space="preserve">Crash rating may not cover this version; Tested range only 63% of claim; BaaS: battery paid via separate loan (up to 8 yrs); not pay-per-km</t>
  </si>
  <si>
    <t xml:space="preserve">MAHINDRA-BE6SPORTEQ-THREEPLUS-70-BAAS</t>
  </si>
  <si>
    <t xml:space="preserve">V010</t>
  </si>
  <si>
    <t xml:space="preserve">Three+ 70 kWh BaaS</t>
  </si>
  <si>
    <t xml:space="preserve">MAHINDRA-BE6SPORTEQ-THREEPLUS-79-BAAS</t>
  </si>
  <si>
    <t xml:space="preserve">V012</t>
  </si>
  <si>
    <t xml:space="preserve">Three+ 79 kWh BaaS</t>
  </si>
  <si>
    <t xml:space="preserve">MAHINDRA-BE6SPORTEQ-FOUR-79-BAAS</t>
  </si>
  <si>
    <t xml:space="preserve">V016</t>
  </si>
  <si>
    <t xml:space="preserve">Four 79 kWh BaaS</t>
  </si>
  <si>
    <t xml:space="preserve">MAHINDRA-BE6SPORTEQ-FEFOUR-79-BAAS</t>
  </si>
  <si>
    <t xml:space="preserve">V018</t>
  </si>
  <si>
    <t xml:space="preserve">FE Four 79 kWh BaaS</t>
  </si>
  <si>
    <t xml:space="preserve">MAHINDRA-BE6SPORTEQ-LAUNCHEDITION-79-BAAS</t>
  </si>
  <si>
    <t xml:space="preserve">V020</t>
  </si>
  <si>
    <t xml:space="preserve">Launch Edition 79 kWh BaaS</t>
  </si>
  <si>
    <t xml:space="preserve">MAHINDRA-XEV9S-PACKONEABOVE-59</t>
  </si>
  <si>
    <t xml:space="preserve">V033</t>
  </si>
  <si>
    <t xml:space="preserve">XEV 9S</t>
  </si>
  <si>
    <t xml:space="preserve">Pack One Above 59 kWh</t>
  </si>
  <si>
    <t xml:space="preserve">7</t>
  </si>
  <si>
    <t xml:space="preserve">7.2 kW wall box ₹60,000 (Mahindra XEV 9e/9S pages)</t>
  </si>
  <si>
    <t xml:space="preserve">Openable panoramic</t>
  </si>
  <si>
    <t xml:space="preserve">Not tested</t>
  </si>
  <si>
    <t xml:space="preserve">No Bharat NCAP crash test; Wall charger not in price (~₹60,000); Price corroborated, confirm before buying</t>
  </si>
  <si>
    <t xml:space="preserve">MAHINDRA-XEV9S-PACKONEABOVE-79</t>
  </si>
  <si>
    <t xml:space="preserve">V035</t>
  </si>
  <si>
    <t xml:space="preserve">Pack One Above 79 kWh</t>
  </si>
  <si>
    <t xml:space="preserve">MAHINDRA-XEV9S-PACKTWOABOVE-70</t>
  </si>
  <si>
    <t xml:space="preserve">V037</t>
  </si>
  <si>
    <t xml:space="preserve">Pack Two Above 70 kWh (7-seater)</t>
  </si>
  <si>
    <t xml:space="preserve">360°</t>
  </si>
  <si>
    <t xml:space="preserve">MAHINDRA-XEV9S-PACKTWOABOVE-70-6S</t>
  </si>
  <si>
    <t xml:space="preserve">V084</t>
  </si>
  <si>
    <t xml:space="preserve">Pack Two Above 70 kWh (6-seater)</t>
  </si>
  <si>
    <t xml:space="preserve">6</t>
  </si>
  <si>
    <t xml:space="preserve">MAHINDRA-XEV9S-PACKTWOABOVE-79</t>
  </si>
  <si>
    <t xml:space="preserve">V039</t>
  </si>
  <si>
    <t xml:space="preserve">Pack Two Above 79 kWh (7-seater)</t>
  </si>
  <si>
    <t xml:space="preserve">MAHINDRA-XEV9S-PACKTWOABOVE-79-6S</t>
  </si>
  <si>
    <t xml:space="preserve">V085</t>
  </si>
  <si>
    <t xml:space="preserve">Pack Two Above 79 kWh (6-seater)</t>
  </si>
  <si>
    <t xml:space="preserve">MAHINDRA-XEV9S-PACKTHREE-79</t>
  </si>
  <si>
    <t xml:space="preserve">V041</t>
  </si>
  <si>
    <t xml:space="preserve">Pack Three 79 kWh (7-seater)</t>
  </si>
  <si>
    <t xml:space="preserve">MAHINDRA-XEV9S-PACKTHREE-79-6S</t>
  </si>
  <si>
    <t xml:space="preserve">V086</t>
  </si>
  <si>
    <t xml:space="preserve">Pack Three 79 kWh (6-seater)</t>
  </si>
  <si>
    <t xml:space="preserve">MAHINDRA-XEV9S-PACKTHREEABOVE-79</t>
  </si>
  <si>
    <t xml:space="preserve">V087</t>
  </si>
  <si>
    <t xml:space="preserve">Pack Three Above 79 kWh (7-seater)</t>
  </si>
  <si>
    <t xml:space="preserve">MAHINDRA-XEV9S-PACKTHREEABOVE-79-6S</t>
  </si>
  <si>
    <t xml:space="preserve">V043</t>
  </si>
  <si>
    <t xml:space="preserve">Pack Three Above 79 kWh (6-seater)</t>
  </si>
  <si>
    <t xml:space="preserve">No Bharat NCAP crash test; Wall charger not in price (~₹60,000)</t>
  </si>
  <si>
    <t xml:space="preserve">MAHINDRA-XEV9S-PACKONEABOVE-59-BAAS</t>
  </si>
  <si>
    <t xml:space="preserve">V034</t>
  </si>
  <si>
    <t xml:space="preserve">Pack One Above 59 kWh BaaS</t>
  </si>
  <si>
    <t xml:space="preserve">No Bharat NCAP crash test; BaaS: battery paid via separate loan (up to 8 yrs); not pay-per-km</t>
  </si>
  <si>
    <t xml:space="preserve">MAHINDRA-XEV9S-PACKONEABOVE-79-BAAS</t>
  </si>
  <si>
    <t xml:space="preserve">V036</t>
  </si>
  <si>
    <t xml:space="preserve">Pack One Above 79 kWh BaaS</t>
  </si>
  <si>
    <t xml:space="preserve">MAHINDRA-XEV9S-PACKTWOABOVE-79-BAAS</t>
  </si>
  <si>
    <t xml:space="preserve">V040</t>
  </si>
  <si>
    <t xml:space="preserve">Pack Two Above 79 kWh BaaS</t>
  </si>
  <si>
    <t xml:space="preserve">6 or 7</t>
  </si>
  <si>
    <t xml:space="preserve">MAHINDRA-XEV9S-PACKTWOABOVE-70-BAAS</t>
  </si>
  <si>
    <t xml:space="preserve">V038</t>
  </si>
  <si>
    <t xml:space="preserve">Pack Two Above 70 kWh BaaS</t>
  </si>
  <si>
    <t xml:space="preserve">MAHINDRA-XEV9S-PACKTHREE-79-BAAS</t>
  </si>
  <si>
    <t xml:space="preserve">V042</t>
  </si>
  <si>
    <t xml:space="preserve">Pack Three 79 kWh BaaS</t>
  </si>
  <si>
    <t xml:space="preserve">MAHINDRA-XEV9S-PACKTHREEABOVE-79-BAAS</t>
  </si>
  <si>
    <t xml:space="preserve">V044</t>
  </si>
  <si>
    <t xml:space="preserve">Pack Three Above 79 kWh BaaS</t>
  </si>
  <si>
    <t xml:space="preserve">MAHINDRA-XEV9E-PACKONE-59</t>
  </si>
  <si>
    <t xml:space="preserve">V021</t>
  </si>
  <si>
    <t xml:space="preserve">XEV 9e</t>
  </si>
  <si>
    <t xml:space="preserve">SUV coupé</t>
  </si>
  <si>
    <t xml:space="preserve">Pack One 59 kWh</t>
  </si>
  <si>
    <t xml:space="preserve">Rated, applies</t>
  </si>
  <si>
    <t xml:space="preserve">Wall charger not in price (~₹60,000)</t>
  </si>
  <si>
    <t xml:space="preserve">MAHINDRA-XEV9E-PACKTWO-59</t>
  </si>
  <si>
    <t xml:space="preserve">V023</t>
  </si>
  <si>
    <t xml:space="preserve">Pack Two 59 kWh</t>
  </si>
  <si>
    <t xml:space="preserve">MAHINDRA-XEV9E-PACKTWO-79</t>
  </si>
  <si>
    <t xml:space="preserve">V025</t>
  </si>
  <si>
    <t xml:space="preserve">Pack Two 79 kWh</t>
  </si>
  <si>
    <t xml:space="preserve">Wall charger not in price (~₹60,000); Price corroborated, confirm before buying</t>
  </si>
  <si>
    <t xml:space="preserve">MAHINDRA-XEV9E-PACKTHREESELECT-59</t>
  </si>
  <si>
    <t xml:space="preserve">V027</t>
  </si>
  <si>
    <t xml:space="preserve">Pack Three Select 59 kWh</t>
  </si>
  <si>
    <t xml:space="preserve">MAHINDRA-XEV9E-CINELUXE-79</t>
  </si>
  <si>
    <t xml:space="preserve">V031</t>
  </si>
  <si>
    <t xml:space="preserve">Cineluxe 79 kWh</t>
  </si>
  <si>
    <t xml:space="preserve">ESP not listed; Wall charger not in price (~₹60,000)</t>
  </si>
  <si>
    <t xml:space="preserve">MAHINDRA-XEV9E-PACKTHREE-79</t>
  </si>
  <si>
    <t xml:space="preserve">V029</t>
  </si>
  <si>
    <t xml:space="preserve">Pack Three 79 kWh</t>
  </si>
  <si>
    <t xml:space="preserve">MAHINDRA-XEV9E-PACKONE-59-BAAS</t>
  </si>
  <si>
    <t xml:space="preserve">V022</t>
  </si>
  <si>
    <t xml:space="preserve">Pack One 59 kWh BaaS</t>
  </si>
  <si>
    <t xml:space="preserve">BaaS: battery paid via separate loan (up to 8 yrs); not pay-per-km</t>
  </si>
  <si>
    <t xml:space="preserve">MAHINDRA-XEV9E-PACKTWO-79-BAAS</t>
  </si>
  <si>
    <t xml:space="preserve">V026</t>
  </si>
  <si>
    <t xml:space="preserve">Pack Two 79 kWh BaaS</t>
  </si>
  <si>
    <t xml:space="preserve">MAHINDRA-XEV9E-CINELUXE-79-BAAS</t>
  </si>
  <si>
    <t xml:space="preserve">V032</t>
  </si>
  <si>
    <t xml:space="preserve">Cineluxe 79 kWh BaaS</t>
  </si>
  <si>
    <t xml:space="preserve">ESP not listed; BaaS: battery paid via separate loan (up to 8 yrs); not pay-per-km</t>
  </si>
  <si>
    <t xml:space="preserve">MAHINDRA-XEV9E-PACKTHREE-79-BAAS</t>
  </si>
  <si>
    <t xml:space="preserve">V030</t>
  </si>
  <si>
    <t xml:space="preserve">MAHINDRA-XEV9E-PACKTWO-59-BAAS</t>
  </si>
  <si>
    <t xml:space="preserve">V024</t>
  </si>
  <si>
    <t xml:space="preserve">Pack Two 59 kWh BaaS</t>
  </si>
  <si>
    <t xml:space="preserve">pending</t>
  </si>
  <si>
    <t xml:space="preserve">BaaS: battery paid via separate loan (up to 8 yrs); not pay-per-km; Price pending, confirm before buying</t>
  </si>
  <si>
    <t xml:space="preserve">MAHINDRA-XEV9E-PACKTHREESELECT-59-BAAS</t>
  </si>
  <si>
    <t xml:space="preserve">V028</t>
  </si>
  <si>
    <t xml:space="preserve">Pack Three Select 59 kWh BaaS</t>
  </si>
  <si>
    <t xml:space="preserve">MAHINDRA-XUV3XOEV-AX5-394</t>
  </si>
  <si>
    <t xml:space="preserve">V045</t>
  </si>
  <si>
    <t xml:space="preserve">XUV 3XO EV</t>
  </si>
  <si>
    <t xml:space="preserve">AX5 39.4 kWh</t>
  </si>
  <si>
    <t xml:space="preserve">FWD</t>
  </si>
  <si>
    <t xml:space="preserve">Assumed ₹60,000 (not published for XUV 3XO EV); 6.6 kW onboard charger limits benefit</t>
  </si>
  <si>
    <t xml:space="preserve">Sunroof</t>
  </si>
  <si>
    <t xml:space="preserve">No Bharat NCAP crash test; Onboard charger 6.6 kW: a 7.2 kW wall box won't charge faster; Wall charger not in price (~₹60,000); Slow DC fast-charging</t>
  </si>
  <si>
    <t xml:space="preserve">MAHINDRA-XUV3XOEV-AX7L-394</t>
  </si>
  <si>
    <t xml:space="preserve">V046</t>
  </si>
  <si>
    <t xml:space="preserve">AX7L 39.4 kWh</t>
  </si>
  <si>
    <t xml:space="preserve">No Bharat NCAP crash test; Onboard charger 6.6 kW: a 7.2 kW wall box won't charge faster; Wall charger not in price (~₹60,000); Price corroborated, confirm before buying; Slow DC fast-charging</t>
  </si>
  <si>
    <t xml:space="preserve">TATA-CURVVEV-ACCOMPLISHEDX55-55</t>
  </si>
  <si>
    <t xml:space="preserve">V059</t>
  </si>
  <si>
    <t xml:space="preserve">Tata</t>
  </si>
  <si>
    <t xml:space="preserve">Curvv.ev</t>
  </si>
  <si>
    <t xml:space="preserve">Accomplished X 55</t>
  </si>
  <si>
    <t xml:space="preserve">Unclear</t>
  </si>
  <si>
    <t xml:space="preserve">Brochure vs website disagree; ₹50,000 assumed</t>
  </si>
  <si>
    <t xml:space="preserve">Passive only</t>
  </si>
  <si>
    <t xml:space="preserve">Wall charger not in price (~₹50,000)</t>
  </si>
  <si>
    <t xml:space="preserve">TATA-CURVVEV-EMPOWEREDX55-55</t>
  </si>
  <si>
    <t xml:space="preserve">V060</t>
  </si>
  <si>
    <t xml:space="preserve">Empowered X 55</t>
  </si>
  <si>
    <t xml:space="preserve">Yes (7.2 kW)</t>
  </si>
  <si>
    <t xml:space="preserve">Included per Tata</t>
  </si>
  <si>
    <t xml:space="preserve">None flagged</t>
  </si>
  <si>
    <t xml:space="preserve">TATA-HARRIEREV-ADVENTURE65-65</t>
  </si>
  <si>
    <t xml:space="preserve">V061</t>
  </si>
  <si>
    <t xml:space="preserve">Harrier.ev</t>
  </si>
  <si>
    <t xml:space="preserve">Adventure 65</t>
  </si>
  <si>
    <t xml:space="preserve">Tata 'ACFC' option price</t>
  </si>
  <si>
    <t xml:space="preserve">No Bharat NCAP crash test; Wall charger not in price (~₹50,000)</t>
  </si>
  <si>
    <t xml:space="preserve">TATA-HARRIEREV-ADVENTURES65-65</t>
  </si>
  <si>
    <t xml:space="preserve">V062</t>
  </si>
  <si>
    <t xml:space="preserve">Adventure S 65</t>
  </si>
  <si>
    <t xml:space="preserve">TATA-HARRIEREV-FEARLESSPLUS65-65</t>
  </si>
  <si>
    <t xml:space="preserve">V063</t>
  </si>
  <si>
    <t xml:space="preserve">Fearless+ 65</t>
  </si>
  <si>
    <t xml:space="preserve">TATA-HARRIEREV-FEARLESSPLUS75-75</t>
  </si>
  <si>
    <t xml:space="preserve">V064</t>
  </si>
  <si>
    <t xml:space="preserve">Fearless+ 75</t>
  </si>
  <si>
    <t xml:space="preserve">TATA-HARRIEREV-FEARLESSPLUSQWD75-75-AWD</t>
  </si>
  <si>
    <t xml:space="preserve">V066</t>
  </si>
  <si>
    <t xml:space="preserve">Fearless+ QWD 75 (AWD)</t>
  </si>
  <si>
    <t xml:space="preserve">AWD</t>
  </si>
  <si>
    <t xml:space="preserve">No Bharat NCAP crash test; Tested range only 64% of claim; Wall charger not in price (~₹50,000)</t>
  </si>
  <si>
    <t xml:space="preserve">TATA-HARRIEREV-EMPOWERED75-75</t>
  </si>
  <si>
    <t xml:space="preserve">V065</t>
  </si>
  <si>
    <t xml:space="preserve">Empowered 75</t>
  </si>
  <si>
    <t xml:space="preserve">TATA-HARRIEREV-EMPOWEREDQWD75-75-AWD</t>
  </si>
  <si>
    <t xml:space="preserve">V067</t>
  </si>
  <si>
    <t xml:space="preserve">Empowered QWD 75 (AWD)</t>
  </si>
  <si>
    <t xml:space="preserve">TATA-NEXONEV-CREATIVEPLUSMR-30</t>
  </si>
  <si>
    <t xml:space="preserve">V047</t>
  </si>
  <si>
    <t xml:space="preserve">Nexon.ev</t>
  </si>
  <si>
    <t xml:space="preserve">Creative+ MR</t>
  </si>
  <si>
    <t xml:space="preserve">Not stated; ₹50,000 assumed (Tata ACFC price)</t>
  </si>
  <si>
    <t xml:space="preserve">8 yrs / 1.6L km</t>
  </si>
  <si>
    <t xml:space="preserve">Crash rating may not cover this version; Battery warranty 8 yrs/1.6L km (not lifetime); Wall charger not in price (~₹50,000); Slow DC fast-charging</t>
  </si>
  <si>
    <t xml:space="preserve">TATA-NEXONEV-FEARLESSMR-30</t>
  </si>
  <si>
    <t xml:space="preserve">V048</t>
  </si>
  <si>
    <t xml:space="preserve">Fearless MR</t>
  </si>
  <si>
    <t xml:space="preserve">TATA-NEXONEV-CREATIVE45-45</t>
  </si>
  <si>
    <t xml:space="preserve">V049</t>
  </si>
  <si>
    <t xml:space="preserve">Creative 45</t>
  </si>
  <si>
    <t xml:space="preserve">TATA-NEXONEV-FEARLESS45-45</t>
  </si>
  <si>
    <t xml:space="preserve">V050</t>
  </si>
  <si>
    <t xml:space="preserve">Fearless 45</t>
  </si>
  <si>
    <t xml:space="preserve">TATA-NEXONEV-EMPOWERED45-45</t>
  </si>
  <si>
    <t xml:space="preserve">V051</t>
  </si>
  <si>
    <t xml:space="preserve">Empowered 45</t>
  </si>
  <si>
    <t xml:space="preserve">TATA-NEXONEV-EMPOWEREDPLUSA45-45</t>
  </si>
  <si>
    <t xml:space="preserve">V052</t>
  </si>
  <si>
    <t xml:space="preserve">Empowered+A 45</t>
  </si>
  <si>
    <t xml:space="preserve">TATA-PUNCHEV-SMART30-30</t>
  </si>
  <si>
    <t xml:space="preserve">V053</t>
  </si>
  <si>
    <t xml:space="preserve">Punch.ev</t>
  </si>
  <si>
    <t xml:space="preserve">Smart 30</t>
  </si>
  <si>
    <t xml:space="preserve">Yes (3.3 kW)</t>
  </si>
  <si>
    <t xml:space="preserve">3.3 kW wall box included (brochure)</t>
  </si>
  <si>
    <t xml:space="preserve">Sensors only</t>
  </si>
  <si>
    <t xml:space="preserve">Battery warranty 8 yrs/1.6L km (not lifetime)</t>
  </si>
  <si>
    <t xml:space="preserve">TATA-PUNCHEV-SMARTPLUS30-30</t>
  </si>
  <si>
    <t xml:space="preserve">V054</t>
  </si>
  <si>
    <t xml:space="preserve">Smart+ 30</t>
  </si>
  <si>
    <t xml:space="preserve">TATA-PUNCHEV-SMARTPLUS40-40</t>
  </si>
  <si>
    <t xml:space="preserve">V055</t>
  </si>
  <si>
    <t xml:space="preserve">Smart+ 40</t>
  </si>
  <si>
    <t xml:space="preserve">Tested range only 65% of claim</t>
  </si>
  <si>
    <t xml:space="preserve">TATA-PUNCHEV-ADVENTURE40-40</t>
  </si>
  <si>
    <t xml:space="preserve">V056</t>
  </si>
  <si>
    <t xml:space="preserve">Adventure 40</t>
  </si>
  <si>
    <t xml:space="preserve">TATA-PUNCHEV-EMPOWERED40-40</t>
  </si>
  <si>
    <t xml:space="preserve">V057</t>
  </si>
  <si>
    <t xml:space="preserve">Empowered 40</t>
  </si>
  <si>
    <t xml:space="preserve">TATA-PUNCHEV-EMPOWEREDPLUSS40-40</t>
  </si>
  <si>
    <t xml:space="preserve">V058</t>
  </si>
  <si>
    <t xml:space="preserve">Empowered+ S 40</t>
  </si>
  <si>
    <t xml:space="preserve">TATA-SIERRAEV-PURE63-63</t>
  </si>
  <si>
    <t xml:space="preserve">V068</t>
  </si>
  <si>
    <t xml:space="preserve">Sierra.ev</t>
  </si>
  <si>
    <t xml:space="preserve">Pure 63</t>
  </si>
  <si>
    <t xml:space="preserve">No Bharat NCAP crash test; Wall charger not in price (~₹49,000)</t>
  </si>
  <si>
    <t xml:space="preserve">TATA-SIERRAEV-PURES63-63</t>
  </si>
  <si>
    <t xml:space="preserve">V069</t>
  </si>
  <si>
    <t xml:space="preserve">Pure S 63</t>
  </si>
  <si>
    <t xml:space="preserve">TATA-SIERRAEV-ADVENTURE63-63</t>
  </si>
  <si>
    <t xml:space="preserve">V070</t>
  </si>
  <si>
    <t xml:space="preserve">Adventure 63</t>
  </si>
  <si>
    <t xml:space="preserve">TATA-SIERRAEV-ADVENTURE75-75</t>
  </si>
  <si>
    <t xml:space="preserve">V071</t>
  </si>
  <si>
    <t xml:space="preserve">Adventure 75</t>
  </si>
  <si>
    <t xml:space="preserve">TATA-SIERRAEV-EMPOWERED63-63</t>
  </si>
  <si>
    <t xml:space="preserve">V072</t>
  </si>
  <si>
    <t xml:space="preserve">Empowered 63</t>
  </si>
  <si>
    <t xml:space="preserve">TATA-SIERRAEV-EMPOWERED75-75</t>
  </si>
  <si>
    <t xml:space="preserve">V073</t>
  </si>
  <si>
    <t xml:space="preserve">TATA-SIERRAEV-EMPOWEREDA75-75</t>
  </si>
  <si>
    <t xml:space="preserve">V074</t>
  </si>
  <si>
    <t xml:space="preserve">Empowered A 75</t>
  </si>
  <si>
    <t xml:space="preserve">TATA-SIERRAEV-EMPOWEREDAQWD75-75-AWD</t>
  </si>
  <si>
    <t xml:space="preserve">V075</t>
  </si>
  <si>
    <t xml:space="preserve">Empowered A QWD 75 (AWD)</t>
  </si>
  <si>
    <t xml:space="preserve">TATA-TIAGOEV-SMART19-192</t>
  </si>
  <si>
    <t xml:space="preserve">V076</t>
  </si>
  <si>
    <t xml:space="preserve">Tiago.ev</t>
  </si>
  <si>
    <t xml:space="preserve">Hatchback</t>
  </si>
  <si>
    <t xml:space="preserve">Smart 19</t>
  </si>
  <si>
    <t xml:space="preserve">ARAI certified (cycle not stated)</t>
  </si>
  <si>
    <t xml:space="preserve">3.3 kW box included; 7.2 kW optional</t>
  </si>
  <si>
    <t xml:space="preserve">Not listed</t>
  </si>
  <si>
    <t xml:space="preserve">ESP not listed; No Bharat NCAP crash test; Battery warranty 8 yrs/1.6L km (not lifetime); Slow DC fast-charging</t>
  </si>
  <si>
    <t xml:space="preserve">TATA-TIAGOEV-PUREPLUS19-192</t>
  </si>
  <si>
    <t xml:space="preserve">V077</t>
  </si>
  <si>
    <t xml:space="preserve">Pure+ 19</t>
  </si>
  <si>
    <t xml:space="preserve">TATA-TIAGOEV-PUREPLUS24-24</t>
  </si>
  <si>
    <t xml:space="preserve">V078</t>
  </si>
  <si>
    <t xml:space="preserve">Pure+ 24</t>
  </si>
  <si>
    <t xml:space="preserve">ESP not listed; No Bharat NCAP crash test; Tested range only 66% of claim; Slow DC fast-charging</t>
  </si>
  <si>
    <t xml:space="preserve">TATA-TIAGOEV-CREATIVEPLUS24-24</t>
  </si>
  <si>
    <t xml:space="preserve">V079</t>
  </si>
  <si>
    <t xml:space="preserve">Creative+ 24</t>
  </si>
  <si>
    <t xml:space="preserve">No Bharat NCAP crash test; Tested range only 66% of claim; Slow DC fast-charging</t>
  </si>
  <si>
    <t xml:space="preserve">TATA-TIGOREV-XE-26</t>
  </si>
  <si>
    <t xml:space="preserve">V080</t>
  </si>
  <si>
    <t xml:space="preserve">Tigor.ev</t>
  </si>
  <si>
    <t xml:space="preserve">Sedan</t>
  </si>
  <si>
    <t xml:space="preserve">XE</t>
  </si>
  <si>
    <t xml:space="preserve">ESP not listed; No Bharat NCAP crash test; Battery warranty 8 yrs/1.6L km (not lifetime); Tested range only 60% of claim; Slow DC fast-charging</t>
  </si>
  <si>
    <t xml:space="preserve">TATA-TIGOREV-XT-26</t>
  </si>
  <si>
    <t xml:space="preserve">V081</t>
  </si>
  <si>
    <t xml:space="preserve">XT</t>
  </si>
  <si>
    <t xml:space="preserve">TATA-TIGOREV-XZPLUS-26</t>
  </si>
  <si>
    <t xml:space="preserve">V082</t>
  </si>
  <si>
    <t xml:space="preserve">XZ+</t>
  </si>
  <si>
    <t xml:space="preserve">TATA-TIGOREV-XZPLUSLUX-26</t>
  </si>
  <si>
    <t xml:space="preserve">V083</t>
  </si>
  <si>
    <t xml:space="preserve">XZ+ Lux</t>
  </si>
  <si>
    <t xml:space="preserve">from_variant</t>
  </si>
  <si>
    <t xml:space="preserve">to_variant</t>
  </si>
  <si>
    <t xml:space="preserve">from_price_inr</t>
  </si>
  <si>
    <t xml:space="preserve">to_price_inr</t>
  </si>
  <si>
    <t xml:space="preserve">extra_cost_inr</t>
  </si>
  <si>
    <t xml:space="preserve">what_you_gain</t>
  </si>
  <si>
    <t xml:space="preserve">what_does_not_change</t>
  </si>
  <si>
    <t xml:space="preserve">factory_only_gains</t>
  </si>
  <si>
    <t xml:space="preserve">note</t>
  </si>
  <si>
    <t xml:space="preserve">Camera: Rear camera → 540°; Audio: 6 speakers → 16-speaker Harman Kardon, Dolby Atmos; Screens: Dual 31.24 cm → Triple 31.24 cm; Wheels: R18 steel, aero covers → R19 Versa steel, aero covers; Climate: Single zone auto, rear AC vents → Dual zone auto, rear AC vents</t>
  </si>
  <si>
    <t xml:space="preserve">None (accessories may cover some)</t>
  </si>
  <si>
    <t xml:space="preserve">Sunroof: None → Panoramic; Vent. seats: No → Yes; Wheels: R19 Versa steel, aero covers → R19 alloy; Powered seat: no → yes (6-way)</t>
  </si>
  <si>
    <t xml:space="preserve">Sunroof, Vent. seats</t>
  </si>
  <si>
    <t xml:space="preserve">Battery kWh: 59 → 70; Range km: 573 → 651</t>
  </si>
  <si>
    <t xml:space="preserve">Battery kWh, Range km</t>
  </si>
  <si>
    <t xml:space="preserve">ADAS: None → L2; Power tailgate: no → yes (gesture)</t>
  </si>
  <si>
    <t xml:space="preserve">ADAS</t>
  </si>
  <si>
    <t xml:space="preserve">Battery kWh: 70 → 79; Range km: 651 → 708; ADAS: L2 → None; Vent. seats: Yes → No; Screens: Triple 31.24 cm → Dual 31.24 cm; Wheels: R19 alloy → R20 alloy; Power tailgate: yes (gesture) → no; Powered seat: yes (6-way) → no; Adaptive suspension: no → yes</t>
  </si>
  <si>
    <t xml:space="preserve">ADAS, Adaptive suspension, Battery kWh, Range km, Vent. seats</t>
  </si>
  <si>
    <t xml:space="preserve">ADAS: None → L2; Vent. seats: No → Yes; Screens: Dual 31.24 cm → Triple 31.24 cm; Wheels: R20 alloy → R19 alloy; Power tailgate: no → yes (gesture); Powered seat: no → yes (6-way); Adaptive suspension: yes → no</t>
  </si>
  <si>
    <t xml:space="preserve">ADAS, Adaptive suspension, Vent. seats</t>
  </si>
  <si>
    <t xml:space="preserve">ADAS: L2 → L2+; HUD: no → yes (AR HUD); Auto park: no → yes; Adaptive suspension: no → yes</t>
  </si>
  <si>
    <t xml:space="preserve">ADAS, Adaptive suspension, HUD</t>
  </si>
  <si>
    <t xml:space="preserve">Vent. seats: Yes → Not stated; Screens: Triple 31.24 cm → Dual 31.24 cm; Wheels: R19 alloy → R20 alloy; Powered seat: yes (6-way) → CHECK</t>
  </si>
  <si>
    <t xml:space="preserve">Vent. seats</t>
  </si>
  <si>
    <t xml:space="preserve">Same price</t>
  </si>
  <si>
    <t xml:space="preserve">Vent. seats: Not stated → Yes; Screens: Dual 31.24 cm → Triple 31.24 cm; Wheels: R20 alloy → R19 alloy; Powered seat: CHECK → yes (6-way)</t>
  </si>
  <si>
    <t xml:space="preserve">ADAS: None → L2; Vent. seats: Passive only → Yes; Charger in box: Unclear → Yes (7.2 kW); Audio: 4 speakers + 4 tweeters → JBL 9 speakers with subwoofer; Screens: 26.03 cm touchscreen + 26.03 cm cockpit → 31.24 cm touchscreen; Power tailgate: no → yes (gesture); Powered seat: — → 6-way powered; App suite: Not listed → Arcade.ev</t>
  </si>
  <si>
    <t xml:space="preserve">ADAS, Vent. seats</t>
  </si>
  <si>
    <t xml:space="preserve">Sunroof: None → Panoramic; Screens: 26.03 cm touchscreen + 26.03 cm cockpit → 31.24 cm touchscreen + 26.03 cm cockpit; App suite: no → Arcade.ev</t>
  </si>
  <si>
    <t xml:space="preserve">Airbags: 6 → 7; Camera: Not stated → 360°; Vent. seats: No → Yes; Audio: Not listed → JBL Black 10 speakers incl. subwoofer; Climate: Single zone FATC → Dual zone FATC, voice assisted; Powered seat: no (8-way manual driver) → yes (6-way powered, memory, welcome retract); Wireless charger: — → yes</t>
  </si>
  <si>
    <t xml:space="preserve">Airbags, Vent. seats</t>
  </si>
  <si>
    <t xml:space="preserve">Battery kWh: 65 → 75; Range km: 538 → 627</t>
  </si>
  <si>
    <t xml:space="preserve">Range km: 627 → 622; Drive: RWD → AWD; Terrain modes: 3 → 6</t>
  </si>
  <si>
    <t xml:space="preserve">Drive, Range km, Terrain modes</t>
  </si>
  <si>
    <t xml:space="preserve">Range km: 622 → 627; Drive: AWD → RWD; ADAS: None → L2; Camera: 360° → 540°; Terrain modes: 6 → 4; Audio: JBL Black 10 speakers incl. subwoofer → JBL Black 10 speakers, Dolby Atmos; Screens: 31.24 cm touchscreen + 26.03 cm cockpit → 36.9 cm (14.53 in) Samsung Neo QLED touchscreen; Auto park: no → yes (15 features incl. Summon, Anywhere Parking); Power tailgate: no → yes (gesture)</t>
  </si>
  <si>
    <t xml:space="preserve">ADAS, Drive, Range km, Terrain modes</t>
  </si>
  <si>
    <t xml:space="preserve">Range km: 627 → 622; Drive: RWD → AWD; Terrain modes: 4 → 6</t>
  </si>
  <si>
    <t xml:space="preserve">Audio: 4 speakers → 4 speakers + 4 tweeters; Screens: 17.78 cm touchscreen → 26.03 cm touchscreen + 26.03 cm cockpit</t>
  </si>
  <si>
    <t xml:space="preserve">Battery kWh: 30 → 45; Range km: 275 → 489; Battery warranty: 8 yrs / 1.6L km → Lifetime (1st owner); Crash test: Rated, coverage unconfirmed → Rated, applies; Audio: 4 speakers + 4 tweeters → 4 speakers; Screens: 26.03 cm touchscreen + 26.03 cm cockpit → 17.78 cm touchscreen; Keyless: — → yes (PEPS)</t>
  </si>
  <si>
    <t xml:space="preserve">Battery kWh, Battery warranty, Range km</t>
  </si>
  <si>
    <t xml:space="preserve">Camera: Rear camera → 360°; Sunroof: None → Sunroof; Audio: 4 speakers + 4 tweeters → JBL audio modes; Upholstery: — → Leatherette; Cruise: — → Standard; Wireless charger: — → yes</t>
  </si>
  <si>
    <t xml:space="preserve">ADAS: None → L2; Sunroof: Sunroof → Panoramic; Vent. seats: No → Yes; Charger in box: Not stated → Yes (7.2 kW); Audio: JBL audio modes → JBL 9-speaker with subwoofer; Screens: 26.03 cm touchscreen + 26.03 cm cockpit → 31.24 cm touchscreen + 26.03 cm cockpit; App suite: no → Arcade.ev</t>
  </si>
  <si>
    <t xml:space="preserve">ADAS, Sunroof, Vent. seats</t>
  </si>
  <si>
    <t xml:space="preserve">Audio: None listed → 4 speakers; Screens: 10.16 cm cluster, no touchscreen → 20.32 cm touchscreen</t>
  </si>
  <si>
    <t xml:space="preserve">Battery kWh: 30 → 40; Range km: 365 → 468; Camera: Sensors only → Rear camera; Battery warranty: 8 yrs / 1.6L km → Lifetime (1st owner)</t>
  </si>
  <si>
    <t xml:space="preserve">Cruise: — → Standard; Keyless: — → yes</t>
  </si>
  <si>
    <t xml:space="preserve">Camera: Rear camera → 360°; Screens: 20.32 cm touchscreen → 26.03 cm touchscreen + 26.03 cm cockpit; Wheels: — → R16 diamond-cut alloy; App suite: no → Arcade.ev 2.0</t>
  </si>
  <si>
    <t xml:space="preserve">Sunroof: None → Sunroof; Vent. seats: No → Yes; Upholstery: — → Leatherette</t>
  </si>
  <si>
    <t xml:space="preserve">Sunroof: None → Panoramic</t>
  </si>
  <si>
    <t xml:space="preserve">Camera: Rear camera → 360°; Terrain modes: None → 4; Audio: 8 speakers (4 + 4 tweeters) → 12 JBL Black speakers, Dolby Atmos; Wireless charger: no → yes; App suite: no → Arcade.ev (30+ apps)</t>
  </si>
  <si>
    <t xml:space="preserve">Terrain modes</t>
  </si>
  <si>
    <t xml:space="preserve">Battery kWh: 63 → 75; Range km: 566 → 665</t>
  </si>
  <si>
    <t xml:space="preserve">Battery kWh: 75 → 63; Range km: 665 → 566; Vent. seats: No → Yes; Screens: 31.24 cm touchscreen + 26.03 cm cockpit → Triple screen (Horizon View); Upholstery: Not stated on site → Leatherette; Climate: Not stated on site → Dual zone DATC; Powered seat: no → yes (6-way powered, memory, welcome)</t>
  </si>
  <si>
    <t xml:space="preserve">Battery kWh, Range km, Vent. seats</t>
  </si>
  <si>
    <t xml:space="preserve">ADAS: None → L2+; Camera: 360° → 540°; HUD: no → yes (HypAR AR HUD); Auto park: no → yes (15 features)</t>
  </si>
  <si>
    <t xml:space="preserve">ADAS, HUD</t>
  </si>
  <si>
    <t xml:space="preserve">Range km: 665 → 624; Drive: RWD → AWD; Terrain modes: 4 → 6</t>
  </si>
  <si>
    <t xml:space="preserve">Camera: Sensors only → Rear camera; Audio: None listed → 4 speakers; Screens: Digital cluster, no touchscreen → 20.32 cm touchscreen; Wheels: R14 steel → R14 steel with wheel covers</t>
  </si>
  <si>
    <t xml:space="preserve">Battery kWh: 19.2 → 24; Range km: 226 → 285; Battery warranty: 8 yrs / 1.6L km → Lifetime (1st owner)</t>
  </si>
  <si>
    <t xml:space="preserve">ESP: Not listed → Yes; Camera: Rear camera → 360°; Screens: 20.32 cm touchscreen → 26.03 cm HD touchscreen; Wheels: R14 steel with wheel covers → R14 Hyperstyle; Cruise: no → Standard; Keyless: no → yes</t>
  </si>
  <si>
    <t xml:space="preserve">ESP</t>
  </si>
  <si>
    <t xml:space="preserve">Audio: None listed → 4 speakers; Screens: None listed → 7-inch touchscreen; Wheels: R14 steel with hub cap → R14 steel with wheel cover</t>
  </si>
  <si>
    <t xml:space="preserve">Camera: Sensors only → Rear camera; Audio: 4 speakers → 8 speakers; Wheels: R14 steel with wheel cover → R14 Hyperstyle; Cruise: no → Standard; Keyless: no → yes (PEPS)</t>
  </si>
  <si>
    <t xml:space="preserve">Upholstery: Fabric (not stated) → Leatherette</t>
  </si>
  <si>
    <t xml:space="preserve">Battery kWh: 59 → 79; Range km: 521 → 679</t>
  </si>
  <si>
    <t xml:space="preserve">Battery kWh: 79 → 70; Range km: 679 → 600; ADAS: None → L2; Camera: Rear camera → 360°; Vent. seats: No → Yes; Audio: 6 speakers → 16-speaker Harman Kardon, Dolby Atmos; Wheels: R18 stylised wheel → R18 alloy; Upholstery: Premium fabric → Leatherette; Climate: Single zone auto, rear AC vents → Dual zone auto, rear AC vents; Powered seat: no (6-way manual) → yes (6-way powered, memory); Cruise: Standard → Adaptive; Wireless charger: None → Front</t>
  </si>
  <si>
    <t xml:space="preserve">ADAS, Battery kWh, Range km, Vent. seats</t>
  </si>
  <si>
    <t xml:space="preserve">Seats: 7 → 6</t>
  </si>
  <si>
    <t xml:space="preserve">Seats</t>
  </si>
  <si>
    <t xml:space="preserve">Captain-seat version</t>
  </si>
  <si>
    <t xml:space="preserve">Battery kWh: 70 → 79; Range km: 600 → 679; Seats: 6 → 7</t>
  </si>
  <si>
    <t xml:space="preserve">Battery kWh, Range km, Seats</t>
  </si>
  <si>
    <t xml:space="preserve">Seats: 6 → 7; Airbags: 6 → 7; ADAS: L2 → L2+; Keyless: no → yes; Wireless charger: Front → Front &amp; rear; Adaptive suspension: no → yes</t>
  </si>
  <si>
    <t xml:space="preserve">ADAS, Adaptive suspension, Airbags, Seats</t>
  </si>
  <si>
    <t xml:space="preserve">Seats: 6 → 7; HUD: no → yes (AR HUD); Auto park: no → yes</t>
  </si>
  <si>
    <t xml:space="preserve">HUD, Seats</t>
  </si>
  <si>
    <t xml:space="preserve">ADAS: None → L2; Audio: 6 speakers → 16-speaker Harman Kardon, Dolby Atmos; Wheels: R19 stylised wheel → R19 alloy; Upholstery: Premium fabric → Leatherette; Climate: Single zone auto, rear AC vents → Dual zone auto, rear AC vents; Powered seat: no (6-way manual) → yes (6-way powered, memory); Cruise: Standard → Adaptive; Wireless charger: None → Front</t>
  </si>
  <si>
    <t xml:space="preserve">Battery kWh: 59 → 79; Range km: 522 → 656</t>
  </si>
  <si>
    <t xml:space="preserve">Battery kWh: 79 → 59; Range km: 656 → 522; Airbags: 6 → 7; Camera: Rear camera → 360°; Vent. seats: No → Yes; Auto park: no → yes; Power tailgate: no → yes (gesture); Keyless: no → yes; Wireless charger: Front → Front &amp; rear; Adaptive suspension: no → yes</t>
  </si>
  <si>
    <t xml:space="preserve">Adaptive suspension, Airbags, Battery kWh, Range km, Vent. seats</t>
  </si>
  <si>
    <t xml:space="preserve">Battery kWh: 59 → 79; Range km: 522 → 656; Airbags: 7 → None; ESP: Yes → Not stated; ADAS: L2 → Not stated; Camera: 360° → Not stated; Vent. seats: Yes → Not stated; Screens: — → Coast-to-coast HD screens; Wheels: R19 alloy → R19; Upholstery: Leatherette → Distinct leatherette (Cineluxe-specific); App suite: Fun&amp;Work (60+ in-built apps) → Not stated for Cineluxe</t>
  </si>
  <si>
    <t xml:space="preserve">ADAS, Airbags, Battery kWh, ESP, Range km, Vent. seats</t>
  </si>
  <si>
    <t xml:space="preserve">Airbags: None → 7; ESP: Not stated → Yes; ADAS: Not stated → L2+; Camera: Not stated → 360°; Vent. seats: Not stated → Yes; Wheels: R19 → R19 alloy; HUD: — → yes (AR HUD); Auto park: — → yes; Power tailgate: — → yes (gesture); Upholstery: Distinct leatherette (Cineluxe-specific) → Leatherette; Climate: — → Dual zone auto, rear AC vents; Powered seat: — → yes (6-way powered, memory); Cruise: — → Adaptive; Keyless: — → yes; Wireless charger: — → Front &amp; rear; App suite: Not stated for Cineluxe → Fun&amp;Work (60+ in-built apps)</t>
  </si>
  <si>
    <t xml:space="preserve">ADAS, Airbags, ESP, HUD, Vent. seats</t>
  </si>
  <si>
    <t xml:space="preserve">ADAS: None → L2; Camera: Rear camera → 360°; Sunroof: Sunroof → Panoramic; Audio: 6 speakers → 7-speaker Harman Kardon with subwoofer, Dolby Atmos; Wheels: R16 diamond-cut alloy → R17 diamond-cut alloy; Upholstery: Not leatherette (AX7L adds leatherette seats) → Leatherette</t>
  </si>
  <si>
    <t xml:space="preserve">ADAS, Sunroof</t>
  </si>
  <si>
    <t xml:space="preserve">buyer_profile</t>
  </si>
  <si>
    <t xml:space="preserve">rank</t>
  </si>
  <si>
    <t xml:space="preserve">5yr_cost_inr (40 km/day, ₹9.4/kWh)</t>
  </si>
  <si>
    <t xml:space="preserve">why_it_fits</t>
  </si>
  <si>
    <t xml:space="preserve">cheaper_alternative_note</t>
  </si>
  <si>
    <t xml:space="preserve">First EV, city commute, tight budget</t>
  </si>
  <si>
    <t xml:space="preserve">Tiago.ev Smart 19</t>
  </si>
  <si>
    <t xml:space="preserve">Tiago.ev Hatchback, 5 seats, claimed 226 km, maker real-world 160+ km, ESP Not listed, ADAS Not stated, camera Sensors only, NCAP Not tested</t>
  </si>
  <si>
    <t xml:space="preserve">Tiago.ev Pure+ 19</t>
  </si>
  <si>
    <t xml:space="preserve">Tiago.ev Hatchback, 5 seats, claimed 226 km, maker real-world 160+ km, ESP Not listed, ADAS Not stated, camera Rear camera, NCAP Not tested</t>
  </si>
  <si>
    <t xml:space="preserve">Tiago.ev Pure+ 24</t>
  </si>
  <si>
    <t xml:space="preserve">Tiago.ev Hatchback, 5 seats, claimed 285 km, tested 187 km, ESP Not listed, ADAS Not stated, camera Rear camera, NCAP Not tested</t>
  </si>
  <si>
    <t xml:space="preserve">Family of 5, safety first, ₹16L</t>
  </si>
  <si>
    <t xml:space="preserve">Punch.ev Smart 30</t>
  </si>
  <si>
    <t xml:space="preserve">Punch.ev SUV, 5 seats, claimed 365 km, maker real-world 260+ km, ESP Yes, ADAS None, camera Sensors only, NCAP Rated, applies</t>
  </si>
  <si>
    <t xml:space="preserve">Punch.ev Smart+ 30</t>
  </si>
  <si>
    <t xml:space="preserve">Punch.ev Smart+ 40</t>
  </si>
  <si>
    <t xml:space="preserve">Punch.ev SUV, 5 seats, claimed 468 km, tested 304 km, ESP Yes, ADAS None, camera Rear camera, NCAP Rated, applies</t>
  </si>
  <si>
    <t xml:space="preserve">Long highway trips, ₹25L, wants real range 400+ km</t>
  </si>
  <si>
    <t xml:space="preserve">XEV 9S Pack One Above 79 kWh</t>
  </si>
  <si>
    <t xml:space="preserve">XEV 9S SUV, 7 seats, claimed 679 km, tested 478 km, ESP Yes, ADAS None, camera Rear camera, NCAP Not tested</t>
  </si>
  <si>
    <t xml:space="preserve">Cheapest that still meets must-haves: Sierra.ev Adventure 75 at ₹2,219,000 (saves ₹46,000); see Variant_Ladder for what you give up</t>
  </si>
  <si>
    <t xml:space="preserve">BE 6 SPORTEQ Three+ 79 kWh</t>
  </si>
  <si>
    <t xml:space="preserve">BE 6 SPORTEQ SUV, 5 seats, claimed 708 km, tested 449 km, ESP Yes, ADAS L2, camera 540°, NCAP Rated, coverage unconfirmed</t>
  </si>
  <si>
    <t xml:space="preserve">BE 6 SPORTEQ FE 79 kWh</t>
  </si>
  <si>
    <t xml:space="preserve">BE 6 SPORTEQ SUV, 5 seats, claimed 708 km, tested 449 km, ESP Yes, ADAS None, camera 540°, NCAP Rated, coverage unconfirmed</t>
  </si>
  <si>
    <t xml:space="preserve">Big family, 7 seats, ₹27L</t>
  </si>
  <si>
    <t xml:space="preserve">XEV 9S Pack One Above 59 kWh</t>
  </si>
  <si>
    <t xml:space="preserve">XEV 9S SUV, 7 seats, claimed 521 km, maker real-world 400+ km, ESP Yes, ADAS None, camera Rear camera, NCAP Not tested</t>
  </si>
  <si>
    <t xml:space="preserve">XEV 9S Pack Two Above 70 kWh (7-seater)</t>
  </si>
  <si>
    <t xml:space="preserve">XEV 9S SUV, 7 seats, claimed 600 km, maker real-world 450+ km, ESP Yes, ADAS L2, camera 360°, NCAP Not tested</t>
  </si>
  <si>
    <t xml:space="preserve">Weekend off-road / bad roads, ₹27L</t>
  </si>
  <si>
    <t xml:space="preserve">Sierra.ev Adventure 63</t>
  </si>
  <si>
    <t xml:space="preserve">Sierra.ev SUV, 5 seats, claimed 566 km, maker real-world 440+ km, ESP Yes, ADAS None, camera 360°, NCAP Not tested</t>
  </si>
  <si>
    <t xml:space="preserve">Sierra.ev Adventure 75</t>
  </si>
  <si>
    <t xml:space="preserve">Sierra.ev SUV, 5 seats, claimed 665 km, maker real-world 510+ km, ESP Yes, ADAS None, camera 360°, NCAP Not tested</t>
  </si>
  <si>
    <t xml:space="preserve">Sierra.ev Empowered 63</t>
  </si>
  <si>
    <t xml:space="preserve">Wants ADAS + 360 camera, ₹18L</t>
  </si>
  <si>
    <t xml:space="preserve">XUV 3XO EV AX7L 39.4 kWh</t>
  </si>
  <si>
    <t xml:space="preserve">XUV 3XO EV SUV, 5 seats, claimed 351 km, maker real-world 285+ km, ESP Yes, ADAS L2, camera 360°, NCAP Not tested</t>
  </si>
  <si>
    <t xml:space="preserve">Nexon.ev Empowered+A 45</t>
  </si>
  <si>
    <t xml:space="preserve">Nexon.ev SUV, 5 seats, claimed 489 km, tested 350 km, ESP Yes, ADAS L2, camera 360°, NCAP Rated, applies</t>
  </si>
  <si>
    <t xml:space="preserve">Static snapshot computed with default assumptions by the build script, to sanity-check engine logic. Ranking: lowest 5-yr cost among variants meeting budget, seats and must-haves (range profile ranks by real-world range).</t>
  </si>
  <si>
    <t xml:space="preserve">rule</t>
  </si>
  <si>
    <t xml:space="preserve">detail</t>
  </si>
  <si>
    <t xml:space="preserve">ROLE SPLIT</t>
  </si>
  <si>
    <t xml:space="preserve">LLM: understand the buyer and explain results. Code: filter, rank and compute from Engine_Variants. The LLM never invents a number.</t>
  </si>
  <si>
    <t xml:space="preserve">STEP 1  Hard filters</t>
  </si>
  <si>
    <t xml:space="preserve">Budget (price_inr + charger_cost_inr if no charger), seats, body_type, must-have features. Treat 'Not stated' as unknown: never silently pass or fail it; ask or flag.</t>
  </si>
  <si>
    <t xml:space="preserve">STEP 2  Usage fit</t>
  </si>
  <si>
    <t xml:space="preserve">Daily km vs range_tested_km, else range_maker_realworld_km (never range_claimed_km alone). Home charging: if none, weight dc_avg_kw_est and minutes_dc_per_100km.</t>
  </si>
  <si>
    <t xml:space="preserve">STEP 3  Rank</t>
  </si>
  <si>
    <t xml:space="preserve">Default: lowest cost_to_own_period_inr. Range-led buyers: real-world range. Safety-led: ncap_adult_32, then ESP/airbags/ADAS.</t>
  </si>
  <si>
    <t xml:space="preserve">STEP 4  Always show</t>
  </si>
  <si>
    <t xml:space="preserve">Top 2-3 picks + one cheaper alternative (Variant_Ladder: what you give up) + watch_outs for each pick + price_status.</t>
  </si>
  <si>
    <t xml:space="preserve">STEP 5  Accessories</t>
  </si>
  <si>
    <t xml:space="preserve">Only suggest genuine accessories with equivalence 'same' or 'close' to fill a gap, with price. Never aftermarket. Never present a lower variant + accessories as equal to a higher variant.</t>
  </si>
  <si>
    <t xml:space="preserve">NEVER</t>
  </si>
  <si>
    <t xml:space="preserve">Apply a petrol/diesel crash rating to an EV. Quote BaaS price as the car's price without the battery loan. Present maker 'real-world' range as independent. Use a 'pending' value without saying so.</t>
  </si>
  <si>
    <t xml:space="preserve">CONFIDENCE</t>
  </si>
  <si>
    <t xml:space="preserve">verified = official; corroborated = 2+ independent sources; pending = say 'unconfirmed'. Independent test data always labelled as such.</t>
  </si>
  <si>
    <t xml:space="preserve">WHEN NOTHING FITS</t>
  </si>
  <si>
    <t xml:space="preserve">Say so plainly, show the nearest option above budget and what extra it costs. Don't stretch filters silently.</t>
  </si>
  <si>
    <t xml:space="preserve">DATA SCOPE</t>
  </si>
  <si>
    <t xml:space="preserve">Mahindra (BE 6 SPORTEQ, XEV 9e, XEV 9S, XUV 3XO EV) and Tata (Tiago.ev, Tigor.ev, Punch.ev, Nexon.ev, Curvv.ev, Harrier.ev, Sierra.ev). Tell users other brands aren't covered yet.</t>
  </si>
  <si>
    <t xml:space="preserve">COSTS NOT INCLUDED</t>
  </si>
  <si>
    <t xml:space="preserve">Registration, insurance, service, financing, resale, current offers/discounts (Tata running offers Oct 2026, see Q067).</t>
  </si>
  <si>
    <t xml:space="preserve">variant_id</t>
  </si>
  <si>
    <t xml:space="preserve">manufacturer</t>
  </si>
  <si>
    <t xml:space="preserve">model_year</t>
  </si>
  <si>
    <t xml:space="preserve">trim</t>
  </si>
  <si>
    <t xml:space="preserve">variant_name</t>
  </si>
  <si>
    <t xml:space="preserve">ex_showroom_inr</t>
  </si>
  <si>
    <t xml:space="preserve">claimed_range_km</t>
  </si>
  <si>
    <t xml:space="preserve">source_id</t>
  </si>
  <si>
    <t xml:space="preserve">status</t>
  </si>
  <si>
    <t xml:space="preserve">official_price_inr</t>
  </si>
  <si>
    <t xml:space="preserve">official_battery_kwh</t>
  </si>
  <si>
    <t xml:space="preserve">official_range_km</t>
  </si>
  <si>
    <t xml:space="preserve">price_match</t>
  </si>
  <si>
    <t xml:space="preserve">battery_match</t>
  </si>
  <si>
    <t xml:space="preserve">range_match</t>
  </si>
  <si>
    <t xml:space="preserve">checked_by</t>
  </si>
  <si>
    <t xml:space="preserve">date_checked</t>
  </si>
  <si>
    <t xml:space="preserve">notes</t>
  </si>
  <si>
    <t xml:space="preserve">2026</t>
  </si>
  <si>
    <t xml:space="preserve">One</t>
  </si>
  <si>
    <t xml:space="preserve">S011 (price), S009 (battery, range)</t>
  </si>
  <si>
    <t xml:space="preserve">Claude</t>
  </si>
  <si>
    <t xml:space="preserve">2026-10-22</t>
  </si>
  <si>
    <t xml:space="preserve">S010 (price), S009 (battery, range)</t>
  </si>
  <si>
    <t xml:space="preserve">Chassis price only. Battery is bought on a separate loan (up to 8 yrs). NOT pay-per-km.</t>
  </si>
  <si>
    <t xml:space="preserve">Two</t>
  </si>
  <si>
    <t xml:space="preserve">S001 (news) + S014 (chatbot) for price, S009 (battery, range)</t>
  </si>
  <si>
    <t xml:space="preserve">Price: news and Mahindra chatbot agree, and BaaS + battery value pattern holds. Dealer price list to confirm.; Mahindra chatbot (23 Oct) gives the same price again.; Corroborated: Autocar, TimesDrive, Cars24 and Mahindra chatbot agree.</t>
  </si>
  <si>
    <t xml:space="preserve">Three</t>
  </si>
  <si>
    <t xml:space="preserve">Price: news and Mahindra chatbot agree, and BaaS + battery value pattern holds. Dealer price list to confirm.; Range 651 km per Mahindra website (S011); brochure says 652 km. Website figure chosen by Madhu, see Q003.; Mahindra chatbot (23 Oct) gives the same price again.; Corroborated: Autocar, TimesDrive, Cars24 and Mahindra chatbot agree.</t>
  </si>
  <si>
    <t xml:space="preserve">Chassis price only. Battery is bought on a separate loan (up to 8 yrs). NOT pay-per-km.; Range 651 km per Mahindra website (S011); brochure says 652 km. Website figure chosen by Madhu, see Q003.</t>
  </si>
  <si>
    <t xml:space="preserve">Three+</t>
  </si>
  <si>
    <t xml:space="preserve">FE</t>
  </si>
  <si>
    <t xml:space="preserve">Four</t>
  </si>
  <si>
    <t xml:space="preserve">FE Four</t>
  </si>
  <si>
    <t xml:space="preserve">Launch Edition</t>
  </si>
  <si>
    <t xml:space="preserve">Pack One</t>
  </si>
  <si>
    <t xml:space="preserve">S016 (price), S015 + S016 (battery, range)</t>
  </si>
  <si>
    <t xml:space="preserve">S010 (price), S015 + S016 (battery, range)</t>
  </si>
  <si>
    <t xml:space="preserve">Chassis price only. Battery on separate loan.</t>
  </si>
  <si>
    <t xml:space="preserve">Pack Two</t>
  </si>
  <si>
    <t xml:space="preserve">S051 (price), S015 + S016 (battery, range)</t>
  </si>
  <si>
    <t xml:space="preserve">Battery-included price not published. Get from Book Now page or dealer.; Chatbot says ₹24.90L with BaaS ₹16.50L, but Mahindra BaaS page gives ₹16.50L to Pack Two 79 kWh. See Q054.; ₹24.90L confirmed by Mahindra's XEV 9e page FAQ. Chatbot price was right; its BaaS figure was not.</t>
  </si>
  <si>
    <t xml:space="preserve">S015 + S016 (battery, range)</t>
  </si>
  <si>
    <t xml:space="preserve">Not on Mahindra BaaS page, though page says BaaS is on all variants. See Q017.; Chatbot says ₹16.50L; BaaS page assigns that to 79 kWh. See Q054.; Mahindra BaaS page lists no Pack Two 59 kWh price. Chatbot's ₹16.50L belongs to 79 kWh. Left blank (not inferred).</t>
  </si>
  <si>
    <t xml:space="preserve">S053 (price: Autocar, 91wheels, Team-BHP, MyCarHelpline agree), S015 (battery, range)</t>
  </si>
  <si>
    <t xml:space="preserve">Battery-included price not published. Get from Book Now page or dealer.; If battery value is ₹10L like BE 6, price would be ≈ ₹26.50L. Estimate only, not a source.; Chatbot says 'not available', but Mahindra's XEV 9e page lists this option. See Q055.; ₹26.50L: four independent secondary sources agree; not on an official page.</t>
  </si>
  <si>
    <t xml:space="preserve">Pack Three Select</t>
  </si>
  <si>
    <t xml:space="preserve">Battery-included price not published. Get from Book Now page or dealer.; Chatbot says 'not available', but Mahindra's XEV 9e page lists this option. See Q055.; ₹27.90L per Mahindra's XEV 9e page FAQ.</t>
  </si>
  <si>
    <t xml:space="preserve">Not on Mahindra BaaS page, though page says BaaS is on all variants. See Q017.</t>
  </si>
  <si>
    <t xml:space="preserve">Pack Three</t>
  </si>
  <si>
    <t xml:space="preserve">Battery-included price not published. Get from Book Now page or dealer.; If battery value is ₹10L like BE 6, price would be ≈ ₹30.50L. Estimate only, not a source.; ₹30.50L from chatbot; matches BaaS ₹20.50L + ₹10L battery pattern and aggregators. Screenshot website to verify.; ₹30.50L per Mahindra's XEV 9e page FAQ.</t>
  </si>
  <si>
    <t xml:space="preserve">Cineluxe</t>
  </si>
  <si>
    <t xml:space="preserve">S019 (price), S015 + S016 (battery, range)</t>
  </si>
  <si>
    <t xml:space="preserve">Not in brochure. Price + features from Cineluxe page (S019). Full feature list still unknown, see Q018.</t>
  </si>
  <si>
    <t xml:space="preserve">Chassis price only. Battery on separate loan.; Not in brochure. Price + features from Cineluxe page (S019). Full feature list still unknown, see Q018.</t>
  </si>
  <si>
    <t xml:space="preserve">Pack One Above</t>
  </si>
  <si>
    <t xml:space="preserve">S053 (price: CarWale, CarDekho, ZigWheels, V3Cars agree), S020 (battery, range)</t>
  </si>
  <si>
    <t xml:space="preserve">CORRECTED from ₹21.40L: that figure includes the 11.2 kW charger (CarWale lists both). Without charger: ₹20.65L.</t>
  </si>
  <si>
    <t xml:space="preserve">S010 (price), S020 + S021 (battery, range)</t>
  </si>
  <si>
    <t xml:space="preserve">Chassis price only. Battery on separate loan.; BaaS price looks odd, see Q028.; ₹12.65L doesn't fit: 59 kWh battery-included ₹21.40L - ₹8L = ₹13.40L. Likely copied from the 79 kWh line on Mahindra's BaaS page. See Q028.; Now consistent: ₹20.65L - ₹8L battery = ₹12.65L. Not a typo.</t>
  </si>
  <si>
    <t xml:space="preserve">S042 (price, chatbot), S020 + S021 (battery, range)</t>
  </si>
  <si>
    <t xml:space="preserve">Battery-included price not published. Dealer price list.; 7-seater price from chatbot; equals BaaS price + battery value (₹9L for 70 kWh, ₹10L for 79 kWh). Screenshot website to verify.; Corroborated: chatbot + CarDekho + V3Cars + ZigWheels agree.</t>
  </si>
  <si>
    <t xml:space="preserve">Chassis price only. Battery on separate loan.; BaaS price looks odd, see Q028.; BaaS price lines up with the 7-seater battery-included price.</t>
  </si>
  <si>
    <t xml:space="preserve">Pack Two Above</t>
  </si>
  <si>
    <t xml:space="preserve">Battery-included price not published. Dealer price list.; Available as 7- or 6-seater.; 7-seater price from chatbot; equals BaaS price + battery value (₹9L for 70 kWh, ₹10L for 79 kWh). Screenshot website to verify.; Corroborated: chatbot + CarDekho + V3Cars + ZigWheels agree.</t>
  </si>
  <si>
    <t xml:space="preserve">Chassis price only. Battery on separate loan.; BaaS price looks odd, see Q028.; Available as 7- or 6-seater.; BaaS price lines up with the 7-seater battery-included price.</t>
  </si>
  <si>
    <t xml:space="preserve">Chassis price only. Battery on separate loan.; Available as 7- or 6-seater.; BaaS price lines up with the 7-seater battery-included price.</t>
  </si>
  <si>
    <t xml:space="preserve">Pack Three Above</t>
  </si>
  <si>
    <t xml:space="preserve">S021 (price), S020 + S021 (battery, range)</t>
  </si>
  <si>
    <t xml:space="preserve">6-seater, no charger. 7-seater price may differ, see Q027.; Available as 7- or 6-seater.; 7-seater version added as separate row (price not yet published).; Note: Mahindra page figure; check it excludes charger (One Above case did not).</t>
  </si>
  <si>
    <t xml:space="preserve">AX5</t>
  </si>
  <si>
    <t xml:space="preserve">S026 (price), S025 (battery, range)</t>
  </si>
  <si>
    <t xml:space="preserve">BaaS not offered (BaaS covers Electric Origin models only, see Q033).</t>
  </si>
  <si>
    <t xml:space="preserve">AX7L</t>
  </si>
  <si>
    <t xml:space="preserve">Aggregators (price), S025 (battery, range)</t>
  </si>
  <si>
    <t xml:space="preserve">Price ₹14.96L from CarDekho/Autocar, not yet seen on an official page.; BaaS not offered (BaaS covers Electric Origin models only, see Q033).; Corroborated: Autocar (₹13.89-14.96L range) and Team-BHP agree on ₹14.96L.</t>
  </si>
  <si>
    <t xml:space="preserve">S040 (price), S032 (battery, range)</t>
  </si>
  <si>
    <t xml:space="preserve">2026-10-23</t>
  </si>
  <si>
    <t xml:space="preserve">Also sold as #DARK and Red #DARK editions; prices may differ.</t>
  </si>
  <si>
    <t xml:space="preserve">S040 (price), S031 (battery, range)</t>
  </si>
  <si>
    <t xml:space="preserve">Tata publishes 365-375 km as a band (brochure + FAQ). Lower figure used as the comparable number.</t>
  </si>
  <si>
    <t xml:space="preserve">S040 (price), S033 (battery, range)</t>
  </si>
  <si>
    <t xml:space="preserve">Oct 2026 brochure lists 55 kWh only; older 45 kWh versions appear dropped.</t>
  </si>
  <si>
    <t xml:space="preserve">Also #DARK edition.</t>
  </si>
  <si>
    <t xml:space="preserve">S040 (price), S034 (battery, range)</t>
  </si>
  <si>
    <t xml:space="preserve">Stealth Edition available.</t>
  </si>
  <si>
    <t xml:space="preserve">Fearless+ QWD 75</t>
  </si>
  <si>
    <t xml:space="preserve">Confirmed on Tata.ev site (sold as Fearless+ 75 AWD).</t>
  </si>
  <si>
    <t xml:space="preserve">Empowered QWD 75</t>
  </si>
  <si>
    <t xml:space="preserve">S040 (price), S035 (battery, range)</t>
  </si>
  <si>
    <t xml:space="preserve">Empowered A QWD 75</t>
  </si>
  <si>
    <t xml:space="preserve">S040 (price), S038 (battery, range)</t>
  </si>
  <si>
    <t xml:space="preserve">Tata site ₹10.09L; Autocar top price ₹9.99L was wrong/outdated.</t>
  </si>
  <si>
    <t xml:space="preserve">S040 (price), S030 (battery, range)</t>
  </si>
  <si>
    <t xml:space="preserve">Brochure Sep 2025; still on sale per Tata.ev site (Oct 2026).</t>
  </si>
  <si>
    <t xml:space="preserve">6-seater (captain seats) price from chatbot: 7-seater + ₹20,000. Screenshot website to verify.; Corroborated: chatbot + CarDekho + V3Cars + ZigWheels agree.</t>
  </si>
  <si>
    <t xml:space="preserve">S053 (price: CarWale, V3Cars, evelectree agree), S020 (battery, range)</t>
  </si>
  <si>
    <t xml:space="preserve">7-seater price not published. Not estimated (rule 2).; ₹29.95L = 6-seater minus ₹20,000.</t>
  </si>
  <si>
    <t xml:space="preserve">variant_name (for reading only)</t>
  </si>
  <si>
    <t xml:space="preserve">feature</t>
  </si>
  <si>
    <t xml:space="preserve">value</t>
  </si>
  <si>
    <t xml:space="preserve">unit</t>
  </si>
  <si>
    <t xml:space="preserve">motor_torque_nm</t>
  </si>
  <si>
    <t xml:space="preserve">Nm</t>
  </si>
  <si>
    <t xml:space="preserve">S009</t>
  </si>
  <si>
    <t xml:space="preserve">Older BE 6 sources say 380 Nm; SPORTEQ brochure says 360</t>
  </si>
  <si>
    <t xml:space="preserve">drive_type</t>
  </si>
  <si>
    <t xml:space="preserve">dc_charge_time_20_80_min</t>
  </si>
  <si>
    <t xml:space="preserve">min</t>
  </si>
  <si>
    <t xml:space="preserve">count</t>
  </si>
  <si>
    <t xml:space="preserve">boot_space_l</t>
  </si>
  <si>
    <t xml:space="preserve">litres</t>
  </si>
  <si>
    <t xml:space="preserve">frunk_l</t>
  </si>
  <si>
    <t xml:space="preserve">mm</t>
  </si>
  <si>
    <t xml:space="preserve">length_mm</t>
  </si>
  <si>
    <t xml:space="preserve">width_mm</t>
  </si>
  <si>
    <t xml:space="preserve">height_mm</t>
  </si>
  <si>
    <t xml:space="preserve">wheelbase_mm</t>
  </si>
  <si>
    <t xml:space="preserve">turning_circle_m</t>
  </si>
  <si>
    <t xml:space="preserve">m</t>
  </si>
  <si>
    <t xml:space="preserve">Lifetime for first private owner; else 10 yrs / 2,00,000 km</t>
  </si>
  <si>
    <t xml:space="preserve">realworld_range_maker_claim</t>
  </si>
  <si>
    <t xml:space="preserve">400+ km</t>
  </si>
  <si>
    <t xml:space="preserve">S011</t>
  </si>
  <si>
    <t xml:space="preserve">Mahindra's own test, not independent. Do not treat as real-world data.</t>
  </si>
  <si>
    <t xml:space="preserve">motor_power_kw</t>
  </si>
  <si>
    <t xml:space="preserve">kW</t>
  </si>
  <si>
    <t xml:space="preserve">dc_fast_charge_max_kw</t>
  </si>
  <si>
    <t xml:space="preserve">ac_charge_time_0_100_h_11kw</t>
  </si>
  <si>
    <t xml:space="preserve">hours</t>
  </si>
  <si>
    <t xml:space="preserve">ac_charge_time_0_100_h_7kw</t>
  </si>
  <si>
    <t xml:space="preserve">screen_setup</t>
  </si>
  <si>
    <t xml:space="preserve">Dual 31.24 cm</t>
  </si>
  <si>
    <t xml:space="preserve">instrument_panel</t>
  </si>
  <si>
    <t xml:space="preserve">Halo</t>
  </si>
  <si>
    <t xml:space="preserve">wheels</t>
  </si>
  <si>
    <t xml:space="preserve">R18 steel, aero covers</t>
  </si>
  <si>
    <t xml:space="preserve">adas_level</t>
  </si>
  <si>
    <t xml:space="preserve">None listed</t>
  </si>
  <si>
    <t xml:space="preserve">'None listed' = not in brochure for this trim</t>
  </si>
  <si>
    <t xml:space="preserve">surround_camera</t>
  </si>
  <si>
    <t xml:space="preserve">Rear camera only</t>
  </si>
  <si>
    <t xml:space="preserve">ventilated_front_seats</t>
  </si>
  <si>
    <t xml:space="preserve">no</t>
  </si>
  <si>
    <t xml:space="preserve">powered_driver_seat_memory</t>
  </si>
  <si>
    <t xml:space="preserve">climate_control</t>
  </si>
  <si>
    <t xml:space="preserve">Single zone auto, rear AC vents</t>
  </si>
  <si>
    <t xml:space="preserve">audio</t>
  </si>
  <si>
    <t xml:space="preserve">6 speakers</t>
  </si>
  <si>
    <t xml:space="preserve">hud</t>
  </si>
  <si>
    <t xml:space="preserve">auto_park_assist</t>
  </si>
  <si>
    <t xml:space="preserve">power_tailgate</t>
  </si>
  <si>
    <t xml:space="preserve">knee_airbag</t>
  </si>
  <si>
    <t xml:space="preserve">interior_theme</t>
  </si>
  <si>
    <t xml:space="preserve">Sage Green &amp; Grey</t>
  </si>
  <si>
    <t xml:space="preserve">chipset</t>
  </si>
  <si>
    <t xml:space="preserve">Snapdragon 8155</t>
  </si>
  <si>
    <t xml:space="preserve">seating</t>
  </si>
  <si>
    <t xml:space="preserve">S014</t>
  </si>
  <si>
    <t xml:space="preserve">Mahindra chatbot only. Confirm with dealer or manual.</t>
  </si>
  <si>
    <t xml:space="preserve">wall_charger_7kw_price_inr</t>
  </si>
  <si>
    <t xml:space="preserve">₹</t>
  </si>
  <si>
    <t xml:space="preserve">Mahindra chatbot only. Charger price excludes installation.</t>
  </si>
  <si>
    <t xml:space="preserve">wall_charger_11kw_price_inr</t>
  </si>
  <si>
    <t xml:space="preserve">tyre_size</t>
  </si>
  <si>
    <t xml:space="preserve">245/60 R18</t>
  </si>
  <si>
    <t xml:space="preserve">S012</t>
  </si>
  <si>
    <t xml:space="preserve">From original BE 6 manual (Feb 2025). Likely unchanged on SPORTEQ, but confirm with SPORTEQ manual.</t>
  </si>
  <si>
    <t xml:space="preserve">spare_tyre</t>
  </si>
  <si>
    <t xml:space="preserve">Temporary spare T135/80 R18</t>
  </si>
  <si>
    <t xml:space="preserve">tyre_pressure_psi</t>
  </si>
  <si>
    <t xml:space="preserve">psi</t>
  </si>
  <si>
    <t xml:space="preserve">onboard_ac_charger_kw</t>
  </si>
  <si>
    <t xml:space="preserve">hv_battery_nominal_voltage_v</t>
  </si>
  <si>
    <t xml:space="preserve">V</t>
  </si>
  <si>
    <t xml:space="preserve">motor_type</t>
  </si>
  <si>
    <t xml:space="preserve">IPMSM</t>
  </si>
  <si>
    <t xml:space="preserve">charge_port</t>
  </si>
  <si>
    <t xml:space="preserve">CCS2</t>
  </si>
  <si>
    <t xml:space="preserve">transmission</t>
  </si>
  <si>
    <t xml:space="preserve">Single speed</t>
  </si>
  <si>
    <t xml:space="preserve">Triple 31.24 cm</t>
  </si>
  <si>
    <t xml:space="preserve">Straight</t>
  </si>
  <si>
    <t xml:space="preserve">R19 Versa steel, aero covers</t>
  </si>
  <si>
    <t xml:space="preserve">540-degree</t>
  </si>
  <si>
    <t xml:space="preserve">Dual zone auto, rear AC vents</t>
  </si>
  <si>
    <t xml:space="preserve">16-speaker Harman Kardon, Dolby Atmos</t>
  </si>
  <si>
    <t xml:space="preserve">Racing Tan &amp; Black</t>
  </si>
  <si>
    <t xml:space="preserve">245/55 R19</t>
  </si>
  <si>
    <t xml:space="preserve">R19 alloy</t>
  </si>
  <si>
    <t xml:space="preserve">Fixed glass panoramic (Infinity Roof)</t>
  </si>
  <si>
    <t xml:space="preserve">yes</t>
  </si>
  <si>
    <t xml:space="preserve">yes (6-way)</t>
  </si>
  <si>
    <t xml:space="preserve">450+ km</t>
  </si>
  <si>
    <t xml:space="preserve">L2 (1 radar + 1 camera)</t>
  </si>
  <si>
    <t xml:space="preserve">yes (gesture)</t>
  </si>
  <si>
    <t xml:space="preserve">500+ km</t>
  </si>
  <si>
    <t xml:space="preserve">R20 alloy</t>
  </si>
  <si>
    <t xml:space="preserve">Black &amp; Firestorm Orange</t>
  </si>
  <si>
    <t xml:space="preserve">zero_to_100_s</t>
  </si>
  <si>
    <t xml:space="preserve">s</t>
  </si>
  <si>
    <t xml:space="preserve">245/50 R20</t>
  </si>
  <si>
    <t xml:space="preserve">L2+ (5 radar + 1 camera)</t>
  </si>
  <si>
    <t xml:space="preserve">Fixed glass panoramic with LED pattern</t>
  </si>
  <si>
    <t xml:space="preserve">yes (AR HUD)</t>
  </si>
  <si>
    <t xml:space="preserve">Snapdragon 8295</t>
  </si>
  <si>
    <t xml:space="preserve">CHECK</t>
  </si>
  <si>
    <t xml:space="preserve">conflicting</t>
  </si>
  <si>
    <t xml:space="preserve">Brochure says 'only in THREE' but FE FOUR builds on THREE+. Ask dealer.</t>
  </si>
  <si>
    <t xml:space="preserve">Racing Tan</t>
  </si>
  <si>
    <t xml:space="preserve">exclusive_paint</t>
  </si>
  <si>
    <t xml:space="preserve">Graphite Storm</t>
  </si>
  <si>
    <t xml:space="preserve">S016</t>
  </si>
  <si>
    <t xml:space="preserve">S015</t>
  </si>
  <si>
    <t xml:space="preserve">battery_chemistry</t>
  </si>
  <si>
    <t xml:space="preserve">LFP</t>
  </si>
  <si>
    <t xml:space="preserve">S018</t>
  </si>
  <si>
    <t xml:space="preserve">S015 + S017</t>
  </si>
  <si>
    <t xml:space="preserve">battery_soh_guarantee</t>
  </si>
  <si>
    <t xml:space="preserve">85% SOH to 3 yrs/60k km; 75% to 7 yrs/1.4L km; 70% to 15 yrs/2L km</t>
  </si>
  <si>
    <t xml:space="preserve">S017</t>
  </si>
  <si>
    <t xml:space="preserve">vehicle_warranty</t>
  </si>
  <si>
    <t xml:space="preserve">3 yrs / unlimited km (incl. charger)</t>
  </si>
  <si>
    <t xml:space="preserve">motor_warranty</t>
  </si>
  <si>
    <t xml:space="preserve">8 yrs / 1,60,000 km</t>
  </si>
  <si>
    <t xml:space="preserve">service_interval_km</t>
  </si>
  <si>
    <t xml:space="preserve">km</t>
  </si>
  <si>
    <t xml:space="preserve">free_services</t>
  </si>
  <si>
    <t xml:space="preserve">Labour-free at 2,000 / 10,000 / 20,000 km (consumables charged)</t>
  </si>
  <si>
    <t xml:space="preserve">roadside_assistance</t>
  </si>
  <si>
    <t xml:space="preserve">Free for 3 yrs</t>
  </si>
  <si>
    <t xml:space="preserve">connected_car_free</t>
  </si>
  <si>
    <t xml:space="preserve">1 yr, 20 GB/month</t>
  </si>
  <si>
    <t xml:space="preserve">S015 + S016</t>
  </si>
  <si>
    <t xml:space="preserve">Mahindra internal test. Not independent.</t>
  </si>
  <si>
    <t xml:space="preserve">no (6-way manual)</t>
  </si>
  <si>
    <t xml:space="preserve">cruise_control</t>
  </si>
  <si>
    <t xml:space="preserve">Standard</t>
  </si>
  <si>
    <t xml:space="preserve">R19 stylised wheel</t>
  </si>
  <si>
    <t xml:space="preserve">upholstery</t>
  </si>
  <si>
    <t xml:space="preserve">Premium fabric</t>
  </si>
  <si>
    <t xml:space="preserve">wireless_charger</t>
  </si>
  <si>
    <t xml:space="preserve">passive_keyless_entry</t>
  </si>
  <si>
    <t xml:space="preserve">tpms</t>
  </si>
  <si>
    <t xml:space="preserve">Alert only</t>
  </si>
  <si>
    <t xml:space="preserve">front_parking_sensors</t>
  </si>
  <si>
    <t xml:space="preserve">yes (6-way powered, memory)</t>
  </si>
  <si>
    <t xml:space="preserve">Adaptive</t>
  </si>
  <si>
    <t xml:space="preserve">Leatherette</t>
  </si>
  <si>
    <t xml:space="preserve">Front</t>
  </si>
  <si>
    <t xml:space="preserve">Individual tyre pressure</t>
  </si>
  <si>
    <t xml:space="preserve">Brochure Pack Two column shows 140 kW for both batteries. See Q019.</t>
  </si>
  <si>
    <t xml:space="preserve">Brochure ties 6.8 s to the 210 kW motor (79 kWh).</t>
  </si>
  <si>
    <t xml:space="preserve">360-degree</t>
  </si>
  <si>
    <t xml:space="preserve">Front &amp; rear</t>
  </si>
  <si>
    <t xml:space="preserve">L2+ (1 radar + 1 camera + 4 corner radars)</t>
  </si>
  <si>
    <t xml:space="preserve">S017 / S015</t>
  </si>
  <si>
    <t xml:space="preserve">S019</t>
  </si>
  <si>
    <t xml:space="preserve">R19</t>
  </si>
  <si>
    <t xml:space="preserve">Cineluxe page. Other Pack Three features (HUD, L2+ ADAS, 360 camera) not stated for Cineluxe.</t>
  </si>
  <si>
    <t xml:space="preserve">Distinct leatherette (Cineluxe-specific)</t>
  </si>
  <si>
    <t xml:space="preserve">Coast-to-coast HD screens</t>
  </si>
  <si>
    <t xml:space="preserve">Satin Black, Satin White, Satin Desert Myst</t>
  </si>
  <si>
    <t xml:space="preserve">portable_charger_kw</t>
  </si>
  <si>
    <t xml:space="preserve">S020</t>
  </si>
  <si>
    <t xml:space="preserve">527 (3rd row folded)</t>
  </si>
  <si>
    <t xml:space="preserve">235/60 R18</t>
  </si>
  <si>
    <t xml:space="preserve">S023</t>
  </si>
  <si>
    <t xml:space="preserve">Openable panoramic (Infinity Roof)</t>
  </si>
  <si>
    <t xml:space="preserve">Brochure 3.2 kW; model page FAQ 3.3 kW. See Q026.</t>
  </si>
  <si>
    <t xml:space="preserve">S021</t>
  </si>
  <si>
    <t xml:space="preserve">S022</t>
  </si>
  <si>
    <t xml:space="preserve">ventilated_2nd_row</t>
  </si>
  <si>
    <t xml:space="preserve">R18 stylised wheel</t>
  </si>
  <si>
    <t xml:space="preserve">powered_boss_mode</t>
  </si>
  <si>
    <t xml:space="preserve">realworld_range_independent</t>
  </si>
  <si>
    <t xml:space="preserve">477 km highway / 478 km city (Autocar India test)</t>
  </si>
  <si>
    <t xml:space="preserve">S024</t>
  </si>
  <si>
    <t xml:space="preserve">Independent test (secondary source). Keep separate from Mahindra claims.</t>
  </si>
  <si>
    <t xml:space="preserve">Pack Two Above 70 kWh</t>
  </si>
  <si>
    <t xml:space="preserve">7, or 6 with captain seats</t>
  </si>
  <si>
    <t xml:space="preserve">R18 alloy</t>
  </si>
  <si>
    <t xml:space="preserve">Pack Two Above 79 kWh</t>
  </si>
  <si>
    <t xml:space="preserve">L2+ (5 radars + 1 camera)</t>
  </si>
  <si>
    <t xml:space="preserve">Pack Three Above 79 kWh</t>
  </si>
  <si>
    <t xml:space="preserve">S025</t>
  </si>
  <si>
    <t xml:space="preserve">Up to 285 km (with AC on)</t>
  </si>
  <si>
    <t xml:space="preserve">Electric Origin models take 140-180 kW.</t>
  </si>
  <si>
    <t xml:space="preserve">dc_charge_time_0_80_min</t>
  </si>
  <si>
    <t xml:space="preserve">S027</t>
  </si>
  <si>
    <t xml:space="preserve">A 7.2 kW or 11.2 kW wall charger cannot charge faster than 6.6 kW on this car.</t>
  </si>
  <si>
    <t xml:space="preserve">Brochure: portable 3.0 kW, but AX5 list says a 3.3 kW wall-mounted unit is included; manual says 3.3 kW. See Q035.</t>
  </si>
  <si>
    <t xml:space="preserve">190 (min, IS:9435)</t>
  </si>
  <si>
    <t xml:space="preserve">135/90 R16</t>
  </si>
  <si>
    <t xml:space="preserve">8 yrs / 1,60,000 km (NOT lifetime)</t>
  </si>
  <si>
    <t xml:space="preserve">Big difference from BE 6 / XEV 9e / XEV 9S lifetime battery warranty.</t>
  </si>
  <si>
    <t xml:space="preserve">3 yrs / unlimited km</t>
  </si>
  <si>
    <t xml:space="preserve">Twin 26.03 cm (10.25 in)</t>
  </si>
  <si>
    <t xml:space="preserve">Single pane</t>
  </si>
  <si>
    <t xml:space="preserve">Not leatherette (AX7L adds leatherette seats)</t>
  </si>
  <si>
    <t xml:space="preserve">R16 diamond-cut alloy</t>
  </si>
  <si>
    <t xml:space="preserve">205/65 R16</t>
  </si>
  <si>
    <t xml:space="preserve">no (height adjust only)</t>
  </si>
  <si>
    <t xml:space="preserve">360-degree with blind view monitor</t>
  </si>
  <si>
    <t xml:space="preserve">Panoramic (Skyroof)</t>
  </si>
  <si>
    <t xml:space="preserve">7-speaker Harman Kardon with subwoofer, Dolby Atmos</t>
  </si>
  <si>
    <t xml:space="preserve">R17 diamond-cut alloy</t>
  </si>
  <si>
    <t xml:space="preserve">215/55 R17</t>
  </si>
  <si>
    <t xml:space="preserve">hill_descent_control</t>
  </si>
  <si>
    <t xml:space="preserve">Not found in quick-reference manual</t>
  </si>
  <si>
    <t xml:space="preserve">Check full manual / brochure</t>
  </si>
  <si>
    <t xml:space="preserve">water_crossing_guidance</t>
  </si>
  <si>
    <t xml:space="preserve">Check full manual</t>
  </si>
  <si>
    <t xml:space="preserve">warranty_rough_use_exclusion</t>
  </si>
  <si>
    <t xml:space="preserve">Not yet checked (BE 6 warranty guide not collected)</t>
  </si>
  <si>
    <t xml:space="preserve">Listed in manual; variant availability not stated</t>
  </si>
  <si>
    <t xml:space="preserve">No rated wading depth. If flooded, do not start; call Mahindra.</t>
  </si>
  <si>
    <t xml:space="preserve">Excludes extreme activities and damage to battery bottom protection cover</t>
  </si>
  <si>
    <t xml:space="preserve">Listed as 'if equipped'</t>
  </si>
  <si>
    <t xml:space="preserve">Ask dealer which variant</t>
  </si>
  <si>
    <t xml:space="preserve">No rated wading depth. Manual warns HV battery will be damaged in deep water; inspect after any water crossing.</t>
  </si>
  <si>
    <t xml:space="preserve">Not yet checked (3XO EV warranty guide not collected)</t>
  </si>
  <si>
    <t xml:space="preserve">S032</t>
  </si>
  <si>
    <t xml:space="preserve">battery_ip_rating</t>
  </si>
  <si>
    <t xml:space="preserve">IP67</t>
  </si>
  <si>
    <t xml:space="preserve">215/60 R16</t>
  </si>
  <si>
    <t xml:space="preserve">3 yrs / 1,25,000 km</t>
  </si>
  <si>
    <t xml:space="preserve">dc_charge_time_10_80_min</t>
  </si>
  <si>
    <t xml:space="preserve">ac_charge_time_10_100_h_7kw</t>
  </si>
  <si>
    <t xml:space="preserve">210-230 km (Tata C75)</t>
  </si>
  <si>
    <t xml:space="preserve">brakes_rear</t>
  </si>
  <si>
    <t xml:space="preserve">Drum</t>
  </si>
  <si>
    <t xml:space="preserve">4 speakers</t>
  </si>
  <si>
    <t xml:space="preserve">17.78 cm touchscreen</t>
  </si>
  <si>
    <t xml:space="preserve">in_car_app_suite</t>
  </si>
  <si>
    <t xml:space="preserve">4 speakers + 4 tweeters</t>
  </si>
  <si>
    <t xml:space="preserve">26.03 cm touchscreen + 26.03 cm cockpit</t>
  </si>
  <si>
    <t xml:space="preserve">350-375 km (Tata C75)</t>
  </si>
  <si>
    <t xml:space="preserve">Lifetime (= 15 yrs from first registration) + unlimited km for first owner; 8 yrs/1.6L km from 2nd registration</t>
  </si>
  <si>
    <t xml:space="preserve">Disc</t>
  </si>
  <si>
    <t xml:space="preserve">360-degree + blind spot view</t>
  </si>
  <si>
    <t xml:space="preserve">Electric sunroof</t>
  </si>
  <si>
    <t xml:space="preserve">JBL audio modes</t>
  </si>
  <si>
    <t xml:space="preserve">L2 (ADAS suite)</t>
  </si>
  <si>
    <t xml:space="preserve">JBL 9-speaker with subwoofer</t>
  </si>
  <si>
    <t xml:space="preserve">31.24 cm touchscreen + 26.03 cm cockpit</t>
  </si>
  <si>
    <t xml:space="preserve">Arcade.ev</t>
  </si>
  <si>
    <t xml:space="preserve">yes (size not stated)</t>
  </si>
  <si>
    <t xml:space="preserve">v2l_kva</t>
  </si>
  <si>
    <t xml:space="preserve">S031</t>
  </si>
  <si>
    <t xml:space="preserve">65+ kW charger</t>
  </si>
  <si>
    <t xml:space="preserve">3.3 kW wall box included</t>
  </si>
  <si>
    <t xml:space="preserve">260-275 km (Tata C75)</t>
  </si>
  <si>
    <t xml:space="preserve">185/70 R15</t>
  </si>
  <si>
    <t xml:space="preserve">certified_range_published</t>
  </si>
  <si>
    <t xml:space="preserve">365-375 km (band, as Tata publishes it)</t>
  </si>
  <si>
    <t xml:space="preserve">Brochure + Tata FAQ</t>
  </si>
  <si>
    <t xml:space="preserve">Rear sensors only</t>
  </si>
  <si>
    <t xml:space="preserve">10.16 cm cluster, no touchscreen</t>
  </si>
  <si>
    <t xml:space="preserve">S040</t>
  </si>
  <si>
    <t xml:space="preserve">Standard from Smart 30 (Tata.ev site)</t>
  </si>
  <si>
    <t xml:space="preserve">hill_hold</t>
  </si>
  <si>
    <t xml:space="preserve">20.32 cm touchscreen</t>
  </si>
  <si>
    <t xml:space="preserve">335-355 km (Tata C75)</t>
  </si>
  <si>
    <t xml:space="preserve">195/60 R16</t>
  </si>
  <si>
    <t xml:space="preserve">Arcade.ev 2.0</t>
  </si>
  <si>
    <t xml:space="preserve">S033</t>
  </si>
  <si>
    <t xml:space="preserve">70+ kW charger</t>
  </si>
  <si>
    <t xml:space="preserve">400-425 km (Tata C75)</t>
  </si>
  <si>
    <t xml:space="preserve">360-degree 3D + blind spot view</t>
  </si>
  <si>
    <t xml:space="preserve">215/60 R17</t>
  </si>
  <si>
    <t xml:space="preserve">Passive ventilation (R-Comfort)</t>
  </si>
  <si>
    <t xml:space="preserve">wall_charger_included</t>
  </si>
  <si>
    <t xml:space="preserve">Not listed on Tata.ev site</t>
  </si>
  <si>
    <t xml:space="preserve">Brochure spec table says 7.2 kW wall box included (footnote Ω); website lists it only on Empowered X. See Q051.</t>
  </si>
  <si>
    <t xml:space="preserve">L2 (ACC stop&amp;go, LKA, AEB, BSD, RCTA)</t>
  </si>
  <si>
    <t xml:space="preserve">215/55 R18</t>
  </si>
  <si>
    <t xml:space="preserve">JBL 9 speakers with subwoofer</t>
  </si>
  <si>
    <t xml:space="preserve">31.24 cm touchscreen</t>
  </si>
  <si>
    <t xml:space="preserve">yes (plus R-Comfort passive ventilation)</t>
  </si>
  <si>
    <t xml:space="preserve">Tata.ev site</t>
  </si>
  <si>
    <t xml:space="preserve">6-way powered</t>
  </si>
  <si>
    <t xml:space="preserve">7.2 kW AC wall box</t>
  </si>
  <si>
    <t xml:space="preserve">S034</t>
  </si>
  <si>
    <t xml:space="preserve">Rated wading depth 600 mm</t>
  </si>
  <si>
    <t xml:space="preserve">approach_angle_deg</t>
  </si>
  <si>
    <t xml:space="preserve">departure_angle_deg</t>
  </si>
  <si>
    <t xml:space="preserve">breakover_angle_deg</t>
  </si>
  <si>
    <t xml:space="preserve">LT 155/90 R18</t>
  </si>
  <si>
    <t xml:space="preserve">Not found in brochure</t>
  </si>
  <si>
    <t xml:space="preserve">Ask dealer</t>
  </si>
  <si>
    <t xml:space="preserve">gradeability_pct</t>
  </si>
  <si>
    <t xml:space="preserve">420-445 km (Tata C75)</t>
  </si>
  <si>
    <t xml:space="preserve">3 (Normal, Wet, Rough)</t>
  </si>
  <si>
    <t xml:space="preserve">no (8-way manual driver)</t>
  </si>
  <si>
    <t xml:space="preserve">Single zone FATC</t>
  </si>
  <si>
    <t xml:space="preserve">yes (PEPS)</t>
  </si>
  <si>
    <t xml:space="preserve">4 years (iRA.ev)</t>
  </si>
  <si>
    <t xml:space="preserve">wall_charger_option</t>
  </si>
  <si>
    <t xml:space="preserve">7.2 kW wall box: +₹50,000 ('ACFC' version)</t>
  </si>
  <si>
    <t xml:space="preserve">Charger is an option, not a separate variant</t>
  </si>
  <si>
    <t xml:space="preserve">Voice-assisted panoramic</t>
  </si>
  <si>
    <t xml:space="preserve">driver_doze_off_alert</t>
  </si>
  <si>
    <t xml:space="preserve">6 + knee airbag</t>
  </si>
  <si>
    <t xml:space="preserve">360-degree 3D</t>
  </si>
  <si>
    <t xml:space="preserve">yes (6-way powered, memory, welcome retract)</t>
  </si>
  <si>
    <t xml:space="preserve">Dual zone FATC, voice assisted</t>
  </si>
  <si>
    <t xml:space="preserve">JBL Black 10 speakers incl. subwoofer</t>
  </si>
  <si>
    <t xml:space="preserve">air_purifier</t>
  </si>
  <si>
    <t xml:space="preserve">yes, with AQI display</t>
  </si>
  <si>
    <t xml:space="preserve">480-505 km (Tata C75)</t>
  </si>
  <si>
    <t xml:space="preserve">4 (Normal, Wet, Rough, Custom)</t>
  </si>
  <si>
    <t xml:space="preserve">L2 (22 features incl. Intelligent Speed Assist)</t>
  </si>
  <si>
    <t xml:space="preserve">540-degree (360 + transparent 180)</t>
  </si>
  <si>
    <t xml:space="preserve">JBL Black 10 speakers, Dolby Atmos</t>
  </si>
  <si>
    <t xml:space="preserve">36.9 cm (14.53 in) Samsung Neo QLED touchscreen</t>
  </si>
  <si>
    <t xml:space="preserve">yes (15 features incl. Summon, Anywhere Parking)</t>
  </si>
  <si>
    <t xml:space="preserve">digital_key</t>
  </si>
  <si>
    <t xml:space="preserve">UWB + NFC + BLE</t>
  </si>
  <si>
    <t xml:space="preserve">dashcam</t>
  </si>
  <si>
    <t xml:space="preserve">E-IRVM with built-in DVR</t>
  </si>
  <si>
    <t xml:space="preserve">116 front + 175 rear</t>
  </si>
  <si>
    <t xml:space="preserve">AWD (QWD dual motor)</t>
  </si>
  <si>
    <t xml:space="preserve">460-490 km (Tata C75)</t>
  </si>
  <si>
    <t xml:space="preserve">6 (Normal, Snow/Grass, Mud-Ruts, Sand, Rock Crawl, Custom)</t>
  </si>
  <si>
    <t xml:space="preserve">off_road_assist</t>
  </si>
  <si>
    <t xml:space="preserve">boost_mode</t>
  </si>
  <si>
    <t xml:space="preserve">S035</t>
  </si>
  <si>
    <t xml:space="preserve">Brochure gives 63 kWh more power (175 kW) than 75 kWh RWD (154 kW). Confirm, see Q043.</t>
  </si>
  <si>
    <t xml:space="preserve">110+ kW charger</t>
  </si>
  <si>
    <t xml:space="preserve">440-460 km (Tata C75)</t>
  </si>
  <si>
    <t xml:space="preserve">Brochure gives terrain modes for Adventure / Empowered only</t>
  </si>
  <si>
    <t xml:space="preserve">225/60 R18</t>
  </si>
  <si>
    <t xml:space="preserve">Rear camera with guides</t>
  </si>
  <si>
    <t xml:space="preserve">8 speakers (4 + 4 tweeters)</t>
  </si>
  <si>
    <t xml:space="preserve">Not stated on site</t>
  </si>
  <si>
    <t xml:space="preserve">iRA.ev, 70 features, 5G (free period not stated)</t>
  </si>
  <si>
    <t xml:space="preserve">7.2 kW wall box: +₹49,000 ('ACFC' version)</t>
  </si>
  <si>
    <t xml:space="preserve">Harrier.ev ACFC is +₹50,000</t>
  </si>
  <si>
    <t xml:space="preserve">360-degree HD with blind spot view</t>
  </si>
  <si>
    <t xml:space="preserve">12 JBL Black speakers, Dolby Atmos</t>
  </si>
  <si>
    <t xml:space="preserve">Arcade.ev (30+ apps)</t>
  </si>
  <si>
    <t xml:space="preserve">yes (Boss Mode)</t>
  </si>
  <si>
    <t xml:space="preserve">120+ kW charger</t>
  </si>
  <si>
    <t xml:space="preserve">510-530 km (Tata C75)</t>
  </si>
  <si>
    <t xml:space="preserve">Triple screen (Horizon View)</t>
  </si>
  <si>
    <t xml:space="preserve">yes (6-way powered, memory, welcome)</t>
  </si>
  <si>
    <t xml:space="preserve">Dual zone DATC</t>
  </si>
  <si>
    <t xml:space="preserve">Smartphone + NFC card</t>
  </si>
  <si>
    <t xml:space="preserve">225/55 R19</t>
  </si>
  <si>
    <t xml:space="preserve">L2+ (23 features)</t>
  </si>
  <si>
    <t xml:space="preserve">yes (HypAR AR HUD)</t>
  </si>
  <si>
    <t xml:space="preserve">yes (15 features)</t>
  </si>
  <si>
    <t xml:space="preserve">powered_co_driver_seat</t>
  </si>
  <si>
    <t xml:space="preserve">4-way powered</t>
  </si>
  <si>
    <t xml:space="preserve">103 front + 154 rear</t>
  </si>
  <si>
    <t xml:space="preserve">480-500 km (Tata C75)</t>
  </si>
  <si>
    <t xml:space="preserve">S038</t>
  </si>
  <si>
    <t xml:space="preserve">Not in Tata brochure; 5 seats per CarDekho, Team-BHP, 91wheels, CarTrade, Bajaj Finserv (S060)</t>
  </si>
  <si>
    <t xml:space="preserve">Not stated in the brochure</t>
  </si>
  <si>
    <t xml:space="preserve">Autocar says front motor (secondary); verify</t>
  </si>
  <si>
    <t xml:space="preserve">175/65 R14</t>
  </si>
  <si>
    <t xml:space="preserve">AI transcription + CarDekho current listing agree (S060)</t>
  </si>
  <si>
    <t xml:space="preserve">Only in AI transcription of brochure; check against PDF p.33</t>
  </si>
  <si>
    <t xml:space="preserve">Open - verify with dealer or road test</t>
  </si>
  <si>
    <t xml:space="preserve">3.3 kW AC wall box</t>
  </si>
  <si>
    <t xml:space="preserve">Raw paste has '35 min' without label; AI says 10-80% on 30 kW</t>
  </si>
  <si>
    <t xml:space="preserve">Raw paste has '30 min' without label; AI says 20-80%</t>
  </si>
  <si>
    <t xml:space="preserve">dc_fast_charge_claim</t>
  </si>
  <si>
    <t xml:space="preserve">100 km added in 18 min</t>
  </si>
  <si>
    <t xml:space="preserve">Brochure marketing claim</t>
  </si>
  <si>
    <t xml:space="preserve">Standard on all</t>
  </si>
  <si>
    <t xml:space="preserve">zero_to_60_s</t>
  </si>
  <si>
    <t xml:space="preserve">Label lost in raw paste; AI says 0-60 km/h</t>
  </si>
  <si>
    <t xml:space="preserve">160-170 km (Tata C75)</t>
  </si>
  <si>
    <t xml:space="preserve">ac_charge_time_10_100_h_3kw</t>
  </si>
  <si>
    <t xml:space="preserve">Rear parking sensor only</t>
  </si>
  <si>
    <t xml:space="preserve">Confirmed on Tata.ev site</t>
  </si>
  <si>
    <t xml:space="preserve">Digital cluster, no touchscreen</t>
  </si>
  <si>
    <t xml:space="preserve">Fully automatic (FATC)</t>
  </si>
  <si>
    <t xml:space="preserve">R14 steel</t>
  </si>
  <si>
    <t xml:space="preserve">rear_ac_vents</t>
  </si>
  <si>
    <t xml:space="preserve">Tata.ev site lists ESP only on Creative+ 24</t>
  </si>
  <si>
    <t xml:space="preserve">HD rear camera</t>
  </si>
  <si>
    <t xml:space="preserve">R14 steel with wheel covers</t>
  </si>
  <si>
    <t xml:space="preserve">205-215 km (Tata C75)</t>
  </si>
  <si>
    <t xml:space="preserve">360-degree HD + blind view monitor</t>
  </si>
  <si>
    <t xml:space="preserve">26.03 cm HD touchscreen</t>
  </si>
  <si>
    <t xml:space="preserve">R14 Hyperstyle</t>
  </si>
  <si>
    <t xml:space="preserve">yes, with traction control</t>
  </si>
  <si>
    <t xml:space="preserve">S030</t>
  </si>
  <si>
    <t xml:space="preserve">9.4 (from AC home wallbox)</t>
  </si>
  <si>
    <t xml:space="preserve">181 km highway / 200 km city (Autocar road test, Eco mode)</t>
  </si>
  <si>
    <t xml:space="preserve">S045</t>
  </si>
  <si>
    <t xml:space="preserve">Independent test, secondary source. Claimed 315 km.</t>
  </si>
  <si>
    <t xml:space="preserve">Not listed on site</t>
  </si>
  <si>
    <t xml:space="preserve">usb_c_fast_charge</t>
  </si>
  <si>
    <t xml:space="preserve">45W front + rear</t>
  </si>
  <si>
    <t xml:space="preserve">electric_parking_brake</t>
  </si>
  <si>
    <t xml:space="preserve">yes, with autohold</t>
  </si>
  <si>
    <t xml:space="preserve">rear_seat_split</t>
  </si>
  <si>
    <t xml:space="preserve">60:40</t>
  </si>
  <si>
    <t xml:space="preserve">7.2 kW AC fast charger</t>
  </si>
  <si>
    <t xml:space="preserve">abs_ebd</t>
  </si>
  <si>
    <t xml:space="preserve">yes, with CSC</t>
  </si>
  <si>
    <t xml:space="preserve">R14 steel with hub cap</t>
  </si>
  <si>
    <t xml:space="preserve">orvm</t>
  </si>
  <si>
    <t xml:space="preserve">Manual</t>
  </si>
  <si>
    <t xml:space="preserve">power_windows</t>
  </si>
  <si>
    <t xml:space="preserve">Front only</t>
  </si>
  <si>
    <t xml:space="preserve">Rear parking sensors only</t>
  </si>
  <si>
    <t xml:space="preserve">iTPMS</t>
  </si>
  <si>
    <t xml:space="preserve">Puncture repair kit (no spare listed)</t>
  </si>
  <si>
    <t xml:space="preserve">3.3 kW AC charger</t>
  </si>
  <si>
    <t xml:space="preserve">central_locking</t>
  </si>
  <si>
    <t xml:space="preserve">Fabric (not stated)</t>
  </si>
  <si>
    <t xml:space="preserve">R14 steel with wheel cover</t>
  </si>
  <si>
    <t xml:space="preserve">All four</t>
  </si>
  <si>
    <t xml:space="preserve">Rear parking sensors with display</t>
  </si>
  <si>
    <t xml:space="preserve">7-inch touchscreen</t>
  </si>
  <si>
    <t xml:space="preserve">Rear view camera</t>
  </si>
  <si>
    <t xml:space="preserve">8 speakers</t>
  </si>
  <si>
    <t xml:space="preserve">headlamps</t>
  </si>
  <si>
    <t xml:space="preserve">Projector + DRL</t>
  </si>
  <si>
    <t xml:space="preserve">auto_headlamps_wipers</t>
  </si>
  <si>
    <t xml:space="preserve">roof</t>
  </si>
  <si>
    <t xml:space="preserve">Piano black roof</t>
  </si>
  <si>
    <t xml:space="preserve">Brochure: ESP in base ONE safety list, carried to all variants</t>
  </si>
  <si>
    <t xml:space="preserve">Fun&amp;Work (60+ apps)</t>
  </si>
  <si>
    <t xml:space="preserve">Brochure: base ONE technology list</t>
  </si>
  <si>
    <t xml:space="preserve">Brochure feature table: ESP standard on all packs</t>
  </si>
  <si>
    <t xml:space="preserve">Fun&amp;Work (60+ in-built apps)</t>
  </si>
  <si>
    <t xml:space="preserve">Brochure feature table: standard on all packs</t>
  </si>
  <si>
    <t xml:space="preserve">Not stated for Cineluxe</t>
  </si>
  <si>
    <t xml:space="preserve">Cineluxe is not in the brochure; its page doesn't mention ESP. Not inferred from Pack Three.</t>
  </si>
  <si>
    <t xml:space="preserve">Not inferred from Pack Three.</t>
  </si>
  <si>
    <t xml:space="preserve">Brochure AX5 list: Electronic Stability Program (ESP)</t>
  </si>
  <si>
    <t xml:space="preserve">Brochure lists Adrenox infotainment with Alexa, but no app suite</t>
  </si>
  <si>
    <t xml:space="preserve">yes, with i-VBAC</t>
  </si>
  <si>
    <t xml:space="preserve">Brochure + site: Creative+ MR (base) lists ESP</t>
  </si>
  <si>
    <t xml:space="preserve">Brochure: Accomplished X (base) lists ESP</t>
  </si>
  <si>
    <t xml:space="preserve">Not in Accomplished X lists</t>
  </si>
  <si>
    <t xml:space="preserve">Tata.ev site, Empowered X</t>
  </si>
  <si>
    <t xml:space="preserve">Tata.ev site: Adventure (base) lists ESP</t>
  </si>
  <si>
    <t xml:space="preserve">yes, with 19 features</t>
  </si>
  <si>
    <t xml:space="preserve">Tata.ev site: Pure (base) lists ESP</t>
  </si>
  <si>
    <t xml:space="preserve">Not in brochure or site variant lists</t>
  </si>
  <si>
    <t xml:space="preserve">Brochure + site list ABS with EBD and CSC (corner stability control), not ESP</t>
  </si>
  <si>
    <t xml:space="preserve">bncap_rating_applies</t>
  </si>
  <si>
    <t xml:space="preserve">BE 6, tested Jan 2025 (before SPORTEQ update)</t>
  </si>
  <si>
    <t xml:space="preserve">S046</t>
  </si>
  <si>
    <t xml:space="preserve">Does it cover SPORTEQ? Check 'Ratings Applicability' tab</t>
  </si>
  <si>
    <t xml:space="preserve">bncap_adult_score</t>
  </si>
  <si>
    <t xml:space="preserve">31.97 / 32</t>
  </si>
  <si>
    <t xml:space="preserve">Score is for BE 6 (2025); applicability to SPORTEQ unconfirmed</t>
  </si>
  <si>
    <t xml:space="preserve">bncap_child_score</t>
  </si>
  <si>
    <t xml:space="preserve">45.00 / 49</t>
  </si>
  <si>
    <t xml:space="preserve">Same as above</t>
  </si>
  <si>
    <t xml:space="preserve">bncap_stars</t>
  </si>
  <si>
    <t xml:space="preserve">5 adult / 5 child</t>
  </si>
  <si>
    <t xml:space="preserve">Stars per portal; applicability to SPORTEQ unconfirmed</t>
  </si>
  <si>
    <t xml:space="preserve">XEV 9e (listing 'January 2025 - Onwards')</t>
  </si>
  <si>
    <t xml:space="preserve">Check 'Ratings Applicability' tab for Cineluxe</t>
  </si>
  <si>
    <t xml:space="preserve">32.00 / 32</t>
  </si>
  <si>
    <t xml:space="preserve">Portal, reported by Madhu 23 Oct 2026</t>
  </si>
  <si>
    <t xml:space="preserve">Not tested (not on Bharat NCAP portal)</t>
  </si>
  <si>
    <t xml:space="preserve">Checked 23 Oct 2026</t>
  </si>
  <si>
    <t xml:space="preserve">EV not listed. Only petrol/diesel XUV 3XO is rated</t>
  </si>
  <si>
    <t xml:space="preserve">Do NOT apply ICE rating to EV</t>
  </si>
  <si>
    <t xml:space="preserve">bncap_ice_sibling_score</t>
  </si>
  <si>
    <t xml:space="preserve">XUV 3XO (petrol/diesel): adult 29.36 / 32, child 43.00 / 49 (Nov 2024)</t>
  </si>
  <si>
    <t xml:space="preserve">Reference only, not the EV's rating</t>
  </si>
  <si>
    <t xml:space="preserve">Unclear: annexure lists 'MR CRE / MR FEA' (2024) and 'CRE 35 / FEA 35' (2025), not today's 30 kWh 'Creative+ MR / Fearless MR'</t>
  </si>
  <si>
    <t xml:space="preserve">S049</t>
  </si>
  <si>
    <t xml:space="preserve">Ask Tata/dealer whether current MR is covered. See Q060.</t>
  </si>
  <si>
    <t xml:space="preserve">29.86 / 32</t>
  </si>
  <si>
    <t xml:space="preserve">44.95 / 49</t>
  </si>
  <si>
    <t xml:space="preserve">Yes: annexure lists 'CRE 45' (Sept 2025 revision). Tested 2024.</t>
  </si>
  <si>
    <t xml:space="preserve">Yes: annexure lists 'FEA 45' (Sept 2025 revision). Tested 2024.</t>
  </si>
  <si>
    <t xml:space="preserve">Yes: annexure lists 'EMP 45' (Sept 2025 revision). Tested 2024.</t>
  </si>
  <si>
    <t xml:space="preserve">Yes: annexure lists 'EMP+ A 45' (Sept 2025 revision). Tested 2024.</t>
  </si>
  <si>
    <t xml:space="preserve">Yes: annexure lists 'SMT 30' (Punch.ev 2026, May 2026)</t>
  </si>
  <si>
    <t xml:space="preserve">S048</t>
  </si>
  <si>
    <t xml:space="preserve">31.09 / 32</t>
  </si>
  <si>
    <t xml:space="preserve">Yes: annexure lists 'SMT+ 30' (Punch.ev 2026, May 2026)</t>
  </si>
  <si>
    <t xml:space="preserve">Yes: annexure lists 'SMT+40' (Punch.ev 2026, May 2026)</t>
  </si>
  <si>
    <t xml:space="preserve">Yes: annexure lists 'ADV 40' (Punch.ev 2026, May 2026)</t>
  </si>
  <si>
    <t xml:space="preserve">Yes: annexure lists 'EMP 40' (Punch.ev 2026, May 2026)</t>
  </si>
  <si>
    <t xml:space="preserve">Yes: annexure lists 'EMP+S 40' (Punch.ev 2026, May 2026)</t>
  </si>
  <si>
    <t xml:space="preserve">Yes: annexure lists 'ACC X 55' (Rev 2, Mar 2026). Tested 2024.</t>
  </si>
  <si>
    <t xml:space="preserve">S047</t>
  </si>
  <si>
    <t xml:space="preserve">30.81 / 32</t>
  </si>
  <si>
    <t xml:space="preserve">44.83 / 49</t>
  </si>
  <si>
    <t xml:space="preserve">Yes: annexure lists 'EMP X 55' (Rev 2, Mar 2026). Tested 2024.</t>
  </si>
  <si>
    <t xml:space="preserve">EV not listed. Fact sheet covers Harrier/Safari diesel + petrol only</t>
  </si>
  <si>
    <t xml:space="preserve">S050</t>
  </si>
  <si>
    <t xml:space="preserve">Harrier/Safari (diesel/petrol): adult 30.08 / 32, child 44.54 / 49, 5 stars (tested 2023)</t>
  </si>
  <si>
    <t xml:space="preserve">Checked by Madhu 23 Oct 2026</t>
  </si>
  <si>
    <t xml:space="preserve">439 km city / 459 km highway / 449 km combined (Autocar test)</t>
  </si>
  <si>
    <t xml:space="preserve">S052</t>
  </si>
  <si>
    <t xml:space="preserve">Tested BE 6 79 kWh before SPORTEQ; Autocar says same battery and motor.</t>
  </si>
  <si>
    <t xml:space="preserve">efficiency_km_per_kwh_tested</t>
  </si>
  <si>
    <t xml:space="preserve">km/kWh</t>
  </si>
  <si>
    <t xml:space="preserve">Combined. City 5.55, highway 5.81. Tested BE 6 79 kWh before SPORTEQ; Autocar says same battery and motor.</t>
  </si>
  <si>
    <t xml:space="preserve">425 km city / 488 km highway / 456 km combined (Autocar test)</t>
  </si>
  <si>
    <t xml:space="preserve">79 kWh tested.</t>
  </si>
  <si>
    <t xml:space="preserve">350 km combined (Autocar test)</t>
  </si>
  <si>
    <t xml:space="preserve">Nexon.ev 45 tested.</t>
  </si>
  <si>
    <t xml:space="preserve">Combined. City 7.9, highway 7.67. Nexon.ev 45 tested.</t>
  </si>
  <si>
    <t xml:space="preserve">317 km city / 291 km highway / 304 km combined (Autocar test)</t>
  </si>
  <si>
    <t xml:space="preserve">2026 Punch.ev 40 tested.</t>
  </si>
  <si>
    <t xml:space="preserve">Combined. City 7.92, highway 7.29. 2026 Punch.ev 40 tested.</t>
  </si>
  <si>
    <t xml:space="preserve">365 km combined (Autocar test)</t>
  </si>
  <si>
    <t xml:space="preserve">Curvv.ev 55 tested.</t>
  </si>
  <si>
    <t xml:space="preserve">Combined. City 6.75, highway 6.52. Curvv.ev 55 tested.</t>
  </si>
  <si>
    <t xml:space="preserve">409 km city / 393 km highway / 401 km combined (Autocar test)</t>
  </si>
  <si>
    <t xml:space="preserve">Harrier.ev AWD 75 kWh tested.</t>
  </si>
  <si>
    <t xml:space="preserve">Combined. Harrier.ev AWD 75 kWh tested.</t>
  </si>
  <si>
    <t xml:space="preserve">187 km combined (Autocar test)</t>
  </si>
  <si>
    <t xml:space="preserve">Tested BEFORE May 2026 facelift (same 24 kWh pack size); use with care.</t>
  </si>
  <si>
    <t xml:space="preserve">Combined. Tested BEFORE May 2026 facelift (same 24 kWh pack size); use with care.</t>
  </si>
  <si>
    <t xml:space="preserve">Combined. Combined figure; earlier test gave 181 hwy / 200 city.</t>
  </si>
  <si>
    <t xml:space="preserve">Portfolio-level wording, not a model-specific sentence</t>
  </si>
  <si>
    <t xml:space="preserve">body_type_maker_wording</t>
  </si>
  <si>
    <t xml:space="preserve">'Electric Origin SUVs' branding + 'Mahindra eSUV portfolio' (brochure)</t>
  </si>
  <si>
    <t xml:space="preserve">'5-seater luxury electric SUV coupé' (model page); 'SUV coupé design' (brochure)</t>
  </si>
  <si>
    <t xml:space="preserve">'Authentic 7-seater electric SUV' (model page)</t>
  </si>
  <si>
    <t xml:space="preserve">S044</t>
  </si>
  <si>
    <t xml:space="preserve">Secondary source (Autocar) per rule: maker first, else Autocar</t>
  </si>
  <si>
    <t xml:space="preserve">Not stated by Mahindra (manual screens say 'My SUV'). Autocar: Body Style 'SUV', 'compact SUV'</t>
  </si>
  <si>
    <t xml:space="preserve">S043</t>
  </si>
  <si>
    <t xml:space="preserve">Secondary source (Autocar)</t>
  </si>
  <si>
    <t xml:space="preserve">Not stated by Tata. Autocar lists Nexon EV in Tata's SUV line-up</t>
  </si>
  <si>
    <t xml:space="preserve">'Electric SUV made easy' (brochure)</t>
  </si>
  <si>
    <t xml:space="preserve">'An SUV with the sophistication of a coupé' (brochure)</t>
  </si>
  <si>
    <t xml:space="preserve">'redefining what an SUV means' (brochure)</t>
  </si>
  <si>
    <t xml:space="preserve">Not stated by Tata. Autocar: 'Tata Motors' newest electric SUV'</t>
  </si>
  <si>
    <t xml:space="preserve">Not stated by Tata. Autocar: 'cheapest long-range electric hatchback'; listed among Tata hatchbacks</t>
  </si>
  <si>
    <t xml:space="preserve">Not stated by Tata. Autocar: body type 'Sedan', 'compact sedan'</t>
  </si>
  <si>
    <t xml:space="preserve">what it is</t>
  </si>
  <si>
    <t xml:space="preserve">source_type</t>
  </si>
  <si>
    <t xml:space="preserve">url</t>
  </si>
  <si>
    <t xml:space="preserve">saved_file</t>
  </si>
  <si>
    <t xml:space="preserve">what it supports</t>
  </si>
  <si>
    <t xml:space="preserve">S001</t>
  </si>
  <si>
    <t xml:space="preserve">TimesDrive: BE 6 Sporteq variant-wise pricing (news)</t>
  </si>
  <si>
    <t xml:space="preserve">secondary</t>
  </si>
  <si>
    <t xml:space="preserve">https://www.timesdrive.in/news/mahindra-be-6-sporteq-edition-launched-in-india-at-rs-11-45-lakh-with-baas-check-variant-wise-pricing-article-155668115</t>
  </si>
  <si>
    <t xml:space="preserve">Full list of 12 variant names and ex-showroom prices</t>
  </si>
  <si>
    <t xml:space="preserve">S002</t>
  </si>
  <si>
    <t xml:space="preserve">Gaadify: BE 6 Sporteq launch article (news)</t>
  </si>
  <si>
    <t xml:space="preserve">https://gaadify.com/2026-mahindra-be-6-sporteq-launched-with-new-dashboard-and-triple-screen-setup/</t>
  </si>
  <si>
    <t xml:space="preserve">Described BaaS as '+ ₹3.75/km'. WRONG: Mahindra says it is a loan, not per-km (S010)</t>
  </si>
  <si>
    <t xml:space="preserve">S003</t>
  </si>
  <si>
    <t xml:space="preserve">Gaadify: BE 6 Sporteq One variant detailed (news)</t>
  </si>
  <si>
    <t xml:space="preserve">https://gaadify.com/mahindra-be-6-sporteq-one-variant-detailed-price-features-specs-and-images/</t>
  </si>
  <si>
    <t xml:space="preserve">59 kWh claimed 573 km (MIDC P1+P2)</t>
  </si>
  <si>
    <t xml:space="preserve">S004</t>
  </si>
  <si>
    <t xml:space="preserve">91wheels: BE 6 Sporteq launch news (aggregator)</t>
  </si>
  <si>
    <t xml:space="preserve">https://www.91wheels.com/news/mahindra-be-6-sporteq-launched-at-rs-1945-lakh-know-more</t>
  </si>
  <si>
    <t xml:space="preserve">Says 59 kWh = 548 km, 79 kWh = 683 km. Conflicts with S003.</t>
  </si>
  <si>
    <t xml:space="preserve">S005</t>
  </si>
  <si>
    <t xml:space="preserve">Spinny blog: BE 6 Sporteq launch (aggregator)</t>
  </si>
  <si>
    <t xml:space="preserve">https://www.spinny.com/blog/mahindra-be-6-sporteq-launched-at-rs-19-45-lakh/</t>
  </si>
  <si>
    <t xml:space="preserve">DC fast charge 140/160/180 kW; BaaS only on One and Two 59 kWh; Launch Edition paint</t>
  </si>
  <si>
    <t xml:space="preserve">S006</t>
  </si>
  <si>
    <t xml:space="preserve">CarDekho: which variant gets which battery (news)</t>
  </si>
  <si>
    <t xml:space="preserve">https://www.cardekho.com/india-car-news/2026-mahindra-be-6-sporteq-which-variant-gets-what-battery-pack-detailed-36521.htm</t>
  </si>
  <si>
    <t xml:space="preserve">Trim-to-battery mapping</t>
  </si>
  <si>
    <t xml:space="preserve">S007</t>
  </si>
  <si>
    <t xml:space="preserve">Mahindra Book Now / variant selection page</t>
  </si>
  <si>
    <t xml:space="preserve">OFFICIAL</t>
  </si>
  <si>
    <t xml:space="preserve">https://www.mahindraelectricsuv.com/own-online/variant-selection?pid=MBE6</t>
  </si>
  <si>
    <t xml:space="preserve">(save PDF)</t>
  </si>
  <si>
    <t xml:space="preserve">TO DO: battery-included prices for all variants except One</t>
  </si>
  <si>
    <t xml:space="preserve">Mahindra BE 6 SPORTEQ brochure, version V5 dated 12.10.2026</t>
  </si>
  <si>
    <t xml:space="preserve">(uploaded file)</t>
  </si>
  <si>
    <t xml:space="preserve">BE6_SPORTEQ_BROCHURE.pdf</t>
  </si>
  <si>
    <t xml:space="preserve">Battery, range, motor, charging, dimensions, warranty, all variant features. Has NO prices.</t>
  </si>
  <si>
    <t xml:space="preserve">S010</t>
  </si>
  <si>
    <t xml:space="preserve">Mahindra BaaS FAQ page (official)</t>
  </si>
  <si>
    <t xml:space="preserve">https://www.mahindraelectricsuv.com/be-6-sporteq/baas-faq.html</t>
  </si>
  <si>
    <t xml:space="preserve">Mahindra_BaaS_FAQs___Battery-as-a-Service_for_EVs.pdf</t>
  </si>
  <si>
    <t xml:space="preserve">BaaS prices for ALL BE 6 / XEV 9S / XEV 9e variants; BaaS is a dual loan, not pay-per-km</t>
  </si>
  <si>
    <t xml:space="preserve">Mahindra BE 6 SPORTEQ page, FAQ section (official)</t>
  </si>
  <si>
    <t xml:space="preserve">https://www.mahindraelectricsuv.com/esuv/be6sporteq.html</t>
  </si>
  <si>
    <t xml:space="preserve">(save as PDF)</t>
  </si>
  <si>
    <t xml:space="preserve">One 59 kWh price ₹19.45L; ranges 573/651/708; real-world 400+/450+/500+ km</t>
  </si>
  <si>
    <t xml:space="preserve">BE 6 Quick Reference Vehicle Manual, issue Feb 2025 (official)</t>
  </si>
  <si>
    <t xml:space="preserve">OFFICIAL (older model)</t>
  </si>
  <si>
    <t xml:space="preserve">https://www.mahindraelectricsuv.com/on/demandware.static/-/Library-Sites-eSUVSharedLibrary/default/dw12dff5e3/ImportantDocs/Vehicle%20Manual_BE6.pdf</t>
  </si>
  <si>
    <t xml:space="preserve">Vehicle_Manual_BE6.pdf</t>
  </si>
  <si>
    <t xml:space="preserve">Original BE 6, NOT SPORTEQ: only 59/79 kWh, 380 Nm. Used only for tyres, onboard charger, voltage. No seating, weights or service schedule.</t>
  </si>
  <si>
    <t xml:space="preserve">S013</t>
  </si>
  <si>
    <t xml:space="preserve">Mahindra e-Verito owner's manual</t>
  </si>
  <si>
    <t xml:space="preserve">REJECTED</t>
  </si>
  <si>
    <t xml:space="preserve">Mahindra_Owners_Manual_E_Verito1.pdf</t>
  </si>
  <si>
    <t xml:space="preserve">Wrong vehicle (old electric sedan). Do not use.</t>
  </si>
  <si>
    <t xml:space="preserve">Mahindra website AI chatbot (answers pasted by Madhu)</t>
  </si>
  <si>
    <t xml:space="preserve">official channel, AI</t>
  </si>
  <si>
    <t xml:space="preserve">mahindraelectricsuv.com chatbot</t>
  </si>
  <si>
    <t xml:space="preserve">(screenshots)</t>
  </si>
  <si>
    <t xml:space="preserve">Prices for 9 battery-included variants match S001. Seating 5. Wall charger ₹50k / ₹75k. RANGES WRONG (557/600/683): rejected.</t>
  </si>
  <si>
    <t xml:space="preserve">Mahindra XEV 9e brochure R1 20260428, version V31 (official)</t>
  </si>
  <si>
    <t xml:space="preserve">mahindraelectricsuv.com XEV 9e page &gt; Download Brochure</t>
  </si>
  <si>
    <t xml:space="preserve">XEV9e_BROCHURE_R1_20260428.pdf</t>
  </si>
  <si>
    <t xml:space="preserve">Variants (Pack One/Two/Three Select/Three), battery, range, motor, dimensions, charging, full feature table. No Cineluxe, no prices.</t>
  </si>
  <si>
    <t xml:space="preserve">Mahindra XEV 9e model page incl. FAQ, saved 22 Oct 2026 (official)</t>
  </si>
  <si>
    <t xml:space="preserve">https://www.mahindraelectricsuv.com/esuv/xev-9e/MXV9.html</t>
  </si>
  <si>
    <t xml:space="preserve">Mahindra_XEV_9e_eSUV_-FAQs.pdf</t>
  </si>
  <si>
    <t xml:space="preserve">Pack One price ₹21.90L; 6 trim+battery combos incl. Cineluxe 79; ranges 522/656; real-world 400+/500+; 5-seater</t>
  </si>
  <si>
    <t xml:space="preserve">XEV 9e Warranty &amp; Service Information Guide, issue Mar 2025, release Apr 2026 (official)</t>
  </si>
  <si>
    <t xml:space="preserve">mahindraelectricsuv.com/importantdocs.html</t>
  </si>
  <si>
    <t xml:space="preserve">XEV9e_Warranty_Service.pdf</t>
  </si>
  <si>
    <t xml:space="preserve">Vehicle 3 yrs/unlimited km; battery lifetime; motor 8 yrs/1.6L km; battery SOH guarantee; service every 10,000 km; RSA 3 yrs</t>
  </si>
  <si>
    <t xml:space="preserve">XEV 9e detailed Vehicle Manual (HTML print), issue Mar 2025 (official)</t>
  </si>
  <si>
    <t xml:space="preserve">OFFICIAL (older)</t>
  </si>
  <si>
    <t xml:space="preserve">booking.mahindra.com XEV9e-OM.html</t>
  </si>
  <si>
    <t xml:space="preserve">Vehicle_Manual_XEV_9E.pdf</t>
  </si>
  <si>
    <t xml:space="preserve">Tyre pressure 36 psi, onboard charger 11 kW, voltage 307/409 V, optional R20 tyres. No seating or kerb weight.</t>
  </si>
  <si>
    <t xml:space="preserve">Mahindra XEV 9e Cineluxe page incl. FAQ, saved 22 Oct 2026 (official)</t>
  </si>
  <si>
    <t xml:space="preserve">https://www.mahindraelectricsuv.com/esuv/xev-9e/cineluxe.html</t>
  </si>
  <si>
    <t xml:space="preserve">Mahindra_XEV_9e_Cineluxe_Edition_-_Price__Range___Colours.pdf</t>
  </si>
  <si>
    <t xml:space="preserve">Cineluxe ₹29.35L; BaaS ₹19.35L; 79 kWh, 656 km, 180 kW DC; wall charger 11.2 kW ₹75,000 / 7.2 kW ₹60,000; portable 3.3 kW</t>
  </si>
  <si>
    <t xml:space="preserve">Mahindra XEV 9S brochure R20_V1, version V8, file dated Aug 2026 (official)</t>
  </si>
  <si>
    <t xml:space="preserve">mahindraelectricsuv.com XEV 9S page &gt; Download Brochure</t>
  </si>
  <si>
    <t xml:space="preserve">XEV9S_BROCHURE.pdf</t>
  </si>
  <si>
    <t xml:space="preserve">4 trims, 59/70/79 kWh, ranges 521/600/679, dimensions, 6/7 seats, openable sunroof all variants, full feature table. No prices.</t>
  </si>
  <si>
    <t xml:space="preserve">Mahindra XEV 9S model page incl. FAQ, saved 22 Oct 2026 (official)</t>
  </si>
  <si>
    <t xml:space="preserve">mahindraelectricsuv.com XEV 9S page</t>
  </si>
  <si>
    <t xml:space="preserve">Mahindra_XEV_9S_7-Seater_eSUV_.pdf</t>
  </si>
  <si>
    <t xml:space="preserve">Pack One Above 59 ₹21.40L; Three Above 79 6-seater ₹30.15L (+₹75k charger); real-world 400+/450+/500+; 7.2 kW charger ₹60,000</t>
  </si>
  <si>
    <t xml:space="preserve">XEV 9S Warranty &amp; Service Information Guide, issue Dec 2025, release Apr 2026 (official)</t>
  </si>
  <si>
    <t xml:space="preserve">XEV9S_WSIG.pdf</t>
  </si>
  <si>
    <t xml:space="preserve">Same warranty terms as XEV 9e; service every 10,000 km; 3 labour-free services</t>
  </si>
  <si>
    <t xml:space="preserve">XEV 9S Owner's Manual (HTML print), issue Jan 2026 (official)</t>
  </si>
  <si>
    <t xml:space="preserve">mvault-cloudfront.mahindra.com XEV 9S HTML</t>
  </si>
  <si>
    <t xml:space="preserve">Owner_s_Manual_XEV_9S.pdf</t>
  </si>
  <si>
    <t xml:space="preserve">Power 170/180/210 kW, voltage 307/358/409 V, onboard 11 kW, tyre 235/60 R18, 36 psi. No kerb weight.</t>
  </si>
  <si>
    <t xml:space="preserve">Autocar India XEV 9S specifications page (independent test)</t>
  </si>
  <si>
    <t xml:space="preserve">https://www.autocarindia.com/cars/mahindra/xev-9s/specifications</t>
  </si>
  <si>
    <t xml:space="preserve">Tested range, 79 kWh: 477 km highway, 478 km city</t>
  </si>
  <si>
    <t xml:space="preserve">Mahindra XUV 3XO EV brochure R3, version V2, dated Jun 2026 (official)</t>
  </si>
  <si>
    <t xml:space="preserve">auto.mahindra.com XUV 3XO EV page</t>
  </si>
  <si>
    <t xml:space="preserve">29-06-MM-3XO-EV-BROCHURE_R3.pdf</t>
  </si>
  <si>
    <t xml:space="preserve">AX5 / AX7L, 39.4 kWh, MIDC P1+P2 351 km (P1 only 456 km), real-world 285 km, 50 kW DC, battery warranty 8 yrs/1.6L km</t>
  </si>
  <si>
    <t xml:space="preserve">S026</t>
  </si>
  <si>
    <t xml:space="preserve">Mahindra XUV 3XO EV launch press release, 6 Jan 2026 (official)</t>
  </si>
  <si>
    <t xml:space="preserve">https://auto.mahindra.com/press-release/mahindra-introduces-xuv-3xo-ev-range.html</t>
  </si>
  <si>
    <t xml:space="preserve">Starting price ₹13.89L (AX5)</t>
  </si>
  <si>
    <t xml:space="preserve">XUV 3XO EV Owner's Manual, issue Nov 2025, rev Aug 2026 (official)</t>
  </si>
  <si>
    <t xml:space="preserve">mvault.mahindra.com</t>
  </si>
  <si>
    <t xml:space="preserve">Owner_s_Manual_XUV_3XO.pdf</t>
  </si>
  <si>
    <t xml:space="preserve">EV confirmed despite file name. 110 kW, 310 Nm, onboard charger 6.6 kW, lists 39.4 AND 34.43 kWh packs, tyre pressure 32/34 psi</t>
  </si>
  <si>
    <t xml:space="preserve">S028</t>
  </si>
  <si>
    <t xml:space="preserve">XUV400 EC Pro / EL Pro brochure, Feb 2024 (official but OLD)</t>
  </si>
  <si>
    <t xml:space="preserve">OFFICIAL (old)</t>
  </si>
  <si>
    <t xml:space="preserve">auto.mahindra.com</t>
  </si>
  <si>
    <t xml:space="preserve">XUV400ProRangeBrochure.pdf</t>
  </si>
  <si>
    <t xml:space="preserve">34.5 / 39.4 kWh; range only as MIDC Part 1 (375 / 456 km), not comparable; warranty 8 yrs/1.6L km. Not used for rows.</t>
  </si>
  <si>
    <t xml:space="preserve">S029</t>
  </si>
  <si>
    <t xml:space="preserve">XUV400 Owner's Manual, issue Oct 2023, rev Aug 2026 (official)</t>
  </si>
  <si>
    <t xml:space="preserve">mvault-cloudfront.mahindra.com XUV400</t>
  </si>
  <si>
    <t xml:space="preserve">Owner_s_Manual_XUV_400.pdf</t>
  </si>
  <si>
    <t xml:space="preserve">Same 110 kW / 310 Nm drivetrain as XUV 3XO EV. Revision shows owner support, not that it's still sold.</t>
  </si>
  <si>
    <t xml:space="preserve">Tata Tigor.ev brochure, file dated Sep 2025 (official)</t>
  </si>
  <si>
    <t xml:space="preserve">Tata.ev website</t>
  </si>
  <si>
    <t xml:space="preserve">tigor-ev-brochure.pdf</t>
  </si>
  <si>
    <t xml:space="preserve">XE/XT/XZ+/XZ+ Lux, 26 kWh, 'ARAI certified' 315 km, 55 kW, 2 airbags, 8 yr battery warranty</t>
  </si>
  <si>
    <t xml:space="preserve">Tata Punch.ev brochure, file dated Jun 2026 (official)</t>
  </si>
  <si>
    <t xml:space="preserve">punch-ev-brochure-june.pdf</t>
  </si>
  <si>
    <t xml:space="preserve">30 / 40 kWh, personas Smart to Empowered+ S, MIDC 365-375 / 468 km, C75 range, 40 kWh lifetime warranty</t>
  </si>
  <si>
    <t xml:space="preserve">Tata Nexon.ev brochure, file dated Oct 2026 (official)</t>
  </si>
  <si>
    <t xml:space="preserve">nexon-ev-brochure.pdf</t>
  </si>
  <si>
    <t xml:space="preserve">MR 30 / 45 kWh, 6 personas, MIDC 275 / 489 km, C75 range; 'Lifetime' defined as 15 yrs</t>
  </si>
  <si>
    <t xml:space="preserve">Tata Curvv.ev X brochure, file dated Oct 2026 (official)</t>
  </si>
  <si>
    <t xml:space="preserve">curvv-ev-x-web-brochure.pdf</t>
  </si>
  <si>
    <t xml:space="preserve">55 kWh only, Accomplished X / Empowered X, 502 km, 7.2 kW wall box included</t>
  </si>
  <si>
    <t xml:space="preserve">Tata Harrier.ev brochure, file dated Mar 2026 (official)</t>
  </si>
  <si>
    <t xml:space="preserve">harrier-ev-brochure-oct-26.pdf</t>
  </si>
  <si>
    <t xml:space="preserve">65 / 75 kWh, RWD + QWD AWD, 538 / 627 / 622 km, wading 600 mm, approach 25.3°, departure 26.4°, breakover 16.6°</t>
  </si>
  <si>
    <t xml:space="preserve">Tata Sierra.ev brochure, file dated Jul 2026 (official)</t>
  </si>
  <si>
    <t xml:space="preserve">sierra-ev-brochure.pdf</t>
  </si>
  <si>
    <t xml:space="preserve">63 / 75 kWh, RWD + QWD AWD, 566 / 665 / 624 km, 205 mm clearance, 622 L boot, terrain modes</t>
  </si>
  <si>
    <t xml:space="preserve">S036</t>
  </si>
  <si>
    <t xml:space="preserve">Tata Arcade.ev brochure, file dated Jan 2025 (official)</t>
  </si>
  <si>
    <t xml:space="preserve">arcade-ev-brochure.pdf</t>
  </si>
  <si>
    <t xml:space="preserve">In-car app suite by HARMAN (video, music, gaming, productivity). 'Activate' wording suggests activation step; cost not stated.</t>
  </si>
  <si>
    <t xml:space="preserve">Tata Tiago.ev (Next Gen) brochure, 34 pages: user's raw text paste + AI page transcription</t>
  </si>
  <si>
    <t xml:space="preserve">OFFICIAL (via transcription)</t>
  </si>
  <si>
    <t xml:space="preserve">Tiago Brouchure EV_Final.pdf (PDF not uploaded)</t>
  </si>
  <si>
    <t xml:space="preserve">Values in raw paste = verified. Dimensions, C75, AC charge times = AI transcription only, pending. Upload PDF or screenshot p.33 to verify.</t>
  </si>
  <si>
    <t xml:space="preserve">S039</t>
  </si>
  <si>
    <t xml:space="preserve">Autocar India Tiago.ev page (news)</t>
  </si>
  <si>
    <t xml:space="preserve">https://www.autocarindia.com/cars/tata/tiago-EV</t>
  </si>
  <si>
    <t xml:space="preserve">Price range ₹6.99-9.99L; 4 variants Smart / Pure+ / Creative+</t>
  </si>
  <si>
    <t xml:space="preserve">Tata.ev website variant pages + configurator (ev.tata.cars), pasted by Madhu 23 Oct 2026</t>
  </si>
  <si>
    <t xml:space="preserve">https://ev.tata.cars</t>
  </si>
  <si>
    <t xml:space="preserve">(screenshot or save as PDF)</t>
  </si>
  <si>
    <t xml:space="preserve">Ex-showroom prices + key features for all 7 Tata EVs (37 variants); ACFC charger versions noted</t>
  </si>
  <si>
    <t xml:space="preserve">S041</t>
  </si>
  <si>
    <t xml:space="preserve">Tata Punch.ev page FAQ (Tata.ev website), pasted by Madhu 23 Oct 2026</t>
  </si>
  <si>
    <t xml:space="preserve">(screenshot)</t>
  </si>
  <si>
    <t xml:space="preserve">Certified range 365-375 km (30 kWh) / 468 km (40 kWh); C75 260-275 / 335-355 km; 15-min DC top-up up to 135 km C75 (40 kWh)</t>
  </si>
  <si>
    <t xml:space="preserve">S042</t>
  </si>
  <si>
    <t xml:space="preserve">Mahindra website chatbot price answers, 23 Oct 2026 (pasted by Madhu)</t>
  </si>
  <si>
    <t xml:space="preserve">BE 6 (9, same as news), XEV 9e (2 usable, 2 wrong), XEV 9S 7- and 6-seater prices (consistent with BaaS page)</t>
  </si>
  <si>
    <t xml:space="preserve">Autocar India Tata model pages (Tata cars list, Tiago EV, Sierra EV)</t>
  </si>
  <si>
    <t xml:space="preserve">https://www.autocarindia.com/cars/tata/sierra-ev</t>
  </si>
  <si>
    <t xml:space="preserve">Body type: Tiago EV hatchback; Nexon EV + Sierra EV SUV</t>
  </si>
  <si>
    <t xml:space="preserve">Autocar India XUV 3XO EV page</t>
  </si>
  <si>
    <t xml:space="preserve">https://www.autocarindia.com/cars/mahindra/xuv-3xo-ev</t>
  </si>
  <si>
    <t xml:space="preserve">Body style SUV; 'compact SUV'</t>
  </si>
  <si>
    <t xml:space="preserve">Autocar India Tigor EV pages (specs + range test)</t>
  </si>
  <si>
    <t xml:space="preserve">https://www.autocarindia.com/cars/tata/tigor-ev/range</t>
  </si>
  <si>
    <t xml:space="preserve">Body type sedan; tested range 181 km highway / 200 km city</t>
  </si>
  <si>
    <t xml:space="preserve">Bharat NCAP official portal, result pages pasted by Madhu 23 Oct 2026</t>
  </si>
  <si>
    <t xml:space="preserve">OFFICIAL (government)</t>
  </si>
  <si>
    <t xml:space="preserve">Bharat NCAP portal</t>
  </si>
  <si>
    <t xml:space="preserve">(save fact sheet PDFs)</t>
  </si>
  <si>
    <t xml:space="preserve">XEV 9e 32/32 + 45/49; BE 6 31.97/32 + 45/49; XUV400 EV 30.38/32 + 43/49; XUV 3XO (ICE) 29.36/32 + 43/49; XEV 9S not listed. Safety equipment tables confirm ESC standard.</t>
  </si>
  <si>
    <t xml:space="preserve">Bharat NCAP fact sheet: Tata Curvv.ev, Rev 3 June 2026</t>
  </si>
  <si>
    <t xml:space="preserve">FACT-SHEET_Curvv_EV_Rev3_June-2026-1.pdf</t>
  </si>
  <si>
    <t xml:space="preserve">5/5 stars; AOP 30.81/32, COP 44.83/49; tested EMP+A 55 (2024); annexure covers ACC X 55, EMP X 55 (+DK)</t>
  </si>
  <si>
    <t xml:space="preserve">Bharat NCAP fact sheet: Tata Punch.ev 2026</t>
  </si>
  <si>
    <t xml:space="preserve">FACT-SHEET_Punch_ev-2026.pdf</t>
  </si>
  <si>
    <t xml:space="preserve">5/5 stars; AOP 31.09/32, COP 45.00/49; tested 2026; annexure covers all 6 current variants</t>
  </si>
  <si>
    <t xml:space="preserve">Bharat NCAP fact sheet: Tata Nexon.ev, revised Sept 2025</t>
  </si>
  <si>
    <t xml:space="preserve">Fact-Sheet_NexonEV_Revision-Sept-2025-1.pdf</t>
  </si>
  <si>
    <t xml:space="preserve">5/5 stars; AOP 29.86/32, COP 44.95/49; tested LR EMP (2024); annexure covers CRE/FEA/EMP/EMP+A 45; MR naming unclear</t>
  </si>
  <si>
    <t xml:space="preserve">Bharat NCAP fact sheet: Tata Safari/Harrier (diesel + petrol), Rev 3 Dec 2025</t>
  </si>
  <si>
    <t xml:space="preserve">FACT-SHEET_Safari-Harrier_Revision-3-Dec-2025.pdf</t>
  </si>
  <si>
    <t xml:space="preserve">5/5 stars; AOP 30.08/32, COP 44.54/49; ICE only, does NOT cover Harrier.ev</t>
  </si>
  <si>
    <t xml:space="preserve">S051</t>
  </si>
  <si>
    <t xml:space="preserve">Mahindra XEV 9e model page FAQ (variant-wise prices), via web search 23 Oct 2026</t>
  </si>
  <si>
    <t xml:space="preserve">Pack One ₹21.90L, Pack Two ₹24.90L, Pack Three Select ₹27.90L, Pack Three ₹30.50L</t>
  </si>
  <si>
    <t xml:space="preserve">Autocar India real-world range tests (BE 6, XEV 9e, Harrier.ev, Nexon.ev, Curvv.ev, Punch.ev, Tiago.ev, Tigor.ev)</t>
  </si>
  <si>
    <t xml:space="preserve">secondary (independent test)</t>
  </si>
  <si>
    <t xml:space="preserve">https://www.autocarindia.com/auto-features/real-world-ev-range-tested-of-top-ev-cars-in-india-434105</t>
  </si>
  <si>
    <t xml:space="preserve">Instrumented city + highway loop tests; km/kWh and range</t>
  </si>
  <si>
    <t xml:space="preserve">S053</t>
  </si>
  <si>
    <t xml:space="preserve">Aggregator price cross-check: CarWale, CarDekho, ZigWheels, V3Cars, 91wheels, Team-BHP, TimesDrive, Cars24, Autocar</t>
  </si>
  <si>
    <t xml:space="preserve">carwale.com / cardekho.com / autocarindia.com</t>
  </si>
  <si>
    <t xml:space="preserve">Used for 'corroborated' status only when 2+ agree. Revealed XEV 9S One Above ₹21.40L includes charger.</t>
  </si>
  <si>
    <t xml:space="preserve">S054</t>
  </si>
  <si>
    <t xml:space="preserve">BE 6 SPORTEQ genuine accessories brochure, R5, file dated Sep 2026 (official)</t>
  </si>
  <si>
    <t xml:space="preserve">mahindraelectricsuv.com</t>
  </si>
  <si>
    <t xml:space="preserve">BE6SPORTEQ_Accessories_Brochure.pdf</t>
  </si>
  <si>
    <t xml:space="preserve">30 items, names only, no prices</t>
  </si>
  <si>
    <t xml:space="preserve">S055</t>
  </si>
  <si>
    <t xml:space="preserve">XEV 9e genuine accessories brochure, file dated Mar 2025 (official)</t>
  </si>
  <si>
    <t xml:space="preserve">XEV-9e_Accessories_Brochure.pdf</t>
  </si>
  <si>
    <t xml:space="preserve">26 items, names only, no prices. Predates Cineluxe.</t>
  </si>
  <si>
    <t xml:space="preserve">S056</t>
  </si>
  <si>
    <t xml:space="preserve">XEV 9S genuine accessories brochure, file dated Feb 2026 (official, image-only PDF)</t>
  </si>
  <si>
    <t xml:space="preserve">XEV-9S_Accessories_Brochure.pdf</t>
  </si>
  <si>
    <t xml:space="preserve">34 items incl. 7.2 / 11.2 kW wall chargers; no prices</t>
  </si>
  <si>
    <t xml:space="preserve">S057</t>
  </si>
  <si>
    <t xml:space="preserve">(Superseded by S059) CarOnPhone: 'Tata Harrier EV Official Interior &amp; Exterior Accessories List With Price' (18 Nov 2025)</t>
  </si>
  <si>
    <t xml:space="preserve">https://www.caronphone.com/news/tata-harrier-ev-official-interior-exterior-accessories-list-with-price/</t>
  </si>
  <si>
    <t xml:space="preserve">Harrier.ev genuine accessory names + prices; many universal Tata items. Single source, not model-fit verified.</t>
  </si>
  <si>
    <t xml:space="preserve">S058</t>
  </si>
  <si>
    <t xml:space="preserve">Tata.ev official accessories shop (per-model catalogue with prices; blocks automated access)</t>
  </si>
  <si>
    <t xml:space="preserve">https://ev.tatamotors.com/accessories/overview.html</t>
  </si>
  <si>
    <t xml:space="preserve">(Madhu to copy per model)</t>
  </si>
  <si>
    <t xml:space="preserve">Catalogues for Nexon.ev, Curvv.ev, Punch.ev, Tiago.ev, Tigor.ev, Harrier.ev. Sierra.ev not listed yet.</t>
  </si>
  <si>
    <t xml:space="preserve">S059</t>
  </si>
  <si>
    <t xml:space="preserve">Tata.ev official accessories shop, copied per model by Madhu (Autobrain_Accessories_TATA_EVs_.pdf, 60 pages)</t>
  </si>
  <si>
    <t xml:space="preserve">Autobrain_Accessories_TATA_EVs_.pdf</t>
  </si>
  <si>
    <t xml:space="preserve">~720 genuine accessories with prices for Curvv.ev, Nexon.ev, Punch.ev, Tigor.ev, Tiago.ev, Harrier.ev. Sierra.ev not in shop.</t>
  </si>
  <si>
    <t xml:space="preserve">S060</t>
  </si>
  <si>
    <t xml:space="preserve">Tiago.ev seating/dimensions cross-check: CarDekho, Team-BHP, 91wheels, CarTrade, Bajaj Finserv</t>
  </si>
  <si>
    <t xml:space="preserve">https://www.cardekho.com/tata/tiago-ev/specs</t>
  </si>
  <si>
    <t xml:space="preserve">2026-10-25</t>
  </si>
  <si>
    <t xml:space="preserve">All state 5 seats; CarDekho current listing 3825 x 1684 mm. Corroborated, not official.</t>
  </si>
  <si>
    <t xml:space="preserve">S037</t>
  </si>
  <si>
    <t xml:space="preserve">Sierra.ev launch prices (CarDekho / evindia news, Jun-Oct 2026)</t>
  </si>
  <si>
    <t xml:space="preserve">https://www.cardekho.com/news/general/tata-sierra-ev-launched-at-rs-1879-lakh-find-full-prices-variants-design-features-and-specifications-here-36229.htm</t>
  </si>
  <si>
    <t xml:space="preserve">8 persona prices ₹18.79L to ₹25.99L</t>
  </si>
  <si>
    <t xml:space="preserve">S008</t>
  </si>
  <si>
    <t xml:space="preserve">Earlier ChatGPT summary</t>
  </si>
  <si>
    <t xml:space="preserve">not a source</t>
  </si>
  <si>
    <t xml:space="preserve">Said 79 kWh = 708 km. AI output, cannot verify anything on its own.</t>
  </si>
  <si>
    <t xml:space="preserve">q_id</t>
  </si>
  <si>
    <t xml:space="preserve">variants</t>
  </si>
  <si>
    <t xml:space="preserve">field</t>
  </si>
  <si>
    <t xml:space="preserve">value A (source)</t>
  </si>
  <si>
    <t xml:space="preserve">value B (source)</t>
  </si>
  <si>
    <t xml:space="preserve">what to do</t>
  </si>
  <si>
    <t xml:space="preserve">state</t>
  </si>
  <si>
    <t xml:space="preserve">Q001</t>
  </si>
  <si>
    <t xml:space="preserve">59 kWh rows</t>
  </si>
  <si>
    <t xml:space="preserve">claimed_range_km (59 kWh)</t>
  </si>
  <si>
    <t xml:space="preserve">573 km (S003, S009, S011)</t>
  </si>
  <si>
    <t xml:space="preserve">548 km (S004)</t>
  </si>
  <si>
    <t xml:space="preserve">SETTLED: 573 km. Brochure and website agree.</t>
  </si>
  <si>
    <t xml:space="preserve">closed</t>
  </si>
  <si>
    <t xml:space="preserve">Q002</t>
  </si>
  <si>
    <t xml:space="preserve">79 kWh rows</t>
  </si>
  <si>
    <t xml:space="preserve">claimed_range_km (79 kWh)</t>
  </si>
  <si>
    <t xml:space="preserve">708 km (S009, S011)</t>
  </si>
  <si>
    <t xml:space="preserve">683 km (S004)</t>
  </si>
  <si>
    <t xml:space="preserve">SETTLED: 708 km. Brochure and website agree.</t>
  </si>
  <si>
    <t xml:space="preserve">Q003</t>
  </si>
  <si>
    <t xml:space="preserve">70 kWh rows</t>
  </si>
  <si>
    <t xml:space="preserve">claimed_range_km (70 kWh)</t>
  </si>
  <si>
    <t xml:space="preserve">652 km (S009, brochure V5 12.10.2026)</t>
  </si>
  <si>
    <t xml:space="preserve">651 km (S011, website FAQ)</t>
  </si>
  <si>
    <t xml:space="preserve">SETTLED by decision: use the website figure, 651 km (Madhu, 23 Oct 2026). 1 km difference; brochure figure kept in this note.</t>
  </si>
  <si>
    <t xml:space="preserve">Q004</t>
  </si>
  <si>
    <t xml:space="preserve">All</t>
  </si>
  <si>
    <t xml:space="preserve">Variant count</t>
  </si>
  <si>
    <t xml:space="preserve">7 / 8 / 12 depending on source</t>
  </si>
  <si>
    <t xml:space="preserve">Now 20 rows: 10 trim+battery combos x (battery included, BaaS). BaaS is on ALL variants (S010).</t>
  </si>
  <si>
    <t xml:space="preserve">Q005</t>
  </si>
  <si>
    <t xml:space="preserve">Battery-included rows except One</t>
  </si>
  <si>
    <t xml:space="preserve">Ex-showroom prices</t>
  </si>
  <si>
    <t xml:space="preserve">News (S001) and Mahindra chatbot (S014) agree on all 9</t>
  </si>
  <si>
    <t xml:space="preserve">SETTLED: corroborated (Autocar, TimesDrive, Cars24, chatbot agree)</t>
  </si>
  <si>
    <t xml:space="preserve">Q006</t>
  </si>
  <si>
    <t xml:space="preserve">BaaS rows</t>
  </si>
  <si>
    <t xml:space="preserve">How BaaS works</t>
  </si>
  <si>
    <t xml:space="preserve">News: 'price + ₹3.75/km' (S002)</t>
  </si>
  <si>
    <t xml:space="preserve">Mahindra: dual loan, battery owned, no per-km charge (S010)</t>
  </si>
  <si>
    <t xml:space="preserve">SETTLED: it's a loan. ₹3.75/km is marketing math (₹6,975 EMI / 60 km x 31 days).</t>
  </si>
  <si>
    <t xml:space="preserve">Q007</t>
  </si>
  <si>
    <t xml:space="preserve">Wall charger cost</t>
  </si>
  <si>
    <t xml:space="preserve">7.2 kW ₹50,000 / 11.2 kW ₹75,000, installation extra (S014 chatbot)</t>
  </si>
  <si>
    <t xml:space="preserve">Confirm with dealer and get installation cost</t>
  </si>
  <si>
    <t xml:space="preserve">open</t>
  </si>
  <si>
    <t xml:space="preserve">Q008</t>
  </si>
  <si>
    <t xml:space="preserve">FE Four rows</t>
  </si>
  <si>
    <t xml:space="preserve">Ventilated + memory seats on FE Four</t>
  </si>
  <si>
    <t xml:space="preserve">Brochure: both 'only in THREE'</t>
  </si>
  <si>
    <t xml:space="preserve">Chatbot: ventilated in Three, powered seat in Three+ (contradicts brochure, dodged question)</t>
  </si>
  <si>
    <t xml:space="preserve">Ask dealer. Chatbot not reliable here.</t>
  </si>
  <si>
    <t xml:space="preserve">Q009</t>
  </si>
  <si>
    <t xml:space="preserve">Seating capacity, kerb weight, Bharat NCAP</t>
  </si>
  <si>
    <t xml:space="preserve">Seating 5 (S014 chatbot)</t>
  </si>
  <si>
    <t xml:space="preserve">Kerb weight: chatbot has no data</t>
  </si>
  <si>
    <t xml:space="preserve">SETTLED: seating from model pages; crash ratings in bncap_* fields. Kerb weight moved to Q071.</t>
  </si>
  <si>
    <t xml:space="preserve">Q014</t>
  </si>
  <si>
    <t xml:space="preserve">Range from chatbot</t>
  </si>
  <si>
    <t xml:space="preserve">557 / 600 / 683 km (S014)</t>
  </si>
  <si>
    <t xml:space="preserve">573 / 652 / 708 km (S009 brochure, S011 website)</t>
  </si>
  <si>
    <t xml:space="preserve">Chatbot is serving old pre-SPORTEQ figures. REJECTED. Do not use chatbot for range.</t>
  </si>
  <si>
    <t xml:space="preserve">Q015</t>
  </si>
  <si>
    <t xml:space="preserve">BE 6</t>
  </si>
  <si>
    <t xml:space="preserve">Vehicle warranty + service interval</t>
  </si>
  <si>
    <t xml:space="preserve">Chatbot: 'shared at delivery'</t>
  </si>
  <si>
    <t xml:space="preserve">XEV 9e guide says 3 yrs + 10,000 km service</t>
  </si>
  <si>
    <t xml:space="preserve">Download the BE 6 Warranty &amp; Service Guide from importantdocs page; likely same as XEV 9e but confirm</t>
  </si>
  <si>
    <t xml:space="preserve">Q016</t>
  </si>
  <si>
    <t xml:space="preserve">XEV 9e battery-included rows</t>
  </si>
  <si>
    <t xml:space="preserve">SETTLED: all official (S051) except Pack Two 79 kWh ₹26.50L (corroborated)</t>
  </si>
  <si>
    <t xml:space="preserve">Q017</t>
  </si>
  <si>
    <t xml:space="preserve">XEV 9e Pack Two 59 + Pack Three Select BaaS</t>
  </si>
  <si>
    <t xml:space="preserve">BaaS price</t>
  </si>
  <si>
    <t xml:space="preserve">BaaS page: 'all variants'</t>
  </si>
  <si>
    <t xml:space="preserve">But no price listed for these two</t>
  </si>
  <si>
    <t xml:space="preserve">Q018</t>
  </si>
  <si>
    <t xml:space="preserve">XEV 9e Cineluxe</t>
  </si>
  <si>
    <t xml:space="preserve">Full feature list</t>
  </si>
  <si>
    <t xml:space="preserve">Cineluxe page (S019): price, battery, audio, adaptive suspension, screens, satin paints</t>
  </si>
  <si>
    <t xml:space="preserve">Doesn't say if it has Pack Three's HUD, L2+ ADAS, 360 camera, ventilated seats</t>
  </si>
  <si>
    <t xml:space="preserve">Ask dealer, or 'View specs' button on Cineluxe page</t>
  </si>
  <si>
    <t xml:space="preserve">Q025</t>
  </si>
  <si>
    <t xml:space="preserve">All models</t>
  </si>
  <si>
    <t xml:space="preserve">7.2 kW wall charger price</t>
  </si>
  <si>
    <t xml:space="preserve">₹60,000 (S019, official Cineluxe page)</t>
  </si>
  <si>
    <t xml:space="preserve">₹50,000 (S014, Mahindra chatbot, for BE 6)</t>
  </si>
  <si>
    <t xml:space="preserve">SETTLED for XEV 9e/9S: ₹60,000 on two official Mahindra pages. BE 6 assumed same, not confirmed.</t>
  </si>
  <si>
    <t xml:space="preserve">Q026</t>
  </si>
  <si>
    <t xml:space="preserve">Portable charger power</t>
  </si>
  <si>
    <t xml:space="preserve">3.3 kW (S019 Cineluxe page, S021 XEV 9S page)</t>
  </si>
  <si>
    <t xml:space="preserve">3.0 kW (S015, S018, S023 manuals); 3.2 kW (S009 BE 6 + S020 XEV 9S brochures)</t>
  </si>
  <si>
    <t xml:space="preserve">Same 13A charger, three numbers. Minor; ask dealer.</t>
  </si>
  <si>
    <t xml:space="preserve">Q027</t>
  </si>
  <si>
    <t xml:space="preserve">Seating changes price</t>
  </si>
  <si>
    <t xml:space="preserve">6-seater = 7-seater + ₹20,000 (S042)</t>
  </si>
  <si>
    <t xml:space="preserve">SETTLED: seating is now part of the row key; 6- and 7-seater rows split</t>
  </si>
  <si>
    <t xml:space="preserve">Q054</t>
  </si>
  <si>
    <t xml:space="preserve">XEV 9e Pack Two 59 kWh</t>
  </si>
  <si>
    <t xml:space="preserve">Price + BaaS</t>
  </si>
  <si>
    <t xml:space="preserve">Price ₹24.90L now official (S051)</t>
  </si>
  <si>
    <t xml:space="preserve">BaaS price not published (chatbot's ₹16.50L is the 79 kWh figure)</t>
  </si>
  <si>
    <t xml:space="preserve">Price SETTLED; BaaS left blank</t>
  </si>
  <si>
    <t xml:space="preserve">Q055</t>
  </si>
  <si>
    <t xml:space="preserve">XEV 9e Pack Two 79 / Pack Three Select</t>
  </si>
  <si>
    <t xml:space="preserve">Availability</t>
  </si>
  <si>
    <t xml:space="preserve">Chatbot: 'not available'</t>
  </si>
  <si>
    <t xml:space="preserve">Mahindra page + every aggregator list both with prices</t>
  </si>
  <si>
    <t xml:space="preserve">SETTLED: both on sale. Chatbot wrong.</t>
  </si>
  <si>
    <t xml:space="preserve">Q028x</t>
  </si>
  <si>
    <t xml:space="preserve">XEV 9S One Above 59</t>
  </si>
  <si>
    <t xml:space="preserve">₹21.40L on Mahindra page includes 11.2 kW charger (CarWale)</t>
  </si>
  <si>
    <t xml:space="preserve">Without charger ₹20.65L; BaaS ₹12.65L = ₹20.65L - ₹8L</t>
  </si>
  <si>
    <t xml:space="preserve">SETTLED</t>
  </si>
  <si>
    <t xml:space="preserve">Q028</t>
  </si>
  <si>
    <t xml:space="preserve">XEV 9S BaaS</t>
  </si>
  <si>
    <t xml:space="preserve">Odd BaaS prices</t>
  </si>
  <si>
    <t xml:space="preserve">Two Above 70 BaaS &gt; 79 BaaS: NOT a typo. 7-seater prices (S042) minus ₹9L / ₹10L battery give exactly ₹16.05L / ₹15.95L.</t>
  </si>
  <si>
    <t xml:space="preserve">One Above 59 BaaS ₹12.65L: still doesn't fit (should be ~₹13.40L)</t>
  </si>
  <si>
    <t xml:space="preserve">SETTLED (see Q028x): not a typo</t>
  </si>
  <si>
    <t xml:space="preserve">Q029</t>
  </si>
  <si>
    <t xml:space="preserve">Battery value pattern</t>
  </si>
  <si>
    <t xml:space="preserve">₹10.20L gap on Three Above was the 6-seater: captain seats cost ₹20,000 extra (S042)</t>
  </si>
  <si>
    <t xml:space="preserve">With 7-seater prices, battery adds ₹9L (70) / ₹10L (79) as on other Mahindras</t>
  </si>
  <si>
    <t xml:space="preserve">SETTLED, except One Above 59 (see Q028)</t>
  </si>
  <si>
    <t xml:space="preserve">Q030</t>
  </si>
  <si>
    <t xml:space="preserve">XEV 9S battery-included rows</t>
  </si>
  <si>
    <t xml:space="preserve">Prices</t>
  </si>
  <si>
    <t xml:space="preserve">Chatbot gave 7- and 6-seater prices (S042); consistent with BaaS page</t>
  </si>
  <si>
    <t xml:space="preserve">Three Above 7-seater not published</t>
  </si>
  <si>
    <t xml:space="preserve">SETTLED: corroborated via aggregators + chatbot + BaaS arithmetic</t>
  </si>
  <si>
    <t xml:space="preserve">Q031</t>
  </si>
  <si>
    <t xml:space="preserve">Kerb weight + Bharat NCAP</t>
  </si>
  <si>
    <t xml:space="preserve">Not in manual, brochure or guide</t>
  </si>
  <si>
    <t xml:space="preserve">SETTLED for NCAP (not tested, S046). Kerb weight moved to Q071.</t>
  </si>
  <si>
    <t xml:space="preserve">Q032</t>
  </si>
  <si>
    <t xml:space="preserve">XUV400</t>
  </si>
  <si>
    <t xml:space="preserve">Is it still sold new?</t>
  </si>
  <si>
    <t xml:space="preserve">Autocar (Mar-Apr 2026): on sale</t>
  </si>
  <si>
    <t xml:space="preserve">Other report: replaced by XUV 3XO EV. Only brochure found is Feb 2024.</t>
  </si>
  <si>
    <t xml:space="preserve">Check auto.mahindra.com for a current XUV400 page with prices. If none, mark discontinued.</t>
  </si>
  <si>
    <t xml:space="preserve">Q033</t>
  </si>
  <si>
    <t xml:space="preserve">BaaS availability</t>
  </si>
  <si>
    <t xml:space="preserve">Mahindra BaaS page covers Electric Origin SUVs only</t>
  </si>
  <si>
    <t xml:space="preserve">Ask dealer; assume not offered</t>
  </si>
  <si>
    <t xml:space="preserve">Q034</t>
  </si>
  <si>
    <t xml:space="preserve">34.43 kWh battery</t>
  </si>
  <si>
    <t xml:space="preserve">Manual (S027) lists 39.4 and 34.43 kWh</t>
  </si>
  <si>
    <t xml:space="preserve">Brochure (S025) and press: 39.4 kWh only</t>
  </si>
  <si>
    <t xml:space="preserve">Smaller pack likely not sold (carried from XUV400). Ask dealer.</t>
  </si>
  <si>
    <t xml:space="preserve">Q035</t>
  </si>
  <si>
    <t xml:space="preserve">Charger included</t>
  </si>
  <si>
    <t xml:space="preserve">Brochure spec: portable 13A up to 3.0 kW</t>
  </si>
  <si>
    <t xml:space="preserve">Brochure AX5 list: 3.3 kW wall-mounted unit; manual: 3.3 kW EVSE</t>
  </si>
  <si>
    <t xml:space="preserve">Confirm what comes in the box</t>
  </si>
  <si>
    <t xml:space="preserve">Q036</t>
  </si>
  <si>
    <t xml:space="preserve">XUV 3XO EV AX7L</t>
  </si>
  <si>
    <t xml:space="preserve">Ex-showroom price</t>
  </si>
  <si>
    <t xml:space="preserve">₹14.96L (CarDekho, Autocar)</t>
  </si>
  <si>
    <t xml:space="preserve">No official page seen yet</t>
  </si>
  <si>
    <t xml:space="preserve">SETTLED: corroborated ₹14.96L (Autocar, Team-BHP)</t>
  </si>
  <si>
    <t xml:space="preserve">Q038</t>
  </si>
  <si>
    <t xml:space="preserve">Rough-road fields still missing</t>
  </si>
  <si>
    <t xml:space="preserve">Laden clearance, angles, battery IP rating, underbody protection, tyre type, kerb weight</t>
  </si>
  <si>
    <t xml:space="preserve">Add to dealer WhatsApp; check Team-BHP / Autocar road tests for laden clearance and scraping reports</t>
  </si>
  <si>
    <t xml:space="preserve">Q039</t>
  </si>
  <si>
    <t xml:space="preserve">Still on sale?</t>
  </si>
  <si>
    <t xml:space="preserve">Tata.ev site lists prices Oct 2026 (S040)</t>
  </si>
  <si>
    <t xml:space="preserve">SETTLED: on sale, ₹12.49-13.75L</t>
  </si>
  <si>
    <t xml:space="preserve">Q048</t>
  </si>
  <si>
    <t xml:space="preserve">Brochure vs website features</t>
  </si>
  <si>
    <t xml:space="preserve">Website (Oct 2026) adds rear camera, 8 speakers, cruise on XZ+</t>
  </si>
  <si>
    <t xml:space="preserve">Brochure is Sep 2025</t>
  </si>
  <si>
    <t xml:space="preserve">Website is newer; used website. Minor.</t>
  </si>
  <si>
    <t xml:space="preserve">Q040</t>
  </si>
  <si>
    <t xml:space="preserve">Punch.ev 30</t>
  </si>
  <si>
    <t xml:space="preserve">MIDC range</t>
  </si>
  <si>
    <t xml:space="preserve">Brochure + Tata FAQ both publish '365-375 km' (a band)</t>
  </si>
  <si>
    <t xml:space="preserve">Tata gives no single figure</t>
  </si>
  <si>
    <t xml:space="preserve">SETTLED: recorded 365 km (lower, conservative) as comparable number; band kept in Features</t>
  </si>
  <si>
    <t xml:space="preserve">Q041</t>
  </si>
  <si>
    <t xml:space="preserve">Tata.ev site lists 'Fearless+ 75 AWD' at ₹26.79L</t>
  </si>
  <si>
    <t xml:space="preserve">SETTLED: it is sold</t>
  </si>
  <si>
    <t xml:space="preserve">Q049</t>
  </si>
  <si>
    <t xml:space="preserve">'ACFC' versions</t>
  </si>
  <si>
    <t xml:space="preserve">Each Harrier.ev variant has an ACFC version at +₹50,000</t>
  </si>
  <si>
    <t xml:space="preserve">ACFC = includes 7.2 kW AC fast charger wall box</t>
  </si>
  <si>
    <t xml:space="preserve">Treated as a charger option on the same row, not a separate variant</t>
  </si>
  <si>
    <t xml:space="preserve">Q042</t>
  </si>
  <si>
    <t xml:space="preserve">Persona-wise features</t>
  </si>
  <si>
    <t xml:space="preserve">Mapped from Tata.ev website (S040)</t>
  </si>
  <si>
    <t xml:space="preserve">Q051</t>
  </si>
  <si>
    <t xml:space="preserve">Curvv.ev Accomplished X</t>
  </si>
  <si>
    <t xml:space="preserve">Wall charger included?</t>
  </si>
  <si>
    <t xml:space="preserve">Brochure: 7.2 kW wall box included (footnote Ω)</t>
  </si>
  <si>
    <t xml:space="preserve">Website: listed only on Empowered X</t>
  </si>
  <si>
    <t xml:space="preserve">Ask dealer; matters for ₹50k ownership cost</t>
  </si>
  <si>
    <t xml:space="preserve">Q052</t>
  </si>
  <si>
    <t xml:space="preserve">Tiago.ev Creative+ 24</t>
  </si>
  <si>
    <t xml:space="preserve">Price</t>
  </si>
  <si>
    <t xml:space="preserve">Autocar: ₹9.99L</t>
  </si>
  <si>
    <t xml:space="preserve">Tata.ev site: ₹10.09L</t>
  </si>
  <si>
    <t xml:space="preserve">SETTLED: site wins</t>
  </si>
  <si>
    <t xml:space="preserve">Q053</t>
  </si>
  <si>
    <t xml:space="preserve">Tiago.ev Smart 19 / Pure+, Tigor.ev (all)</t>
  </si>
  <si>
    <t xml:space="preserve">Tiago.ev: listed only on Creative+ 24. Tigor.ev: lists CSC, not ESP</t>
  </si>
  <si>
    <t xml:space="preserve">Every other Mahindra and Tata lists ESP on all variants</t>
  </si>
  <si>
    <t xml:space="preserve">Safety point for recommendations; confirm with dealer</t>
  </si>
  <si>
    <t xml:space="preserve">Q056</t>
  </si>
  <si>
    <t xml:space="preserve">XUV 3XO EV, Nexon.ev, Sierra.ev, Tigor.ev, Tiago.ev</t>
  </si>
  <si>
    <t xml:space="preserve">Body type</t>
  </si>
  <si>
    <t xml:space="preserve">Not stated by makers</t>
  </si>
  <si>
    <t xml:space="preserve">Filled from Autocar (secondary) per Madhu's rule: maker's wording first, else Autocar</t>
  </si>
  <si>
    <t xml:space="preserve">SETTLED. Replace with maker wording if found later.</t>
  </si>
  <si>
    <t xml:space="preserve">Q057</t>
  </si>
  <si>
    <t xml:space="preserve">Does the Jan 2025 BE 6 crash rating cover SPORTEQ?</t>
  </si>
  <si>
    <t xml:space="preserve">Portal lists 'BE 6, January 2025 - Onwards'</t>
  </si>
  <si>
    <t xml:space="preserve">SPORTEQ is a 2026 update (new 70 kWh, new interior)</t>
  </si>
  <si>
    <t xml:space="preserve">Open 'Ratings Applicability' tab on the BE 6 result page</t>
  </si>
  <si>
    <t xml:space="preserve">Q058</t>
  </si>
  <si>
    <t xml:space="preserve">Mahindra rated models</t>
  </si>
  <si>
    <t xml:space="preserve">Star ratings</t>
  </si>
  <si>
    <t xml:space="preserve">Madhu: XEV 9e and BE 6 rated 5 stars adult + child on the portal</t>
  </si>
  <si>
    <t xml:space="preserve">Q060</t>
  </si>
  <si>
    <t xml:space="preserve">Nexon.ev MR (30 kWh)</t>
  </si>
  <si>
    <t xml:space="preserve">Crash rating coverage</t>
  </si>
  <si>
    <t xml:space="preserve">Annexure: 'MR CRE / MR FEA' (2024), 'CRE 35 / FEA 35' (2025)</t>
  </si>
  <si>
    <t xml:space="preserve">Current variants: 'Creative+ MR', 'Fearless MR' (30 kWh)</t>
  </si>
  <si>
    <t xml:space="preserve">Ask Tata whether current MR variants are covered</t>
  </si>
  <si>
    <t xml:space="preserve">Q059</t>
  </si>
  <si>
    <t xml:space="preserve">XUV400 EV</t>
  </si>
  <si>
    <t xml:space="preserve">Rated 30.38/32 + 43/49 (Nov 2024)</t>
  </si>
  <si>
    <t xml:space="preserve">Rating exists</t>
  </si>
  <si>
    <t xml:space="preserve">Not in sheet (sale status unclear, Q032)</t>
  </si>
  <si>
    <t xml:space="preserve">Keep for reference; add if XUV400 confirmed on sale</t>
  </si>
  <si>
    <t xml:space="preserve">Q061</t>
  </si>
  <si>
    <t xml:space="preserve">XEV 9e 59 kWh</t>
  </si>
  <si>
    <t xml:space="preserve">Mahindra brochure (Apr 2026) + model page: 522 km</t>
  </si>
  <si>
    <t xml:space="preserve">Autocar, CarWale, Wikipedia: 542 km (older figure)</t>
  </si>
  <si>
    <t xml:space="preserve">Official 522 km kept. Aggregators carry stale number.</t>
  </si>
  <si>
    <t xml:space="preserve">Q062</t>
  </si>
  <si>
    <t xml:space="preserve">Sierra.ev, XUV 3XO EV, XEV 9e 59 kWh, BE 6 59/70 kWh, Nexon.ev MR</t>
  </si>
  <si>
    <t xml:space="preserve">Independent range tests</t>
  </si>
  <si>
    <t xml:space="preserve">None published by Autocar yet</t>
  </si>
  <si>
    <t xml:space="preserve">Add when tests appear; until then use maker's real-world claim</t>
  </si>
  <si>
    <t xml:space="preserve">Q063</t>
  </si>
  <si>
    <t xml:space="preserve">XEV 9S Pack Three Above 6-seater</t>
  </si>
  <si>
    <t xml:space="preserve">Does ₹30.15L include charger?</t>
  </si>
  <si>
    <t xml:space="preserve">Mahindra page figure</t>
  </si>
  <si>
    <t xml:space="preserve">One Above's ₹21.40L turned out to include the 11.2 kW charger</t>
  </si>
  <si>
    <t xml:space="preserve">Aggregators list ₹30.15L as without charger (V3Cars, evelectree); likely fine. Confirm.</t>
  </si>
  <si>
    <t xml:space="preserve">Q064</t>
  </si>
  <si>
    <t xml:space="preserve">Mahindra accessories</t>
  </si>
  <si>
    <t xml:space="preserve">Genuine accessory prices</t>
  </si>
  <si>
    <t xml:space="preserve">Not published by Mahindra; online search finds only aftermarket (Amazon etc.) and one dealer page without model mapping</t>
  </si>
  <si>
    <t xml:space="preserve">Aftermarket prices are NOT genuine-part prices</t>
  </si>
  <si>
    <t xml:space="preserve">Get dealer's official accessory price list per model (PDF/photo)</t>
  </si>
  <si>
    <t xml:space="preserve">Q065</t>
  </si>
  <si>
    <t xml:space="preserve">Accessories as variant substitutes</t>
  </si>
  <si>
    <t xml:space="preserve">How much of a variant gap can accessories close?</t>
  </si>
  <si>
    <t xml:space="preserve">Mahindra: 6 items across 3 models substitute a factory feature (wheels, parcel shelf, NFC card, sunshades, BYOD holder)</t>
  </si>
  <si>
    <t xml:space="preserve">Factory-only: ADAS, ventilated seats, sunroof, 360 camera, HUD, airbags, battery, adaptive suspension</t>
  </si>
  <si>
    <t xml:space="preserve">Use accessories as add-ons and cost items, not as reasons to drop a variant (except the few 'same'/'close' items)</t>
  </si>
  <si>
    <t xml:space="preserve">Q066</t>
  </si>
  <si>
    <t xml:space="preserve">Tata (Nexon.ev, Sierra.ev, Curvv.ev, Harrier.ev)</t>
  </si>
  <si>
    <t xml:space="preserve">BaaS now offered?</t>
  </si>
  <si>
    <t xml:space="preserve">CarOnPhone headline (29 Sep 2026): Tata EVs get BaaS, up to ₹7.3L price drop</t>
  </si>
  <si>
    <t xml:space="preserve">Sheet has no Tata BaaS rows</t>
  </si>
  <si>
    <t xml:space="preserve">Check Tata.ev site; if confirmed, add BaaS rows like Mahindra</t>
  </si>
  <si>
    <t xml:space="preserve">Q067</t>
  </si>
  <si>
    <t xml:space="preserve">Tata (all)</t>
  </si>
  <si>
    <t xml:space="preserve">Current discounts</t>
  </si>
  <si>
    <t xml:space="preserve">CarOnPhone (Oct 2026): Tata EV discounts up to ₹3.35L</t>
  </si>
  <si>
    <t xml:space="preserve">Ex-showroom prices in sheet are list prices</t>
  </si>
  <si>
    <t xml:space="preserve">Add a dated 'current_offer' field per model if AutoBrain shows effective price</t>
  </si>
  <si>
    <t xml:space="preserve">Q068</t>
  </si>
  <si>
    <t xml:space="preserve">Tata accessories</t>
  </si>
  <si>
    <t xml:space="preserve">Fitment of items named after other models</t>
  </si>
  <si>
    <t xml:space="preserve">Shop lists e.g. 'Sturdy Alloy Wheel Nexon' under Curvv.ev, 'Auto Dimming IRVM Nexon/Altroz/Tiago/Harrier' under Punch.ev</t>
  </si>
  <si>
    <t xml:space="preserve">Shop says it shows compatible accessories</t>
  </si>
  <si>
    <t xml:space="preserve">Trust shop listing, but confirm with dealer before recommending as a gap-filler</t>
  </si>
  <si>
    <t xml:space="preserve">Q069</t>
  </si>
  <si>
    <t xml:space="preserve">Alloy wheel price unit</t>
  </si>
  <si>
    <t xml:space="preserve">₹6,999-11,999 listed</t>
  </si>
  <si>
    <t xml:space="preserve">Not stated whether per wheel or set of four</t>
  </si>
  <si>
    <t xml:space="preserve">Ask dealer; matters for cost comparison (x4 difference)</t>
  </si>
  <si>
    <t xml:space="preserve">Q070</t>
  </si>
  <si>
    <t xml:space="preserve">Accessories</t>
  </si>
  <si>
    <t xml:space="preserve">Not in Tata.ev shop</t>
  </si>
  <si>
    <t xml:space="preserve">Dealer price list</t>
  </si>
  <si>
    <t xml:space="preserve">Q071</t>
  </si>
  <si>
    <t xml:space="preserve">All 11 models</t>
  </si>
  <si>
    <t xml:space="preserve">Kerb weight</t>
  </si>
  <si>
    <t xml:space="preserve">Not published in any brochure, manual or website we have</t>
  </si>
  <si>
    <t xml:space="preserve">Dealer, or 'unladen weight' via an RC lookup (Vahan)</t>
  </si>
  <si>
    <t xml:space="preserve">Q050</t>
  </si>
  <si>
    <t xml:space="preserve">Launch news prices vs website</t>
  </si>
  <si>
    <t xml:space="preserve">News (S037): ₹18.79-25.99L</t>
  </si>
  <si>
    <t xml:space="preserve">Website (S040): identical for all 8</t>
  </si>
  <si>
    <t xml:space="preserve">SETTLED: news prices confirmed</t>
  </si>
  <si>
    <t xml:space="preserve">Q043</t>
  </si>
  <si>
    <t xml:space="preserve">Motor power</t>
  </si>
  <si>
    <t xml:space="preserve">63 kWh RWD: 175 kW</t>
  </si>
  <si>
    <t xml:space="preserve">75 kWh RWD: 154 kW</t>
  </si>
  <si>
    <t xml:space="preserve">Unusual that the smaller battery is more powerful. Confirm.</t>
  </si>
  <si>
    <t xml:space="preserve">Q044</t>
  </si>
  <si>
    <t xml:space="preserve">All 37 Tata variants priced from Tata.ev site (S040)</t>
  </si>
  <si>
    <t xml:space="preserve">Q045</t>
  </si>
  <si>
    <t xml:space="preserve">Meaning of 'lifetime' battery warranty</t>
  </si>
  <si>
    <t xml:space="preserve">Tata defines it as 15 years from first registration (Nexon.ev brochure)</t>
  </si>
  <si>
    <t xml:space="preserve">Mahindra ties it to first registration period</t>
  </si>
  <si>
    <t xml:space="preserve">Comparable in practice, but record Tata's 15-yr definition</t>
  </si>
  <si>
    <t xml:space="preserve">Q046</t>
  </si>
  <si>
    <t xml:space="preserve">Unverified spec values</t>
  </si>
  <si>
    <t xml:space="preserve">Length/width now corroborated (S060); seats 5 corroborated</t>
  </si>
  <si>
    <t xml:space="preserve">Height 1562 mm, C75 160-170 / 205-215 km, AC charge times still AI-transcription only</t>
  </si>
  <si>
    <t xml:space="preserve">Screenshot brochure page 33 (specs) to confirm</t>
  </si>
  <si>
    <t xml:space="preserve">Q047</t>
  </si>
  <si>
    <t xml:space="preserve">Range test cycle</t>
  </si>
  <si>
    <t xml:space="preserve">Footnote: 'As per ARAI'</t>
  </si>
  <si>
    <t xml:space="preserve">AI transcription labels it MIDC P1+P2</t>
  </si>
  <si>
    <t xml:space="preserve">Likely MIDC P1+P2 like other Tatas, but confirm</t>
  </si>
  <si>
    <t xml:space="preserve">Q037</t>
  </si>
  <si>
    <t xml:space="preserve">Range standard trap</t>
  </si>
  <si>
    <t xml:space="preserve">MIDC Part 1 only (city cycle) gives inflated numbers: 3XO EV 456 km, XUV400 375/456 km</t>
  </si>
  <si>
    <t xml:space="preserve">MIDC Part 1 + Part 2 is the comparable figure: 3XO EV 351 km</t>
  </si>
  <si>
    <t xml:space="preserve">Always store P1+P2. CarDekho's '456 km ARAI' for 3XO EV is the P1-only figure.</t>
  </si>
  <si>
    <t xml:space="preserve">Q019</t>
  </si>
  <si>
    <t xml:space="preserve">XEV 9e Pack Two 79</t>
  </si>
  <si>
    <t xml:space="preserve">DC fast charge power</t>
  </si>
  <si>
    <t xml:space="preserve">Brochure Pack Two column: 140 kW for both</t>
  </si>
  <si>
    <t xml:space="preserve">79 kWh elsewhere: 180 kW (Pack Three, p.34)</t>
  </si>
  <si>
    <t xml:space="preserve">Likely a brochure table shortcut. Confirm with dealer.</t>
  </si>
  <si>
    <t xml:space="preserve">Q020</t>
  </si>
  <si>
    <t xml:space="preserve">Brake fluid change interval</t>
  </si>
  <si>
    <t xml:space="preserve">Maintenance chart: replace every 50,000 km / 3 yrs</t>
  </si>
  <si>
    <t xml:space="preserve">Lubricants page: 30,000 km / 2 yrs (same guide)</t>
  </si>
  <si>
    <t xml:space="preserve">Same document disagrees with itself. Ask service centre.</t>
  </si>
  <si>
    <t xml:space="preserve">Q021</t>
  </si>
  <si>
    <t xml:space="preserve">Infinity Roof (glass roof) by variant</t>
  </si>
  <si>
    <t xml:space="preserve">Model page + brochure show Infinity Roof</t>
  </si>
  <si>
    <t xml:space="preserve">Feature table doesn't list it; CarDekho says no sunroof</t>
  </si>
  <si>
    <t xml:space="preserve">Ask dealer which packs get it</t>
  </si>
  <si>
    <t xml:space="preserve">Q022</t>
  </si>
  <si>
    <t xml:space="preserve">Not in brochure, manual or guide</t>
  </si>
  <si>
    <t xml:space="preserve">Merged into Q071</t>
  </si>
  <si>
    <t xml:space="preserve">Q023</t>
  </si>
  <si>
    <t xml:space="preserve">Bharat NCAP rating</t>
  </si>
  <si>
    <t xml:space="preserve">Autocar: 5 stars</t>
  </si>
  <si>
    <t xml:space="preserve">SETTLED: 32/32 adult, 45/49 child, 5 stars (S046)</t>
  </si>
  <si>
    <t xml:space="preserve">Q024</t>
  </si>
  <si>
    <t xml:space="preserve">Optional 20-inch tyres</t>
  </si>
  <si>
    <t xml:space="preserve">Manual (Mar 2025): 245/50 R20 optional</t>
  </si>
  <si>
    <t xml:space="preserve">Brochure (Apr 2026): R19 on all packs</t>
  </si>
  <si>
    <t xml:space="preserve">Probably accessory or dropped. Ask dealer.</t>
  </si>
  <si>
    <t xml:space="preserve">Q011</t>
  </si>
  <si>
    <t xml:space="preserve">Motor torque</t>
  </si>
  <si>
    <t xml:space="preserve">360 Nm (S009, SPORTEQ brochure)</t>
  </si>
  <si>
    <t xml:space="preserve">380 Nm (S012, original BE 6 manual)</t>
  </si>
  <si>
    <t xml:space="preserve">Not a conflict if SPORTEQ changed it, but confirm. Use 360 for SPORTEQ.</t>
  </si>
  <si>
    <t xml:space="preserve">Q012</t>
  </si>
  <si>
    <t xml:space="preserve">Merged into Q026</t>
  </si>
  <si>
    <t xml:space="preserve">See Q026</t>
  </si>
  <si>
    <t xml:space="preserve">Q013</t>
  </si>
  <si>
    <t xml:space="preserve">SPORTEQ owner's manual</t>
  </si>
  <si>
    <t xml:space="preserve">Only original BE 6 (Feb 2025) found</t>
  </si>
  <si>
    <t xml:space="preserve">Look for SPORTEQ manual in Me4U app or ask dealer</t>
  </si>
  <si>
    <t xml:space="preserve">Q010</t>
  </si>
  <si>
    <t xml:space="preserve">Battery EMI per battery size</t>
  </si>
  <si>
    <t xml:space="preserve">From ₹6,975 (S010)</t>
  </si>
  <si>
    <t xml:space="preserve">Ask a financier for EMI by battery size (59/70/79) at a standard down payment and 8-yr tenure</t>
  </si>
  <si>
    <t xml:space="preserve">feature (use this exact name)</t>
  </si>
  <si>
    <t xml:space="preserve">what it means</t>
  </si>
  <si>
    <t xml:space="preserve">Highest DC charging power the car accepts</t>
  </si>
  <si>
    <t xml:space="preserve">Minutes for 20-80% on the fastest supported charger</t>
  </si>
  <si>
    <t xml:space="preserve">yes/no</t>
  </si>
  <si>
    <t xml:space="preserve">Is a home wall charger included in the ex-showroom price</t>
  </si>
  <si>
    <t xml:space="preserve">text</t>
  </si>
  <si>
    <t xml:space="preserve">Years / km, and any conditions</t>
  </si>
  <si>
    <t xml:space="preserve">Years / km</t>
  </si>
  <si>
    <t xml:space="preserve">Rear boot volume</t>
  </si>
  <si>
    <t xml:space="preserve">Front storage volume, if any</t>
  </si>
  <si>
    <t xml:space="preserve">Ground clearance</t>
  </si>
  <si>
    <t xml:space="preserve">Number of airbags</t>
  </si>
  <si>
    <t xml:space="preserve">None / Level 1 / Level 2, as stated by Mahindra</t>
  </si>
  <si>
    <t xml:space="preserve">bharat_ncap_stars</t>
  </si>
  <si>
    <t xml:space="preserve">stars</t>
  </si>
  <si>
    <t xml:space="preserve">Adult occupant rating from Bharat NCAP</t>
  </si>
  <si>
    <t xml:space="preserve">None / regular / panoramic</t>
  </si>
  <si>
    <t xml:space="preserve">Front seat ventilation</t>
  </si>
  <si>
    <t xml:space="preserve">Rear AC vents</t>
  </si>
  <si>
    <t xml:space="preserve">Number and size of screens</t>
  </si>
  <si>
    <t xml:space="preserve">Peak motor power</t>
  </si>
  <si>
    <t xml:space="preserve">Variant-only colour, if any</t>
  </si>
  <si>
    <t xml:space="preserve">Peak motor torque</t>
  </si>
  <si>
    <t xml:space="preserve">RWD / FWD / AWD</t>
  </si>
  <si>
    <t xml:space="preserve">0-100% on an 11 kW wall charger</t>
  </si>
  <si>
    <t xml:space="preserve">0-100% on a 7.2 kW wall charger</t>
  </si>
  <si>
    <t xml:space="preserve">Instrument panel design</t>
  </si>
  <si>
    <t xml:space="preserve">Size and type</t>
  </si>
  <si>
    <t xml:space="preserve">Rear only / 360 / 540-degree</t>
  </si>
  <si>
    <t xml:space="preserve">Powered driver seat with memory</t>
  </si>
  <si>
    <t xml:space="preserve">Zones and rear vents</t>
  </si>
  <si>
    <t xml:space="preserve">Speaker count and brand</t>
  </si>
  <si>
    <t xml:space="preserve">Head-up display</t>
  </si>
  <si>
    <t xml:space="preserve">Car parks itself</t>
  </si>
  <si>
    <t xml:space="preserve">Electronically adaptive dampers</t>
  </si>
  <si>
    <t xml:space="preserve">Powered tailgate</t>
  </si>
  <si>
    <t xml:space="preserve">Driver knee airbag</t>
  </si>
  <si>
    <t xml:space="preserve">Upholstery colour theme</t>
  </si>
  <si>
    <t xml:space="preserve">Infotainment processor</t>
  </si>
  <si>
    <t xml:space="preserve">0-100 km/h time, as claimed</t>
  </si>
  <si>
    <t xml:space="preserve">Portable 3-pin charger included with the car</t>
  </si>
  <si>
    <t xml:space="preserve">DC 0-80% time (used when maker quotes 0-80 not 20-80)</t>
  </si>
  <si>
    <t xml:space="preserve">DC 10-80% time (Tata's standard)</t>
  </si>
  <si>
    <t xml:space="preserve">AC 10-100% on 15A plug / 3.3 kW</t>
  </si>
  <si>
    <t xml:space="preserve">0-60 km/h (city cars quote this instead of 0-100)</t>
  </si>
  <si>
    <t xml:space="preserve">Marketing fast-charge claim, e.g. km added in N minutes</t>
  </si>
  <si>
    <t xml:space="preserve">Independent tested efficiency. Running cost per km = electricity tariff / this number</t>
  </si>
  <si>
    <t xml:space="preserve">Which car/version the Bharat NCAP rating covers</t>
  </si>
  <si>
    <t xml:space="preserve">Adult occupant score out of 32</t>
  </si>
  <si>
    <t xml:space="preserve">Child occupant score out of 49</t>
  </si>
  <si>
    <t xml:space="preserve">Stars as published (never derived from score)</t>
  </si>
  <si>
    <t xml:space="preserve">Petrol/diesel sibling's rating. Reference only, never the EV's</t>
  </si>
  <si>
    <t xml:space="preserve">CCS2 etc.</t>
  </si>
  <si>
    <t xml:space="preserve">Max AC charging the car accepts; a bigger wall box won't charge faster</t>
  </si>
  <si>
    <t xml:space="preserve">Full / temporary / puncture kit</t>
  </si>
  <si>
    <t xml:space="preserve">Hatchback / Sedan / SUV / SUV coupé. Filled ONLY when the maker states it.</t>
  </si>
  <si>
    <t xml:space="preserve">The maker's exact phrase, with where it appears</t>
  </si>
  <si>
    <t xml:space="preserve">Range exactly as maker publishes it, when it's a band</t>
  </si>
  <si>
    <t xml:space="preserve">Electronic stability program</t>
  </si>
  <si>
    <t xml:space="preserve">Charger as paid option and its price</t>
  </si>
  <si>
    <t xml:space="preserve">Manual / electric / autofold</t>
  </si>
  <si>
    <t xml:space="preserve">AC 10-100% on 7.2 kW (Tata's standard)</t>
  </si>
  <si>
    <t xml:space="preserve">Maker's own real-world figure (Tata C75, Mahindra 'real-world'). Never independent.</t>
  </si>
  <si>
    <t xml:space="preserve">%</t>
  </si>
  <si>
    <t xml:space="preserve">Steepest slope it can climb</t>
  </si>
  <si>
    <t xml:space="preserve">kVA</t>
  </si>
  <si>
    <t xml:space="preserve">Power the car can supply to appliances</t>
  </si>
  <si>
    <t xml:space="preserve">Charger in the box</t>
  </si>
  <si>
    <t xml:space="preserve">Arcade.ev (Tata), Fun&amp;Work (Mahindra)</t>
  </si>
  <si>
    <t xml:space="preserve">Disc / drum</t>
  </si>
  <si>
    <t xml:space="preserve">persona_features</t>
  </si>
  <si>
    <t xml:space="preserve">Placeholder where variant features not yet mapped</t>
  </si>
  <si>
    <t xml:space="preserve">LFP / NMC</t>
  </si>
  <si>
    <t xml:space="preserve">Minimum battery health promised over time</t>
  </si>
  <si>
    <t xml:space="preserve">Scheduled service gap</t>
  </si>
  <si>
    <t xml:space="preserve">Labour-free services</t>
  </si>
  <si>
    <t xml:space="preserve">Free RSA period</t>
  </si>
  <si>
    <t xml:space="preserve">Free connected-car period</t>
  </si>
  <si>
    <t xml:space="preserve">Standard / adaptive</t>
  </si>
  <si>
    <t xml:space="preserve">Seat material</t>
  </si>
  <si>
    <t xml:space="preserve">Front / rear</t>
  </si>
  <si>
    <t xml:space="preserve">Alert only / individual tyre</t>
  </si>
  <si>
    <t xml:space="preserve">None / fixed glass / openable panoramic</t>
  </si>
  <si>
    <t xml:space="preserve">Powered co-driver seat moves from rear</t>
  </si>
  <si>
    <t xml:space="preserve">Range measured by an independent tester. Never mix with Mahindra claims.</t>
  </si>
  <si>
    <t xml:space="preserve">Clearance under the battery pack, the lowest point that matters on an EV. Source: brochure</t>
  </si>
  <si>
    <t xml:space="preserve">laden_ground_clearance_mm</t>
  </si>
  <si>
    <t xml:space="preserve">Clearance with full load. Source: road tests or homologation data</t>
  </si>
  <si>
    <t xml:space="preserve">Source: brochure feature table or manual</t>
  </si>
  <si>
    <t xml:space="preserve">Mud / sand / snow traction modes, not just Eco/Sport. Source: brochure</t>
  </si>
  <si>
    <t xml:space="preserve">deg</t>
  </si>
  <si>
    <t xml:space="preserve">Source: brochure if given, else road tests or dealer</t>
  </si>
  <si>
    <t xml:space="preserve">Source: road tests or dealer</t>
  </si>
  <si>
    <t xml:space="preserve">Rated wading depth, or the manual's warning if none. Source: owner's manual</t>
  </si>
  <si>
    <t xml:space="preserve">e.g. IP67. Source: brochure or dealer</t>
  </si>
  <si>
    <t xml:space="preserve">underbody_protection</t>
  </si>
  <si>
    <t xml:space="preserve">Battery skid plate / guard. Source: brochure, dealer, or review photos</t>
  </si>
  <si>
    <t xml:space="preserve">tyre_type</t>
  </si>
  <si>
    <t xml:space="preserve">Brand + model, highway vs all-terrain. Source: dealer or road test</t>
  </si>
  <si>
    <t xml:space="preserve">kerb_weight_kg</t>
  </si>
  <si>
    <t xml:space="preserve">kg</t>
  </si>
  <si>
    <t xml:space="preserve">Source: dealer, or 'unladen weight' on a registration certificate (Vahan)</t>
  </si>
  <si>
    <t xml:space="preserve">What off-road / flood damage voids. Source: Warranty &amp; Service Guide</t>
  </si>
  <si>
    <t xml:space="preserve">rough_road_review</t>
  </si>
  <si>
    <t xml:space="preserve">Scraping, underbody hits, ride on bad roads. Source: Team-BHP, Autocar, evo India road tests</t>
  </si>
  <si>
    <t xml:space="preserve">Number of seats</t>
  </si>
  <si>
    <t xml:space="preserve">acc_id</t>
  </si>
  <si>
    <t xml:space="preserve">accessory (as named by maker)</t>
  </si>
  <si>
    <t xml:space="preserve">category</t>
  </si>
  <si>
    <t xml:space="preserve">fits_variants</t>
  </si>
  <si>
    <t xml:space="preserve">substitutes_factory_feature</t>
  </si>
  <si>
    <t xml:space="preserve">equivalence</t>
  </si>
  <si>
    <t xml:space="preserve">price_source</t>
  </si>
  <si>
    <t xml:space="preserve">installation</t>
  </si>
  <si>
    <t xml:space="preserve">warranty_safe</t>
  </si>
  <si>
    <t xml:space="preserve">list_source</t>
  </si>
  <si>
    <t xml:space="preserve">A001</t>
  </si>
  <si>
    <t xml:space="preserve">Front Bumper Upper Applique</t>
  </si>
  <si>
    <t xml:space="preserve">Exterior styling</t>
  </si>
  <si>
    <t xml:space="preserve">All variants (brochure doesn't restrict)</t>
  </si>
  <si>
    <t xml:space="preserve">n/a</t>
  </si>
  <si>
    <t xml:space="preserve">Not published. Ask dealer for official accessory price list.</t>
  </si>
  <si>
    <t xml:space="preserve">Dealer fitment; cost not published</t>
  </si>
  <si>
    <t xml:space="preserve">Yes (genuine, dealer-fitted)</t>
  </si>
  <si>
    <t xml:space="preserve">A002</t>
  </si>
  <si>
    <t xml:space="preserve">Wheel Arch Applique Set</t>
  </si>
  <si>
    <t xml:space="preserve">A003</t>
  </si>
  <si>
    <t xml:space="preserve">OE-19" Alloy Wheel</t>
  </si>
  <si>
    <t xml:space="preserve">Wheels</t>
  </si>
  <si>
    <t xml:space="preserve">ONE (R18 steel) / TWO (R19 Versa steel) vs THREE+ (R19 alloy)</t>
  </si>
  <si>
    <t xml:space="preserve">close</t>
  </si>
  <si>
    <t xml:space="preserve">Cosmetic gain only; same size as TWO</t>
  </si>
  <si>
    <t xml:space="preserve">A004</t>
  </si>
  <si>
    <t xml:space="preserve">Mud Flap Kit</t>
  </si>
  <si>
    <t xml:space="preserve">Protection</t>
  </si>
  <si>
    <t xml:space="preserve">A005</t>
  </si>
  <si>
    <t xml:space="preserve">Rain Visor</t>
  </si>
  <si>
    <t xml:space="preserve">A006</t>
  </si>
  <si>
    <t xml:space="preserve">ORVM Applique Set</t>
  </si>
  <si>
    <t xml:space="preserve">A007</t>
  </si>
  <si>
    <t xml:space="preserve">Body Cover</t>
  </si>
  <si>
    <t xml:space="preserve">A008</t>
  </si>
  <si>
    <t xml:space="preserve">Rear Spoiler</t>
  </si>
  <si>
    <t xml:space="preserve">A009</t>
  </si>
  <si>
    <t xml:space="preserve">Rear Spoiler L/R</t>
  </si>
  <si>
    <t xml:space="preserve">A010</t>
  </si>
  <si>
    <t xml:space="preserve">Rear Bumper Applique</t>
  </si>
  <si>
    <t xml:space="preserve">A011</t>
  </si>
  <si>
    <t xml:space="preserve">Side Foot Step</t>
  </si>
  <si>
    <t xml:space="preserve">A012</t>
  </si>
  <si>
    <t xml:space="preserve">Illuminated Scuff Protector</t>
  </si>
  <si>
    <t xml:space="preserve">A013</t>
  </si>
  <si>
    <t xml:space="preserve">Scuff Protector</t>
  </si>
  <si>
    <t xml:space="preserve">A014</t>
  </si>
  <si>
    <t xml:space="preserve">Tailgate Scuff Protector</t>
  </si>
  <si>
    <t xml:space="preserve">A015</t>
  </si>
  <si>
    <t xml:space="preserve">Screen Guard Protective Film</t>
  </si>
  <si>
    <t xml:space="preserve">A016</t>
  </si>
  <si>
    <t xml:space="preserve">Sunglass Holder</t>
  </si>
  <si>
    <t xml:space="preserve">Comfort</t>
  </si>
  <si>
    <t xml:space="preserve">A017</t>
  </si>
  <si>
    <t xml:space="preserve">Sun Blinds - Infinity</t>
  </si>
  <si>
    <t xml:space="preserve">A018</t>
  </si>
  <si>
    <t xml:space="preserve">3D Mat Set</t>
  </si>
  <si>
    <t xml:space="preserve">Mats &amp; liners</t>
  </si>
  <si>
    <t xml:space="preserve">A019</t>
  </si>
  <si>
    <t xml:space="preserve">Designer Mat Set</t>
  </si>
  <si>
    <t xml:space="preserve">A020</t>
  </si>
  <si>
    <t xml:space="preserve">Premium 7D Mat Set</t>
  </si>
  <si>
    <t xml:space="preserve">A021</t>
  </si>
  <si>
    <t xml:space="preserve">Printed Carpet Mat Set</t>
  </si>
  <si>
    <t xml:space="preserve">A022</t>
  </si>
  <si>
    <t xml:space="preserve">Front Trunk Liner</t>
  </si>
  <si>
    <t xml:space="preserve">A023</t>
  </si>
  <si>
    <t xml:space="preserve">Trunk Mat with Bumper Extension</t>
  </si>
  <si>
    <t xml:space="preserve">A024</t>
  </si>
  <si>
    <t xml:space="preserve">3D Boot Mat</t>
  </si>
  <si>
    <t xml:space="preserve">A025</t>
  </si>
  <si>
    <t xml:space="preserve">Parcel Shelf</t>
  </si>
  <si>
    <t xml:space="preserve">Utility</t>
  </si>
  <si>
    <t xml:space="preserve">Parcel shelf (factory on THREE+ and above)</t>
  </si>
  <si>
    <t xml:space="preserve">same</t>
  </si>
  <si>
    <t xml:space="preserve">A026</t>
  </si>
  <si>
    <t xml:space="preserve">Anti-Skid Rubberized Tray Kit</t>
  </si>
  <si>
    <t xml:space="preserve">A027</t>
  </si>
  <si>
    <t xml:space="preserve">Front Bash Guard</t>
  </si>
  <si>
    <t xml:space="preserve">None (protection add-on)</t>
  </si>
  <si>
    <t xml:space="preserve">Rough-road buyers: brochure doesn't say it protects the battery. Don't claim battery protection.</t>
  </si>
  <si>
    <t xml:space="preserve">A028</t>
  </si>
  <si>
    <t xml:space="preserve">Side Bash Guard</t>
  </si>
  <si>
    <t xml:space="preserve">A029</t>
  </si>
  <si>
    <t xml:space="preserve">Rear Bash Guard</t>
  </si>
  <si>
    <t xml:space="preserve">A030</t>
  </si>
  <si>
    <t xml:space="preserve">NFC Access Key Card</t>
  </si>
  <si>
    <t xml:space="preserve">Access</t>
  </si>
  <si>
    <t xml:space="preserve">NFC digital key (factory NFC compatibility on TWO and above)</t>
  </si>
  <si>
    <t xml:space="preserve">partial</t>
  </si>
  <si>
    <t xml:space="preserve">ONE lacks NFC hardware per brochure; card may not work on ONE. Confirm with dealer.</t>
  </si>
  <si>
    <t xml:space="preserve">A031</t>
  </si>
  <si>
    <t xml:space="preserve">A032</t>
  </si>
  <si>
    <t xml:space="preserve">A033</t>
  </si>
  <si>
    <t xml:space="preserve">Body Side Moulding</t>
  </si>
  <si>
    <t xml:space="preserve">A034</t>
  </si>
  <si>
    <t xml:space="preserve">A035</t>
  </si>
  <si>
    <t xml:space="preserve">A036</t>
  </si>
  <si>
    <t xml:space="preserve">Screen Protector</t>
  </si>
  <si>
    <t xml:space="preserve">A037</t>
  </si>
  <si>
    <t xml:space="preserve">A038</t>
  </si>
  <si>
    <t xml:space="preserve">A039</t>
  </si>
  <si>
    <t xml:space="preserve">A040</t>
  </si>
  <si>
    <t xml:space="preserve">7D Mats Silver Color</t>
  </si>
  <si>
    <t xml:space="preserve">A041</t>
  </si>
  <si>
    <t xml:space="preserve">7D Mat Red Color</t>
  </si>
  <si>
    <t xml:space="preserve">A042</t>
  </si>
  <si>
    <t xml:space="preserve">A043</t>
  </si>
  <si>
    <t xml:space="preserve">Carpet Mat Set</t>
  </si>
  <si>
    <t xml:space="preserve">A044</t>
  </si>
  <si>
    <t xml:space="preserve">A045</t>
  </si>
  <si>
    <t xml:space="preserve">Frunk Trunk Mat</t>
  </si>
  <si>
    <t xml:space="preserve">A046</t>
  </si>
  <si>
    <t xml:space="preserve">A047</t>
  </si>
  <si>
    <t xml:space="preserve">Sunshades</t>
  </si>
  <si>
    <t xml:space="preserve">Rear window sun shade (factory on Pack Three Select / Pack Three)</t>
  </si>
  <si>
    <t xml:space="preserve">A048</t>
  </si>
  <si>
    <t xml:space="preserve">Sporty Body Cover</t>
  </si>
  <si>
    <t xml:space="preserve">A049</t>
  </si>
  <si>
    <t xml:space="preserve">Premium Body Cover</t>
  </si>
  <si>
    <t xml:space="preserve">A050</t>
  </si>
  <si>
    <t xml:space="preserve">Silver Body Cover</t>
  </si>
  <si>
    <t xml:space="preserve">A051</t>
  </si>
  <si>
    <t xml:space="preserve">Portable Tire Inflator</t>
  </si>
  <si>
    <t xml:space="preserve">Tools</t>
  </si>
  <si>
    <t xml:space="preserve">None (factory has temporary spare)</t>
  </si>
  <si>
    <t xml:space="preserve">Useful because spare is space-saver</t>
  </si>
  <si>
    <t xml:space="preserve">A052</t>
  </si>
  <si>
    <t xml:space="preserve">Portable Vacuum Cleaner</t>
  </si>
  <si>
    <t xml:space="preserve">A053</t>
  </si>
  <si>
    <t xml:space="preserve">PD-QC Charger -130 W</t>
  </si>
  <si>
    <t xml:space="preserve">Charging</t>
  </si>
  <si>
    <t xml:space="preserve">None; factory USB-C is 65W</t>
  </si>
  <si>
    <t xml:space="preserve">Add-on, not a substitute</t>
  </si>
  <si>
    <t xml:space="preserve">A054</t>
  </si>
  <si>
    <t xml:space="preserve">Comfort Kit</t>
  </si>
  <si>
    <t xml:space="preserve">A055</t>
  </si>
  <si>
    <t xml:space="preserve">Ceramic Coating</t>
  </si>
  <si>
    <t xml:space="preserve">A056</t>
  </si>
  <si>
    <t xml:space="preserve">Paint Protection Film</t>
  </si>
  <si>
    <t xml:space="preserve">A057</t>
  </si>
  <si>
    <t xml:space="preserve">Headlamp Applique</t>
  </si>
  <si>
    <t xml:space="preserve">Lighting</t>
  </si>
  <si>
    <t xml:space="preserve">A058</t>
  </si>
  <si>
    <t xml:space="preserve">ORVM Applique</t>
  </si>
  <si>
    <t xml:space="preserve">A059</t>
  </si>
  <si>
    <t xml:space="preserve">A060</t>
  </si>
  <si>
    <t xml:space="preserve">A061</t>
  </si>
  <si>
    <t xml:space="preserve">Bumper Corner Protector</t>
  </si>
  <si>
    <t xml:space="preserve">A062</t>
  </si>
  <si>
    <t xml:space="preserve">Tail Lamp Garnish</t>
  </si>
  <si>
    <t xml:space="preserve">A063</t>
  </si>
  <si>
    <t xml:space="preserve">A064</t>
  </si>
  <si>
    <t xml:space="preserve">A065</t>
  </si>
  <si>
    <t xml:space="preserve">3D Floor Mats</t>
  </si>
  <si>
    <t xml:space="preserve">A066</t>
  </si>
  <si>
    <t xml:space="preserve">Designer Floor Mats</t>
  </si>
  <si>
    <t xml:space="preserve">A067</t>
  </si>
  <si>
    <t xml:space="preserve">Printed Carpet Floor Mats</t>
  </si>
  <si>
    <t xml:space="preserve">A068</t>
  </si>
  <si>
    <t xml:space="preserve">7D Floor Mats</t>
  </si>
  <si>
    <t xml:space="preserve">A069</t>
  </si>
  <si>
    <t xml:space="preserve">7D Floor Mats - Sage Green Stitch</t>
  </si>
  <si>
    <t xml:space="preserve">A070</t>
  </si>
  <si>
    <t xml:space="preserve">A071</t>
  </si>
  <si>
    <t xml:space="preserve">SS Scuff Protector</t>
  </si>
  <si>
    <t xml:space="preserve">A072</t>
  </si>
  <si>
    <t xml:space="preserve">A073</t>
  </si>
  <si>
    <t xml:space="preserve">Sequential Illuminated Scuff plate</t>
  </si>
  <si>
    <t xml:space="preserve">A074</t>
  </si>
  <si>
    <t xml:space="preserve">Frunk Mat</t>
  </si>
  <si>
    <t xml:space="preserve">A075</t>
  </si>
  <si>
    <t xml:space="preserve">A076</t>
  </si>
  <si>
    <t xml:space="preserve">A077</t>
  </si>
  <si>
    <t xml:space="preserve">Dual Tone Body Cover</t>
  </si>
  <si>
    <t xml:space="preserve">A078</t>
  </si>
  <si>
    <t xml:space="preserve">Luggage Net</t>
  </si>
  <si>
    <t xml:space="preserve">A079</t>
  </si>
  <si>
    <t xml:space="preserve">A080</t>
  </si>
  <si>
    <t xml:space="preserve">Sunshade Set</t>
  </si>
  <si>
    <t xml:space="preserve">Rear window sun shade (factory on Pack Three / Three Above)</t>
  </si>
  <si>
    <t xml:space="preserve">A081</t>
  </si>
  <si>
    <t xml:space="preserve">Floating Wheel Centre Caps</t>
  </si>
  <si>
    <t xml:space="preserve">A082</t>
  </si>
  <si>
    <t xml:space="preserve">BYOD - Adaptor: Tablet / Mobile Holder</t>
  </si>
  <si>
    <t xml:space="preserve">BYOD seat mounting (factory on Pack Two Above and up)</t>
  </si>
  <si>
    <t xml:space="preserve">Pack One Above lacks factory mounting provision; check fitment</t>
  </si>
  <si>
    <t xml:space="preserve">A083</t>
  </si>
  <si>
    <t xml:space="preserve">A084</t>
  </si>
  <si>
    <t xml:space="preserve">Wireless Tire Inflator</t>
  </si>
  <si>
    <t xml:space="preserve">A085</t>
  </si>
  <si>
    <t xml:space="preserve">Wireless Vacuum Cleaner</t>
  </si>
  <si>
    <t xml:space="preserve">A086</t>
  </si>
  <si>
    <t xml:space="preserve">A087</t>
  </si>
  <si>
    <t xml:space="preserve">Graphene Coating</t>
  </si>
  <si>
    <t xml:space="preserve">A088</t>
  </si>
  <si>
    <t xml:space="preserve">A089</t>
  </si>
  <si>
    <t xml:space="preserve">7.2kW Wall Box Charger</t>
  </si>
  <si>
    <t xml:space="preserve">Not in car price; needed for home charging</t>
  </si>
  <si>
    <t xml:space="preserve">S021 (Mahindra XEV 9S page)</t>
  </si>
  <si>
    <t xml:space="preserve">Installation extra</t>
  </si>
  <si>
    <t xml:space="preserve">Price official</t>
  </si>
  <si>
    <t xml:space="preserve">A090</t>
  </si>
  <si>
    <t xml:space="preserve">11.2kW Wall Box Charger</t>
  </si>
  <si>
    <t xml:space="preserve">Not in car price</t>
  </si>
  <si>
    <t xml:space="preserve">A091</t>
  </si>
  <si>
    <t xml:space="preserve">XEV 9e (Cineluxe)</t>
  </si>
  <si>
    <t xml:space="preserve">7.2 kW Wall Charger</t>
  </si>
  <si>
    <t xml:space="preserve">S019 (Cineluxe page FAQ)</t>
  </si>
  <si>
    <t xml:space="preserve">Yes (genuine)</t>
  </si>
  <si>
    <t xml:space="preserve">Other XEV 9e packs: likely same price, not confirmed</t>
  </si>
  <si>
    <t xml:space="preserve">A092</t>
  </si>
  <si>
    <t xml:space="preserve">11.2 kW Wall Charger</t>
  </si>
  <si>
    <t xml:space="preserve">A093</t>
  </si>
  <si>
    <t xml:space="preserve">Essential 3D Ceramic Coating Kit</t>
  </si>
  <si>
    <t xml:space="preserve">Listed for this model in Tata.ev shop; variant fit not stated</t>
  </si>
  <si>
    <t xml:space="preserve">S059 (Tata.ev accessories shop)</t>
  </si>
  <si>
    <t xml:space="preserve">Dealer fitment; charges may apply (shop note)</t>
  </si>
  <si>
    <t xml:space="preserve">A094</t>
  </si>
  <si>
    <t xml:space="preserve">Sturdy Alloy Wheel Nexon</t>
  </si>
  <si>
    <t xml:space="preserve">Factory alloys (top variants)</t>
  </si>
  <si>
    <t xml:space="preserve">cosmetic only</t>
  </si>
  <si>
    <t xml:space="preserve">Price unit (per wheel or set) not stated; Name mentions Nexon: confirm it fits the Curvv.ev</t>
  </si>
  <si>
    <t xml:space="preserve">A095</t>
  </si>
  <si>
    <t xml:space="preserve">Stylish Roof Rails Black &amp; Silver Nexon</t>
  </si>
  <si>
    <t xml:space="preserve">Roof rails (Punch.ev: factory on Empowered+ S)</t>
  </si>
  <si>
    <t xml:space="preserve">Name mentions Nexon: confirm it fits the Curvv.ev</t>
  </si>
  <si>
    <t xml:space="preserve">A096</t>
  </si>
  <si>
    <t xml:space="preserve">Stylish Wheel Rim Cover Silver Nexon</t>
  </si>
  <si>
    <t xml:space="preserve">A097</t>
  </si>
  <si>
    <t xml:space="preserve">Classy Door Visor Nexon</t>
  </si>
  <si>
    <t xml:space="preserve">A098</t>
  </si>
  <si>
    <t xml:space="preserve">Stylish Body Side Moulding Nexon</t>
  </si>
  <si>
    <t xml:space="preserve">A099</t>
  </si>
  <si>
    <t xml:space="preserve">Dazzling Illuminated Scuff Plate Nexon</t>
  </si>
  <si>
    <t xml:space="preserve">A100</t>
  </si>
  <si>
    <t xml:space="preserve">Classy Door Visor Nexon 3.0</t>
  </si>
  <si>
    <t xml:space="preserve">A101</t>
  </si>
  <si>
    <t xml:space="preserve">Stylish Chrome Garnish ORVM Carbon Fibre Chrome Nexon/ Tiago/ Punch</t>
  </si>
  <si>
    <t xml:space="preserve">Name mentions Nexon, Tiago, Punch: confirm it fits the Curvv.ev</t>
  </si>
  <si>
    <t xml:space="preserve">A102</t>
  </si>
  <si>
    <t xml:space="preserve">Stylish Chrome Garnish Mirror Nexon/ Tiago/ Punch</t>
  </si>
  <si>
    <t xml:space="preserve">A103</t>
  </si>
  <si>
    <t xml:space="preserve">Door Handle Garnish Zest/Bolt/Nexon</t>
  </si>
  <si>
    <t xml:space="preserve">Name mentions Nexon, Zest, Bolt: confirm it fits the Curvv.ev</t>
  </si>
  <si>
    <t xml:space="preserve">A104</t>
  </si>
  <si>
    <t xml:space="preserve">Stylish Chrome Garnish Door Handle Nexon</t>
  </si>
  <si>
    <t xml:space="preserve">A105</t>
  </si>
  <si>
    <t xml:space="preserve">Door Edge Guard with Chrome</t>
  </si>
  <si>
    <t xml:space="preserve">A106</t>
  </si>
  <si>
    <t xml:space="preserve">Ventilated Seat + Massager</t>
  </si>
  <si>
    <t xml:space="preserve">Factory ventilated seats (top variants)</t>
  </si>
  <si>
    <t xml:space="preserve">Seat pad with fan + massage; not integrated ventilation</t>
  </si>
  <si>
    <t xml:space="preserve">A107</t>
  </si>
  <si>
    <t xml:space="preserve">Air Purifier</t>
  </si>
  <si>
    <t xml:space="preserve">Factory air purifier with AQI (top variants)</t>
  </si>
  <si>
    <t xml:space="preserve">Standalone unit</t>
  </si>
  <si>
    <t xml:space="preserve">A108</t>
  </si>
  <si>
    <t xml:space="preserve">Lumber Support Memory foam Back Rest</t>
  </si>
  <si>
    <t xml:space="preserve">Other</t>
  </si>
  <si>
    <t xml:space="preserve">A109</t>
  </si>
  <si>
    <t xml:space="preserve">Magnetic Sunshade Nexon</t>
  </si>
  <si>
    <t xml:space="preserve">A110</t>
  </si>
  <si>
    <t xml:space="preserve">Essential Car Humidifiers</t>
  </si>
  <si>
    <t xml:space="preserve">A111</t>
  </si>
  <si>
    <t xml:space="preserve">Back Seat Organizer Nexon / Safari</t>
  </si>
  <si>
    <t xml:space="preserve">Name mentions Nexon, Safari: confirm it fits the Curvv.ev</t>
  </si>
  <si>
    <t xml:space="preserve">A112</t>
  </si>
  <si>
    <t xml:space="preserve">Neck Rest</t>
  </si>
  <si>
    <t xml:space="preserve">A113</t>
  </si>
  <si>
    <t xml:space="preserve">Sun Shade Umbrella Front Windscreen Curvv.ev</t>
  </si>
  <si>
    <t xml:space="preserve">A114</t>
  </si>
  <si>
    <t xml:space="preserve">Stylish Dash Mats Nexon</t>
  </si>
  <si>
    <t xml:space="preserve">A115</t>
  </si>
  <si>
    <t xml:space="preserve">A116</t>
  </si>
  <si>
    <t xml:space="preserve">Steering Wheel Cover</t>
  </si>
  <si>
    <t xml:space="preserve">A117</t>
  </si>
  <si>
    <t xml:space="preserve">Neck Rest Universal</t>
  </si>
  <si>
    <t xml:space="preserve">A118</t>
  </si>
  <si>
    <t xml:space="preserve">Air O Pure Nexon</t>
  </si>
  <si>
    <t xml:space="preserve">A119</t>
  </si>
  <si>
    <t xml:space="preserve">Car Charger 160 Watt</t>
  </si>
  <si>
    <t xml:space="preserve">A120</t>
  </si>
  <si>
    <t xml:space="preserve">Charger Retractable Cable 120 watt</t>
  </si>
  <si>
    <t xml:space="preserve">A121</t>
  </si>
  <si>
    <t xml:space="preserve">Car Cover with Reflector Nexon</t>
  </si>
  <si>
    <t xml:space="preserve">A122</t>
  </si>
  <si>
    <t xml:space="preserve">Car Invertor</t>
  </si>
  <si>
    <t xml:space="preserve">A123</t>
  </si>
  <si>
    <t xml:space="preserve">Parcel Tray Nexon</t>
  </si>
  <si>
    <t xml:space="preserve">A124</t>
  </si>
  <si>
    <t xml:space="preserve">Stylish Floor Carpet Mats Black Nexon EV</t>
  </si>
  <si>
    <t xml:space="preserve">A125</t>
  </si>
  <si>
    <t xml:space="preserve">Stylish 2D Floor Mats Universal</t>
  </si>
  <si>
    <t xml:space="preserve">A126</t>
  </si>
  <si>
    <t xml:space="preserve">Protective Mud Flap Nexon</t>
  </si>
  <si>
    <t xml:space="preserve">A127</t>
  </si>
  <si>
    <t xml:space="preserve">Screen Guard Music System 12.2 inch</t>
  </si>
  <si>
    <t xml:space="preserve">A128</t>
  </si>
  <si>
    <t xml:space="preserve">Screen Guard Music System 10 inch</t>
  </si>
  <si>
    <t xml:space="preserve">A129</t>
  </si>
  <si>
    <t xml:space="preserve">Screen Guard Touch Panel/FATC Nexon</t>
  </si>
  <si>
    <t xml:space="preserve">A130</t>
  </si>
  <si>
    <t xml:space="preserve">Screen Guard Music System 9 inch</t>
  </si>
  <si>
    <t xml:space="preserve">A131</t>
  </si>
  <si>
    <t xml:space="preserve">Screen Guard Instrument Cluster 7 inch</t>
  </si>
  <si>
    <t xml:space="preserve">A132</t>
  </si>
  <si>
    <t xml:space="preserve">Screen Guard Instrument Cluster 9 inch</t>
  </si>
  <si>
    <t xml:space="preserve">A133</t>
  </si>
  <si>
    <t xml:space="preserve">Screen Guard Music System 7 inch</t>
  </si>
  <si>
    <t xml:space="preserve">A134</t>
  </si>
  <si>
    <t xml:space="preserve">Screen Guard Steering Wheel</t>
  </si>
  <si>
    <t xml:space="preserve">A135</t>
  </si>
  <si>
    <t xml:space="preserve">Screen Guard Instrument Cluster 3.5 inch</t>
  </si>
  <si>
    <t xml:space="preserve">A136</t>
  </si>
  <si>
    <t xml:space="preserve">Bicycle Carrier Curvv</t>
  </si>
  <si>
    <t xml:space="preserve">A137</t>
  </si>
  <si>
    <t xml:space="preserve">Coffee Maker</t>
  </si>
  <si>
    <t xml:space="preserve">A138</t>
  </si>
  <si>
    <t xml:space="preserve">Heated Blanket</t>
  </si>
  <si>
    <t xml:space="preserve">A139</t>
  </si>
  <si>
    <t xml:space="preserve">Pet Sheet</t>
  </si>
  <si>
    <t xml:space="preserve">A140</t>
  </si>
  <si>
    <t xml:space="preserve">Flask</t>
  </si>
  <si>
    <t xml:space="preserve">A141</t>
  </si>
  <si>
    <t xml:space="preserve">Protective Umbrella Orange/Grey Nexon</t>
  </si>
  <si>
    <t xml:space="preserve">A142</t>
  </si>
  <si>
    <t xml:space="preserve">Umbrella Tata.ev Curvv.ev</t>
  </si>
  <si>
    <t xml:space="preserve">A143</t>
  </si>
  <si>
    <t xml:space="preserve">Protective Umbrella Blue/ White Nexon</t>
  </si>
  <si>
    <t xml:space="preserve">A144</t>
  </si>
  <si>
    <t xml:space="preserve">Pet Feed Bowl</t>
  </si>
  <si>
    <t xml:space="preserve">A145</t>
  </si>
  <si>
    <t xml:space="preserve">Key Cover Smart Key</t>
  </si>
  <si>
    <t xml:space="preserve">A146</t>
  </si>
  <si>
    <t xml:space="preserve">Key Cover FLIP Key</t>
  </si>
  <si>
    <t xml:space="preserve">A147</t>
  </si>
  <si>
    <t xml:space="preserve">Premium Key Cover</t>
  </si>
  <si>
    <t xml:space="preserve">A148</t>
  </si>
  <si>
    <t xml:space="preserve">Pet Car Sheet Belt</t>
  </si>
  <si>
    <t xml:space="preserve">A149</t>
  </si>
  <si>
    <t xml:space="preserve">Silicone Cover Flip Key</t>
  </si>
  <si>
    <t xml:space="preserve">A150</t>
  </si>
  <si>
    <t xml:space="preserve">Rear Seat Entertainment</t>
  </si>
  <si>
    <t xml:space="preserve">A151</t>
  </si>
  <si>
    <t xml:space="preserve">JBL Speakers</t>
  </si>
  <si>
    <t xml:space="preserve">Infotainment</t>
  </si>
  <si>
    <t xml:space="preserve">A152</t>
  </si>
  <si>
    <t xml:space="preserve">Rockford Speakers</t>
  </si>
  <si>
    <t xml:space="preserve">A153</t>
  </si>
  <si>
    <t xml:space="preserve">A154</t>
  </si>
  <si>
    <t xml:space="preserve">Crosslink Speakers</t>
  </si>
  <si>
    <t xml:space="preserve">A155</t>
  </si>
  <si>
    <t xml:space="preserve">Blaupunkt Speakers</t>
  </si>
  <si>
    <t xml:space="preserve">A156</t>
  </si>
  <si>
    <t xml:space="preserve">Digital Video Recorder Advanced</t>
  </si>
  <si>
    <t xml:space="preserve">Safety &amp; security</t>
  </si>
  <si>
    <t xml:space="preserve">Built-in DVR (Harrier.ev Empowered E-IRVM)</t>
  </si>
  <si>
    <t xml:space="preserve">Separate dashcam</t>
  </si>
  <si>
    <t xml:space="preserve">A157</t>
  </si>
  <si>
    <t xml:space="preserve">Wireless Kit</t>
  </si>
  <si>
    <t xml:space="preserve">A158</t>
  </si>
  <si>
    <t xml:space="preserve">Dash Cam Front &amp; Rear</t>
  </si>
  <si>
    <t xml:space="preserve">A159</t>
  </si>
  <si>
    <t xml:space="preserve">Digital Video Recorder - 2 inch display and 1080P full HD lens</t>
  </si>
  <si>
    <t xml:space="preserve">A160</t>
  </si>
  <si>
    <t xml:space="preserve">Emergency Rescue Kit + Air Compressor</t>
  </si>
  <si>
    <t xml:space="preserve">A161</t>
  </si>
  <si>
    <t xml:space="preserve">Safety Vehicle Tracking Device</t>
  </si>
  <si>
    <t xml:space="preserve">A162</t>
  </si>
  <si>
    <t xml:space="preserve">Logo Projector Lamp .ev Curvv.ev</t>
  </si>
  <si>
    <t xml:space="preserve">A163</t>
  </si>
  <si>
    <t xml:space="preserve">Car Washer</t>
  </si>
  <si>
    <t xml:space="preserve">A164</t>
  </si>
  <si>
    <t xml:space="preserve">Wireless Charger</t>
  </si>
  <si>
    <t xml:space="preserve">Wireless phone charger (factory on higher variants)</t>
  </si>
  <si>
    <t xml:space="preserve">Only useful on variants without it</t>
  </si>
  <si>
    <t xml:space="preserve">A165</t>
  </si>
  <si>
    <t xml:space="preserve">Vacuum Cleaner Wireless</t>
  </si>
  <si>
    <t xml:space="preserve">A166</t>
  </si>
  <si>
    <t xml:space="preserve">Utility Monsoon Kit</t>
  </si>
  <si>
    <t xml:space="preserve">A167</t>
  </si>
  <si>
    <t xml:space="preserve">Infotainment Kits</t>
  </si>
  <si>
    <t xml:space="preserve">A168</t>
  </si>
  <si>
    <t xml:space="preserve">Tyre Inflator</t>
  </si>
  <si>
    <t xml:space="preserve">A169</t>
  </si>
  <si>
    <t xml:space="preserve">Car Cover Nexon</t>
  </si>
  <si>
    <t xml:space="preserve">A170</t>
  </si>
  <si>
    <t xml:space="preserve">Safety Tool</t>
  </si>
  <si>
    <t xml:space="preserve">A171</t>
  </si>
  <si>
    <t xml:space="preserve">A172</t>
  </si>
  <si>
    <t xml:space="preserve">Vacuum Cleaner</t>
  </si>
  <si>
    <t xml:space="preserve">A173</t>
  </si>
  <si>
    <t xml:space="preserve">A174</t>
  </si>
  <si>
    <t xml:space="preserve">Platinum Duster</t>
  </si>
  <si>
    <t xml:space="preserve">A175</t>
  </si>
  <si>
    <t xml:space="preserve">Mobile Holder AutoMatsic</t>
  </si>
  <si>
    <t xml:space="preserve">A176</t>
  </si>
  <si>
    <t xml:space="preserve">Puncture Repair Kit</t>
  </si>
  <si>
    <t xml:space="preserve">A177</t>
  </si>
  <si>
    <t xml:space="preserve">Express Wash</t>
  </si>
  <si>
    <t xml:space="preserve">A178</t>
  </si>
  <si>
    <t xml:space="preserve">Decorative Idols &amp; Frames - GANESH IDOL VARAD</t>
  </si>
  <si>
    <t xml:space="preserve">A179</t>
  </si>
  <si>
    <t xml:space="preserve">Decorative Idols &amp; Frames - Ganesh Surya</t>
  </si>
  <si>
    <t xml:space="preserve">A180</t>
  </si>
  <si>
    <t xml:space="preserve">Odour Eliminator</t>
  </si>
  <si>
    <t xml:space="preserve">A181</t>
  </si>
  <si>
    <t xml:space="preserve">Water Spot Remover</t>
  </si>
  <si>
    <t xml:space="preserve">A182</t>
  </si>
  <si>
    <t xml:space="preserve">Car Care Kit</t>
  </si>
  <si>
    <t xml:space="preserve">A183</t>
  </si>
  <si>
    <t xml:space="preserve">Multipurpose Dresser</t>
  </si>
  <si>
    <t xml:space="preserve">A184</t>
  </si>
  <si>
    <t xml:space="preserve">Decorative Idols &amp; Frames - Red and Gold plated Ganesha</t>
  </si>
  <si>
    <t xml:space="preserve">A185</t>
  </si>
  <si>
    <t xml:space="preserve">Tiger Paw Mitt</t>
  </si>
  <si>
    <t xml:space="preserve">A186</t>
  </si>
  <si>
    <t xml:space="preserve">Decorative Idols &amp; Frames - Guru Nanak</t>
  </si>
  <si>
    <t xml:space="preserve">A187</t>
  </si>
  <si>
    <t xml:space="preserve">Essential Air Freshener - Live Easy Jade Forest 90gm</t>
  </si>
  <si>
    <t xml:space="preserve">A188</t>
  </si>
  <si>
    <t xml:space="preserve">Number Plate</t>
  </si>
  <si>
    <t xml:space="preserve">A189</t>
  </si>
  <si>
    <t xml:space="preserve">Essential Air Freshener - Gel Freshener - Premium (115 Grams) Seam</t>
  </si>
  <si>
    <t xml:space="preserve">A190</t>
  </si>
  <si>
    <t xml:space="preserve">First Aid Kit</t>
  </si>
  <si>
    <t xml:space="preserve">A191</t>
  </si>
  <si>
    <t xml:space="preserve">Microfibre Glass &amp; Metal</t>
  </si>
  <si>
    <t xml:space="preserve">A192</t>
  </si>
  <si>
    <t xml:space="preserve">Decorative Idols &amp; Frames - Ceramic Ganesh Idol with Resin Coating</t>
  </si>
  <si>
    <t xml:space="preserve">A193</t>
  </si>
  <si>
    <t xml:space="preserve">Car Cleaner</t>
  </si>
  <si>
    <t xml:space="preserve">A194</t>
  </si>
  <si>
    <t xml:space="preserve">Car Shampoo</t>
  </si>
  <si>
    <t xml:space="preserve">A195</t>
  </si>
  <si>
    <t xml:space="preserve">Glass Cleaner</t>
  </si>
  <si>
    <t xml:space="preserve">A196</t>
  </si>
  <si>
    <t xml:space="preserve">Dry Wash</t>
  </si>
  <si>
    <t xml:space="preserve">A197</t>
  </si>
  <si>
    <t xml:space="preserve">Plastic Bin</t>
  </si>
  <si>
    <t xml:space="preserve">A198</t>
  </si>
  <si>
    <t xml:space="preserve">Microfibre Cloth</t>
  </si>
  <si>
    <t xml:space="preserve">A199</t>
  </si>
  <si>
    <t xml:space="preserve">Decorative Idols &amp; Frames - Jesus</t>
  </si>
  <si>
    <t xml:space="preserve">A200</t>
  </si>
  <si>
    <t xml:space="preserve">Microfibre Sponge</t>
  </si>
  <si>
    <t xml:space="preserve">A201</t>
  </si>
  <si>
    <t xml:space="preserve">Essential Air Freshener - Perfume Sprays - Car 50ml</t>
  </si>
  <si>
    <t xml:space="preserve">A202</t>
  </si>
  <si>
    <t xml:space="preserve">Decorative Idols &amp; Frames - Mother Mary</t>
  </si>
  <si>
    <t xml:space="preserve">A203</t>
  </si>
  <si>
    <t xml:space="preserve">Essential Air Freshener - Live Easy 45gm cup shape</t>
  </si>
  <si>
    <t xml:space="preserve">A204</t>
  </si>
  <si>
    <t xml:space="preserve">Decorative Idols &amp; Frames - Ganesh Sedentary</t>
  </si>
  <si>
    <t xml:space="preserve">A205</t>
  </si>
  <si>
    <t xml:space="preserve">Decorative Idols &amp; Frames - Ganesh Power</t>
  </si>
  <si>
    <t xml:space="preserve">A206</t>
  </si>
  <si>
    <t xml:space="preserve">Decorative Idols &amp; Frames - GANESH ( DAGDUSETH )</t>
  </si>
  <si>
    <t xml:space="preserve">A207</t>
  </si>
  <si>
    <t xml:space="preserve">Decorative Idols &amp; Frames - Ganesh meditating</t>
  </si>
  <si>
    <t xml:space="preserve">A208</t>
  </si>
  <si>
    <t xml:space="preserve">Decorative Idols &amp; Frames - SAI BABA</t>
  </si>
  <si>
    <t xml:space="preserve">A209</t>
  </si>
  <si>
    <t xml:space="preserve">Decorative Idols &amp; Frames - GANESH ( APPU )</t>
  </si>
  <si>
    <t xml:space="preserve">A210</t>
  </si>
  <si>
    <t xml:space="preserve">Valve Air Cap</t>
  </si>
  <si>
    <t xml:space="preserve">A211</t>
  </si>
  <si>
    <t xml:space="preserve">Essential Air Freshener - Paper Freshener - Premium</t>
  </si>
  <si>
    <t xml:space="preserve">A212</t>
  </si>
  <si>
    <t xml:space="preserve">Tissue Box</t>
  </si>
  <si>
    <t xml:space="preserve">A213</t>
  </si>
  <si>
    <t xml:space="preserve">Valve Air Cap Tubeless Tyre</t>
  </si>
  <si>
    <t xml:space="preserve">A214</t>
  </si>
  <si>
    <t xml:space="preserve">A215</t>
  </si>
  <si>
    <t xml:space="preserve">A216</t>
  </si>
  <si>
    <t xml:space="preserve">A217</t>
  </si>
  <si>
    <t xml:space="preserve">A218</t>
  </si>
  <si>
    <t xml:space="preserve">A219</t>
  </si>
  <si>
    <t xml:space="preserve">Name mentions Curvv: confirm it fits the Nexon.ev</t>
  </si>
  <si>
    <t xml:space="preserve">A220</t>
  </si>
  <si>
    <t xml:space="preserve">Price unit (per wheel or set) not stated</t>
  </si>
  <si>
    <t xml:space="preserve">A221</t>
  </si>
  <si>
    <t xml:space="preserve">A222</t>
  </si>
  <si>
    <t xml:space="preserve">A223</t>
  </si>
  <si>
    <t xml:space="preserve">A224</t>
  </si>
  <si>
    <t xml:space="preserve">A225</t>
  </si>
  <si>
    <t xml:space="preserve">A226</t>
  </si>
  <si>
    <t xml:space="preserve">A227</t>
  </si>
  <si>
    <t xml:space="preserve">A228</t>
  </si>
  <si>
    <t xml:space="preserve">A229</t>
  </si>
  <si>
    <t xml:space="preserve">A230</t>
  </si>
  <si>
    <t xml:space="preserve">A231</t>
  </si>
  <si>
    <t xml:space="preserve">A232</t>
  </si>
  <si>
    <t xml:space="preserve">A233</t>
  </si>
  <si>
    <t xml:space="preserve">A234</t>
  </si>
  <si>
    <t xml:space="preserve">A235</t>
  </si>
  <si>
    <t xml:space="preserve">A236</t>
  </si>
  <si>
    <t xml:space="preserve">A237</t>
  </si>
  <si>
    <t xml:space="preserve">A238</t>
  </si>
  <si>
    <t xml:space="preserve">A239</t>
  </si>
  <si>
    <t xml:space="preserve">A240</t>
  </si>
  <si>
    <t xml:space="preserve">A241</t>
  </si>
  <si>
    <t xml:space="preserve">A242</t>
  </si>
  <si>
    <t xml:space="preserve">A243</t>
  </si>
  <si>
    <t xml:space="preserve">A244</t>
  </si>
  <si>
    <t xml:space="preserve">A245</t>
  </si>
  <si>
    <t xml:space="preserve">A246</t>
  </si>
  <si>
    <t xml:space="preserve">A247</t>
  </si>
  <si>
    <t xml:space="preserve">A248</t>
  </si>
  <si>
    <t xml:space="preserve">A249</t>
  </si>
  <si>
    <t xml:space="preserve">A250</t>
  </si>
  <si>
    <t xml:space="preserve">A251</t>
  </si>
  <si>
    <t xml:space="preserve">A252</t>
  </si>
  <si>
    <t xml:space="preserve">A253</t>
  </si>
  <si>
    <t xml:space="preserve">A254</t>
  </si>
  <si>
    <t xml:space="preserve">A255</t>
  </si>
  <si>
    <t xml:space="preserve">A256</t>
  </si>
  <si>
    <t xml:space="preserve">Name mentions Safari: confirm it fits the Nexon.ev</t>
  </si>
  <si>
    <t xml:space="preserve">A257</t>
  </si>
  <si>
    <t xml:space="preserve">Name mentions Tiago, Punch: confirm it fits the Nexon.ev</t>
  </si>
  <si>
    <t xml:space="preserve">A258</t>
  </si>
  <si>
    <t xml:space="preserve">A259</t>
  </si>
  <si>
    <t xml:space="preserve">A260</t>
  </si>
  <si>
    <t xml:space="preserve">A261</t>
  </si>
  <si>
    <t xml:space="preserve">A262</t>
  </si>
  <si>
    <t xml:space="preserve">A263</t>
  </si>
  <si>
    <t xml:space="preserve">Name mentions Zest, Bolt: confirm it fits the Nexon.ev</t>
  </si>
  <si>
    <t xml:space="preserve">A264</t>
  </si>
  <si>
    <t xml:space="preserve">A265</t>
  </si>
  <si>
    <t xml:space="preserve">A266</t>
  </si>
  <si>
    <t xml:space="preserve">A267</t>
  </si>
  <si>
    <t xml:space="preserve">A268</t>
  </si>
  <si>
    <t xml:space="preserve">A269</t>
  </si>
  <si>
    <t xml:space="preserve">A270</t>
  </si>
  <si>
    <t xml:space="preserve">A271</t>
  </si>
  <si>
    <t xml:space="preserve">A272</t>
  </si>
  <si>
    <t xml:space="preserve">A273</t>
  </si>
  <si>
    <t xml:space="preserve">A274</t>
  </si>
  <si>
    <t xml:space="preserve">A275</t>
  </si>
  <si>
    <t xml:space="preserve">A276</t>
  </si>
  <si>
    <t xml:space="preserve">A277</t>
  </si>
  <si>
    <t xml:space="preserve">A278</t>
  </si>
  <si>
    <t xml:space="preserve">A279</t>
  </si>
  <si>
    <t xml:space="preserve">A280</t>
  </si>
  <si>
    <t xml:space="preserve">A281</t>
  </si>
  <si>
    <t xml:space="preserve">A282</t>
  </si>
  <si>
    <t xml:space="preserve">A283</t>
  </si>
  <si>
    <t xml:space="preserve">A284</t>
  </si>
  <si>
    <t xml:space="preserve">A285</t>
  </si>
  <si>
    <t xml:space="preserve">A286</t>
  </si>
  <si>
    <t xml:space="preserve">A287</t>
  </si>
  <si>
    <t xml:space="preserve">A288</t>
  </si>
  <si>
    <t xml:space="preserve">A289</t>
  </si>
  <si>
    <t xml:space="preserve">A290</t>
  </si>
  <si>
    <t xml:space="preserve">A291</t>
  </si>
  <si>
    <t xml:space="preserve">A292</t>
  </si>
  <si>
    <t xml:space="preserve">A293</t>
  </si>
  <si>
    <t xml:space="preserve">A294</t>
  </si>
  <si>
    <t xml:space="preserve">A295</t>
  </si>
  <si>
    <t xml:space="preserve">A296</t>
  </si>
  <si>
    <t xml:space="preserve">A297</t>
  </si>
  <si>
    <t xml:space="preserve">A298</t>
  </si>
  <si>
    <t xml:space="preserve">A299</t>
  </si>
  <si>
    <t xml:space="preserve">A300</t>
  </si>
  <si>
    <t xml:space="preserve">A301</t>
  </si>
  <si>
    <t xml:space="preserve">A302</t>
  </si>
  <si>
    <t xml:space="preserve">A303</t>
  </si>
  <si>
    <t xml:space="preserve">A304</t>
  </si>
  <si>
    <t xml:space="preserve">A305</t>
  </si>
  <si>
    <t xml:space="preserve">A306</t>
  </si>
  <si>
    <t xml:space="preserve">A307</t>
  </si>
  <si>
    <t xml:space="preserve">A308</t>
  </si>
  <si>
    <t xml:space="preserve">A309</t>
  </si>
  <si>
    <t xml:space="preserve">A310</t>
  </si>
  <si>
    <t xml:space="preserve">A311</t>
  </si>
  <si>
    <t xml:space="preserve">A312</t>
  </si>
  <si>
    <t xml:space="preserve">A313</t>
  </si>
  <si>
    <t xml:space="preserve">A314</t>
  </si>
  <si>
    <t xml:space="preserve">A315</t>
  </si>
  <si>
    <t xml:space="preserve">A316</t>
  </si>
  <si>
    <t xml:space="preserve">A317</t>
  </si>
  <si>
    <t xml:space="preserve">A318</t>
  </si>
  <si>
    <t xml:space="preserve">A319</t>
  </si>
  <si>
    <t xml:space="preserve">A320</t>
  </si>
  <si>
    <t xml:space="preserve">A321</t>
  </si>
  <si>
    <t xml:space="preserve">A322</t>
  </si>
  <si>
    <t xml:space="preserve">A323</t>
  </si>
  <si>
    <t xml:space="preserve">A324</t>
  </si>
  <si>
    <t xml:space="preserve">A325</t>
  </si>
  <si>
    <t xml:space="preserve">A326</t>
  </si>
  <si>
    <t xml:space="preserve">A327</t>
  </si>
  <si>
    <t xml:space="preserve">A328</t>
  </si>
  <si>
    <t xml:space="preserve">A329</t>
  </si>
  <si>
    <t xml:space="preserve">A330</t>
  </si>
  <si>
    <t xml:space="preserve">A331</t>
  </si>
  <si>
    <t xml:space="preserve">A332</t>
  </si>
  <si>
    <t xml:space="preserve">A333</t>
  </si>
  <si>
    <t xml:space="preserve">A334</t>
  </si>
  <si>
    <t xml:space="preserve">A335</t>
  </si>
  <si>
    <t xml:space="preserve">A336</t>
  </si>
  <si>
    <t xml:space="preserve">A337</t>
  </si>
  <si>
    <t xml:space="preserve">A338</t>
  </si>
  <si>
    <t xml:space="preserve">A339</t>
  </si>
  <si>
    <t xml:space="preserve">A340</t>
  </si>
  <si>
    <t xml:space="preserve">Name mentions Curvv: confirm it fits the Punch.ev</t>
  </si>
  <si>
    <t xml:space="preserve">A341</t>
  </si>
  <si>
    <t xml:space="preserve">A342</t>
  </si>
  <si>
    <t xml:space="preserve">A343</t>
  </si>
  <si>
    <t xml:space="preserve">Auto Dimming IRVM Nexon/ Altroz/ Tiago/ Harrier</t>
  </si>
  <si>
    <t xml:space="preserve">Auto-dimming IRVM (factory on top variants)</t>
  </si>
  <si>
    <t xml:space="preserve">Name mentions Nexon, Tiago, Harrier, Altroz: confirm it fits the Punch.ev</t>
  </si>
  <si>
    <t xml:space="preserve">A344</t>
  </si>
  <si>
    <t xml:space="preserve">A345</t>
  </si>
  <si>
    <t xml:space="preserve">A346</t>
  </si>
  <si>
    <t xml:space="preserve">A347</t>
  </si>
  <si>
    <t xml:space="preserve">A348</t>
  </si>
  <si>
    <t xml:space="preserve">A349</t>
  </si>
  <si>
    <t xml:space="preserve">Stylish Roof Rails Black Punch</t>
  </si>
  <si>
    <t xml:space="preserve">A350</t>
  </si>
  <si>
    <t xml:space="preserve">Reverse LED Camera</t>
  </si>
  <si>
    <t xml:space="preserve">Rear camera (Punch.ev: factory from Smart+ 40)</t>
  </si>
  <si>
    <t xml:space="preserve">For Smart 30 / Smart+ 30</t>
  </si>
  <si>
    <t xml:space="preserve">A351</t>
  </si>
  <si>
    <t xml:space="preserve">Stylish Spoiler Black Punch</t>
  </si>
  <si>
    <t xml:space="preserve">A352</t>
  </si>
  <si>
    <t xml:space="preserve">A353</t>
  </si>
  <si>
    <t xml:space="preserve">A354</t>
  </si>
  <si>
    <t xml:space="preserve">A355</t>
  </si>
  <si>
    <t xml:space="preserve">A356</t>
  </si>
  <si>
    <t xml:space="preserve">A357</t>
  </si>
  <si>
    <t xml:space="preserve">A358</t>
  </si>
  <si>
    <t xml:space="preserve">A359</t>
  </si>
  <si>
    <t xml:space="preserve">A360</t>
  </si>
  <si>
    <t xml:space="preserve">A361</t>
  </si>
  <si>
    <t xml:space="preserve">A362</t>
  </si>
  <si>
    <t xml:space="preserve">Stylish Chrome Garnish Window Frame Kit Punch</t>
  </si>
  <si>
    <t xml:space="preserve">A363</t>
  </si>
  <si>
    <t xml:space="preserve">A364</t>
  </si>
  <si>
    <t xml:space="preserve">A365</t>
  </si>
  <si>
    <t xml:space="preserve">Magnetic Sunshade Punch</t>
  </si>
  <si>
    <t xml:space="preserve">A366</t>
  </si>
  <si>
    <t xml:space="preserve">Stylish Body Side Moulding Punch</t>
  </si>
  <si>
    <t xml:space="preserve">A367</t>
  </si>
  <si>
    <t xml:space="preserve">A368</t>
  </si>
  <si>
    <t xml:space="preserve">A369</t>
  </si>
  <si>
    <t xml:space="preserve">Car Cover with Combo Pack Rear Antenna Punch</t>
  </si>
  <si>
    <t xml:space="preserve">A370</t>
  </si>
  <si>
    <t xml:space="preserve">A371</t>
  </si>
  <si>
    <t xml:space="preserve">A372</t>
  </si>
  <si>
    <t xml:space="preserve">A373</t>
  </si>
  <si>
    <t xml:space="preserve">Classy Door Visor Punch</t>
  </si>
  <si>
    <t xml:space="preserve">A374</t>
  </si>
  <si>
    <t xml:space="preserve">A375</t>
  </si>
  <si>
    <t xml:space="preserve">A376</t>
  </si>
  <si>
    <t xml:space="preserve">Stylish 3D Trunk Mats Punch</t>
  </si>
  <si>
    <t xml:space="preserve">A377</t>
  </si>
  <si>
    <t xml:space="preserve">Stylish Floor Carpet Mats Black Punch EV</t>
  </si>
  <si>
    <t xml:space="preserve">A378</t>
  </si>
  <si>
    <t xml:space="preserve">Stylish Chrome Garnish Tail Gate Punch</t>
  </si>
  <si>
    <t xml:space="preserve">A379</t>
  </si>
  <si>
    <t xml:space="preserve">A380</t>
  </si>
  <si>
    <t xml:space="preserve">A381</t>
  </si>
  <si>
    <t xml:space="preserve">Parcel Tray Punch</t>
  </si>
  <si>
    <t xml:space="preserve">A382</t>
  </si>
  <si>
    <t xml:space="preserve">A383</t>
  </si>
  <si>
    <t xml:space="preserve">Stylish Scuff Plate Punch</t>
  </si>
  <si>
    <t xml:space="preserve">A384</t>
  </si>
  <si>
    <t xml:space="preserve">A385</t>
  </si>
  <si>
    <t xml:space="preserve">Stylish Trunk Carpet Mats Black Punch EV</t>
  </si>
  <si>
    <t xml:space="preserve">A386</t>
  </si>
  <si>
    <t xml:space="preserve">A387</t>
  </si>
  <si>
    <t xml:space="preserve">A388</t>
  </si>
  <si>
    <t xml:space="preserve">A389</t>
  </si>
  <si>
    <t xml:space="preserve">Stylish Chrome Garnish Rear Reflector Punch</t>
  </si>
  <si>
    <t xml:space="preserve">A390</t>
  </si>
  <si>
    <t xml:space="preserve">A391</t>
  </si>
  <si>
    <t xml:space="preserve">A392</t>
  </si>
  <si>
    <t xml:space="preserve">A393</t>
  </si>
  <si>
    <t xml:space="preserve">A394</t>
  </si>
  <si>
    <t xml:space="preserve">A395</t>
  </si>
  <si>
    <t xml:space="preserve">A396</t>
  </si>
  <si>
    <t xml:space="preserve">A397</t>
  </si>
  <si>
    <t xml:space="preserve">A398</t>
  </si>
  <si>
    <t xml:space="preserve">A399</t>
  </si>
  <si>
    <t xml:space="preserve">A400</t>
  </si>
  <si>
    <t xml:space="preserve">Protective Mud Flap Punch EV</t>
  </si>
  <si>
    <t xml:space="preserve">A401</t>
  </si>
  <si>
    <t xml:space="preserve">A402</t>
  </si>
  <si>
    <t xml:space="preserve">A403</t>
  </si>
  <si>
    <t xml:space="preserve">A404</t>
  </si>
  <si>
    <t xml:space="preserve">A405</t>
  </si>
  <si>
    <t xml:space="preserve">A406</t>
  </si>
  <si>
    <t xml:space="preserve">A407</t>
  </si>
  <si>
    <t xml:space="preserve">Stylish Dash Mats Punch</t>
  </si>
  <si>
    <t xml:space="preserve">A408</t>
  </si>
  <si>
    <t xml:space="preserve">A409</t>
  </si>
  <si>
    <t xml:space="preserve">A410</t>
  </si>
  <si>
    <t xml:space="preserve">A411</t>
  </si>
  <si>
    <t xml:space="preserve">A412</t>
  </si>
  <si>
    <t xml:space="preserve">A413</t>
  </si>
  <si>
    <t xml:space="preserve">A414</t>
  </si>
  <si>
    <t xml:space="preserve">A415</t>
  </si>
  <si>
    <t xml:space="preserve">A416</t>
  </si>
  <si>
    <t xml:space="preserve">A417</t>
  </si>
  <si>
    <t xml:space="preserve">A418</t>
  </si>
  <si>
    <t xml:space="preserve">A419</t>
  </si>
  <si>
    <t xml:space="preserve">A420</t>
  </si>
  <si>
    <t xml:space="preserve">A421</t>
  </si>
  <si>
    <t xml:space="preserve">A422</t>
  </si>
  <si>
    <t xml:space="preserve">A423</t>
  </si>
  <si>
    <t xml:space="preserve">A424</t>
  </si>
  <si>
    <t xml:space="preserve">A425</t>
  </si>
  <si>
    <t xml:space="preserve">A426</t>
  </si>
  <si>
    <t xml:space="preserve">A427</t>
  </si>
  <si>
    <t xml:space="preserve">A428</t>
  </si>
  <si>
    <t xml:space="preserve">A429</t>
  </si>
  <si>
    <t xml:space="preserve">A430</t>
  </si>
  <si>
    <t xml:space="preserve">A431</t>
  </si>
  <si>
    <t xml:space="preserve">A432</t>
  </si>
  <si>
    <t xml:space="preserve">Name mentions Nexon: confirm it fits the Punch.ev</t>
  </si>
  <si>
    <t xml:space="preserve">A433</t>
  </si>
  <si>
    <t xml:space="preserve">A434</t>
  </si>
  <si>
    <t xml:space="preserve">A435</t>
  </si>
  <si>
    <t xml:space="preserve">A436</t>
  </si>
  <si>
    <t xml:space="preserve">A437</t>
  </si>
  <si>
    <t xml:space="preserve">A438</t>
  </si>
  <si>
    <t xml:space="preserve">A439</t>
  </si>
  <si>
    <t xml:space="preserve">A440</t>
  </si>
  <si>
    <t xml:space="preserve">A441</t>
  </si>
  <si>
    <t xml:space="preserve">A442</t>
  </si>
  <si>
    <t xml:space="preserve">A443</t>
  </si>
  <si>
    <t xml:space="preserve">A444</t>
  </si>
  <si>
    <t xml:space="preserve">A445</t>
  </si>
  <si>
    <t xml:space="preserve">A446</t>
  </si>
  <si>
    <t xml:space="preserve">A447</t>
  </si>
  <si>
    <t xml:space="preserve">A448</t>
  </si>
  <si>
    <t xml:space="preserve">A449</t>
  </si>
  <si>
    <t xml:space="preserve">A450</t>
  </si>
  <si>
    <t xml:space="preserve">A451</t>
  </si>
  <si>
    <t xml:space="preserve">A452</t>
  </si>
  <si>
    <t xml:space="preserve">A453</t>
  </si>
  <si>
    <t xml:space="preserve">A454</t>
  </si>
  <si>
    <t xml:space="preserve">A455</t>
  </si>
  <si>
    <t xml:space="preserve">Name mentions Curvv: confirm it fits the Tigor.ev</t>
  </si>
  <si>
    <t xml:space="preserve">A456</t>
  </si>
  <si>
    <t xml:space="preserve">A457</t>
  </si>
  <si>
    <t xml:space="preserve">Sturdy Alloy Wheel 16 inch Tigor</t>
  </si>
  <si>
    <t xml:space="preserve">A458</t>
  </si>
  <si>
    <t xml:space="preserve">A459</t>
  </si>
  <si>
    <t xml:space="preserve">Name mentions Nexon, Tiago, Harrier, Altroz: confirm it fits the Tigor.ev</t>
  </si>
  <si>
    <t xml:space="preserve">A460</t>
  </si>
  <si>
    <t xml:space="preserve">Seat Cover AL Grey Tigor</t>
  </si>
  <si>
    <t xml:space="preserve">Factory leatherette seats (top variants)</t>
  </si>
  <si>
    <t xml:space="preserve">Cover, not factory upholstery</t>
  </si>
  <si>
    <t xml:space="preserve">A461</t>
  </si>
  <si>
    <t xml:space="preserve">LED Head Lamps</t>
  </si>
  <si>
    <t xml:space="preserve">LED headlamps (Tiago.ev: factory on Creative+ 24; Tigor.ev: projector on XZ+)</t>
  </si>
  <si>
    <t xml:space="preserve">Confirm fit on current-gen car</t>
  </si>
  <si>
    <t xml:space="preserve">A462</t>
  </si>
  <si>
    <t xml:space="preserve">A463</t>
  </si>
  <si>
    <t xml:space="preserve">A464</t>
  </si>
  <si>
    <t xml:space="preserve">A465</t>
  </si>
  <si>
    <t xml:space="preserve">A466</t>
  </si>
  <si>
    <t xml:space="preserve">A467</t>
  </si>
  <si>
    <t xml:space="preserve">A468</t>
  </si>
  <si>
    <t xml:space="preserve">Arm Rest Tigor/Tiago</t>
  </si>
  <si>
    <t xml:space="preserve">Front armrest (Tiago.ev: factory on Creative+ 24)</t>
  </si>
  <si>
    <t xml:space="preserve">Name mentions Tiago: confirm it fits the Tigor.ev</t>
  </si>
  <si>
    <t xml:space="preserve">A469</t>
  </si>
  <si>
    <t xml:space="preserve">Stylish Spoiler Piano Black Tigor</t>
  </si>
  <si>
    <t xml:space="preserve">A470</t>
  </si>
  <si>
    <t xml:space="preserve">A471</t>
  </si>
  <si>
    <t xml:space="preserve">A472</t>
  </si>
  <si>
    <t xml:space="preserve">A473</t>
  </si>
  <si>
    <t xml:space="preserve">A474</t>
  </si>
  <si>
    <t xml:space="preserve">A475</t>
  </si>
  <si>
    <t xml:space="preserve">Front Parking Sensor Tiago/Tigor/Hexa/Nexon/Harrier/Altroz</t>
  </si>
  <si>
    <t xml:space="preserve">Front parking sensors (not factory on Tiago.ev / Tigor.ev)</t>
  </si>
  <si>
    <t xml:space="preserve">Add-on; no factory equivalent on these models; Name mentions Nexon, Tiago, Harrier, Altroz, Hexa: confirm it fits the Tigor.ev</t>
  </si>
  <si>
    <t xml:space="preserve">A476</t>
  </si>
  <si>
    <t xml:space="preserve">Sunshade Tigor</t>
  </si>
  <si>
    <t xml:space="preserve">A477</t>
  </si>
  <si>
    <t xml:space="preserve">A478</t>
  </si>
  <si>
    <t xml:space="preserve">A479</t>
  </si>
  <si>
    <t xml:space="preserve">A480</t>
  </si>
  <si>
    <t xml:space="preserve">A481</t>
  </si>
  <si>
    <t xml:space="preserve">A482</t>
  </si>
  <si>
    <t xml:space="preserve">A483</t>
  </si>
  <si>
    <t xml:space="preserve">Dazzling Illuminated Scuff Plate Tigor</t>
  </si>
  <si>
    <t xml:space="preserve">A484</t>
  </si>
  <si>
    <t xml:space="preserve">A485</t>
  </si>
  <si>
    <t xml:space="preserve">Classy Door Visor Tigor</t>
  </si>
  <si>
    <t xml:space="preserve">A486</t>
  </si>
  <si>
    <t xml:space="preserve">Magnetic Sunshade Tigor</t>
  </si>
  <si>
    <t xml:space="preserve">A487</t>
  </si>
  <si>
    <t xml:space="preserve">Stylish Body Side Moulding Altroz/Tigor</t>
  </si>
  <si>
    <t xml:space="preserve">Name mentions Altroz: confirm it fits the Tigor.ev</t>
  </si>
  <si>
    <t xml:space="preserve">A488</t>
  </si>
  <si>
    <t xml:space="preserve">A489</t>
  </si>
  <si>
    <t xml:space="preserve">A490</t>
  </si>
  <si>
    <t xml:space="preserve">Car Cover Tigor</t>
  </si>
  <si>
    <t xml:space="preserve">A491</t>
  </si>
  <si>
    <t xml:space="preserve">A492</t>
  </si>
  <si>
    <t xml:space="preserve">A493</t>
  </si>
  <si>
    <t xml:space="preserve">A494</t>
  </si>
  <si>
    <t xml:space="preserve">Stylish Floor Carpet Mats Tigor EV</t>
  </si>
  <si>
    <t xml:space="preserve">A495</t>
  </si>
  <si>
    <t xml:space="preserve">Stylish Floor Carpet Mats Tigor</t>
  </si>
  <si>
    <t xml:space="preserve">A496</t>
  </si>
  <si>
    <t xml:space="preserve">Back Seat Organizer Altroz/ Tiago/ Tigor</t>
  </si>
  <si>
    <t xml:space="preserve">Name mentions Tiago, Altroz: confirm it fits the Tigor.ev</t>
  </si>
  <si>
    <t xml:space="preserve">A497</t>
  </si>
  <si>
    <t xml:space="preserve">A498</t>
  </si>
  <si>
    <t xml:space="preserve">A499</t>
  </si>
  <si>
    <t xml:space="preserve">Bumper Corner Protector Tigor</t>
  </si>
  <si>
    <t xml:space="preserve">A500</t>
  </si>
  <si>
    <t xml:space="preserve">Stylish Scuff Plate Tigor</t>
  </si>
  <si>
    <t xml:space="preserve">A501</t>
  </si>
  <si>
    <t xml:space="preserve">A502</t>
  </si>
  <si>
    <t xml:space="preserve">A503</t>
  </si>
  <si>
    <t xml:space="preserve">A504</t>
  </si>
  <si>
    <t xml:space="preserve">Stylish Dash Mats Tigor</t>
  </si>
  <si>
    <t xml:space="preserve">A505</t>
  </si>
  <si>
    <t xml:space="preserve">A506</t>
  </si>
  <si>
    <t xml:space="preserve">A507</t>
  </si>
  <si>
    <t xml:space="preserve">A508</t>
  </si>
  <si>
    <t xml:space="preserve">Stylish Chrome Garnish Tail Lamp Tigor</t>
  </si>
  <si>
    <t xml:space="preserve">A509</t>
  </si>
  <si>
    <t xml:space="preserve">A510</t>
  </si>
  <si>
    <t xml:space="preserve">A511</t>
  </si>
  <si>
    <t xml:space="preserve">A512</t>
  </si>
  <si>
    <t xml:space="preserve">A513</t>
  </si>
  <si>
    <t xml:space="preserve">A514</t>
  </si>
  <si>
    <t xml:space="preserve">A515</t>
  </si>
  <si>
    <t xml:space="preserve">Protective Mud Flap Tigor</t>
  </si>
  <si>
    <t xml:space="preserve">A516</t>
  </si>
  <si>
    <t xml:space="preserve">A517</t>
  </si>
  <si>
    <t xml:space="preserve">A518</t>
  </si>
  <si>
    <t xml:space="preserve">A519</t>
  </si>
  <si>
    <t xml:space="preserve">A520</t>
  </si>
  <si>
    <t xml:space="preserve">A521</t>
  </si>
  <si>
    <t xml:space="preserve">A522</t>
  </si>
  <si>
    <t xml:space="preserve">A523</t>
  </si>
  <si>
    <t xml:space="preserve">A524</t>
  </si>
  <si>
    <t xml:space="preserve">A525</t>
  </si>
  <si>
    <t xml:space="preserve">A526</t>
  </si>
  <si>
    <t xml:space="preserve">A527</t>
  </si>
  <si>
    <t xml:space="preserve">A528</t>
  </si>
  <si>
    <t xml:space="preserve">A529</t>
  </si>
  <si>
    <t xml:space="preserve">A530</t>
  </si>
  <si>
    <t xml:space="preserve">A531</t>
  </si>
  <si>
    <t xml:space="preserve">A532</t>
  </si>
  <si>
    <t xml:space="preserve">A533</t>
  </si>
  <si>
    <t xml:space="preserve">A534</t>
  </si>
  <si>
    <t xml:space="preserve">A535</t>
  </si>
  <si>
    <t xml:space="preserve">A536</t>
  </si>
  <si>
    <t xml:space="preserve">A537</t>
  </si>
  <si>
    <t xml:space="preserve">A538</t>
  </si>
  <si>
    <t xml:space="preserve">A539</t>
  </si>
  <si>
    <t xml:space="preserve">A540</t>
  </si>
  <si>
    <t xml:space="preserve">A541</t>
  </si>
  <si>
    <t xml:space="preserve">A542</t>
  </si>
  <si>
    <t xml:space="preserve">A543</t>
  </si>
  <si>
    <t xml:space="preserve">A544</t>
  </si>
  <si>
    <t xml:space="preserve">A545</t>
  </si>
  <si>
    <t xml:space="preserve">A546</t>
  </si>
  <si>
    <t xml:space="preserve">A547</t>
  </si>
  <si>
    <t xml:space="preserve">A548</t>
  </si>
  <si>
    <t xml:space="preserve">A549</t>
  </si>
  <si>
    <t xml:space="preserve">A550</t>
  </si>
  <si>
    <t xml:space="preserve">Name mentions Nexon: confirm it fits the Tigor.ev</t>
  </si>
  <si>
    <t xml:space="preserve">A551</t>
  </si>
  <si>
    <t xml:space="preserve">A552</t>
  </si>
  <si>
    <t xml:space="preserve">A553</t>
  </si>
  <si>
    <t xml:space="preserve">A554</t>
  </si>
  <si>
    <t xml:space="preserve">A555</t>
  </si>
  <si>
    <t xml:space="preserve">A556</t>
  </si>
  <si>
    <t xml:space="preserve">A557</t>
  </si>
  <si>
    <t xml:space="preserve">A558</t>
  </si>
  <si>
    <t xml:space="preserve">A559</t>
  </si>
  <si>
    <t xml:space="preserve">A560</t>
  </si>
  <si>
    <t xml:space="preserve">A561</t>
  </si>
  <si>
    <t xml:space="preserve">A562</t>
  </si>
  <si>
    <t xml:space="preserve">A563</t>
  </si>
  <si>
    <t xml:space="preserve">A564</t>
  </si>
  <si>
    <t xml:space="preserve">A565</t>
  </si>
  <si>
    <t xml:space="preserve">A566</t>
  </si>
  <si>
    <t xml:space="preserve">A567</t>
  </si>
  <si>
    <t xml:space="preserve">A568</t>
  </si>
  <si>
    <t xml:space="preserve">A569</t>
  </si>
  <si>
    <t xml:space="preserve">A570</t>
  </si>
  <si>
    <t xml:space="preserve">A571</t>
  </si>
  <si>
    <t xml:space="preserve">A572</t>
  </si>
  <si>
    <t xml:space="preserve">A573</t>
  </si>
  <si>
    <t xml:space="preserve">Name mentions Curvv: confirm it fits the Tiago.ev</t>
  </si>
  <si>
    <t xml:space="preserve">A574</t>
  </si>
  <si>
    <t xml:space="preserve">A575</t>
  </si>
  <si>
    <t xml:space="preserve">Price unit (per wheel or set) not stated; Name mentions Tigor: confirm it fits the Tiago.ev</t>
  </si>
  <si>
    <t xml:space="preserve">A576</t>
  </si>
  <si>
    <t xml:space="preserve">A577</t>
  </si>
  <si>
    <t xml:space="preserve">Sturdy Alloy Wheel 14 inch Diamond Cut</t>
  </si>
  <si>
    <t xml:space="preserve">A578</t>
  </si>
  <si>
    <t xml:space="preserve">A579</t>
  </si>
  <si>
    <t xml:space="preserve">Seat Cover Full Black Insert Silver Grey Tiago</t>
  </si>
  <si>
    <t xml:space="preserve">A580</t>
  </si>
  <si>
    <t xml:space="preserve">Seat Cover AL Black Grey Tiago</t>
  </si>
  <si>
    <t xml:space="preserve">A581</t>
  </si>
  <si>
    <t xml:space="preserve">A582</t>
  </si>
  <si>
    <t xml:space="preserve">A583</t>
  </si>
  <si>
    <t xml:space="preserve">A584</t>
  </si>
  <si>
    <t xml:space="preserve">Sturdy Alloy Wheel 14 inch Silver Tiago</t>
  </si>
  <si>
    <t xml:space="preserve">A585</t>
  </si>
  <si>
    <t xml:space="preserve">A586</t>
  </si>
  <si>
    <t xml:space="preserve">A587</t>
  </si>
  <si>
    <t xml:space="preserve">Name mentions Tigor: confirm it fits the Tiago.ev</t>
  </si>
  <si>
    <t xml:space="preserve">A588</t>
  </si>
  <si>
    <t xml:space="preserve">Stylish Roof Rails Silver Tiago</t>
  </si>
  <si>
    <t xml:space="preserve">A589</t>
  </si>
  <si>
    <t xml:space="preserve">A590</t>
  </si>
  <si>
    <t xml:space="preserve">Stylish Roof Rails Black Tiago</t>
  </si>
  <si>
    <t xml:space="preserve">A591</t>
  </si>
  <si>
    <t xml:space="preserve">A592</t>
  </si>
  <si>
    <t xml:space="preserve">Seat Cover Full Black Silver Grey Tiago</t>
  </si>
  <si>
    <t xml:space="preserve">A593</t>
  </si>
  <si>
    <t xml:space="preserve">A594</t>
  </si>
  <si>
    <t xml:space="preserve">A595</t>
  </si>
  <si>
    <t xml:space="preserve">A596</t>
  </si>
  <si>
    <t xml:space="preserve">A597</t>
  </si>
  <si>
    <t xml:space="preserve">Add-on; no factory equivalent on these models; Name mentions Nexon, Tigor, Harrier, Altroz, Hexa: confirm it fits the Tiago.ev</t>
  </si>
  <si>
    <t xml:space="preserve">A598</t>
  </si>
  <si>
    <t xml:space="preserve">A599</t>
  </si>
  <si>
    <t xml:space="preserve">A600</t>
  </si>
  <si>
    <t xml:space="preserve">A601</t>
  </si>
  <si>
    <t xml:space="preserve">A602</t>
  </si>
  <si>
    <t xml:space="preserve">A603</t>
  </si>
  <si>
    <t xml:space="preserve">A604</t>
  </si>
  <si>
    <t xml:space="preserve">Dazzling Illuminated Scuff Plate Tiago</t>
  </si>
  <si>
    <t xml:space="preserve">A605</t>
  </si>
  <si>
    <t xml:space="preserve">A606</t>
  </si>
  <si>
    <t xml:space="preserve">Stylish Body Side Moulding Tiago</t>
  </si>
  <si>
    <t xml:space="preserve">A607</t>
  </si>
  <si>
    <t xml:space="preserve">Classy Door Visor Tiago</t>
  </si>
  <si>
    <t xml:space="preserve">A608</t>
  </si>
  <si>
    <t xml:space="preserve">Sturdy Alloy Wheel Rim 14 inch Tiago</t>
  </si>
  <si>
    <t xml:space="preserve">A609</t>
  </si>
  <si>
    <t xml:space="preserve">A610</t>
  </si>
  <si>
    <t xml:space="preserve">A611</t>
  </si>
  <si>
    <t xml:space="preserve">Wheel Cover Tiago</t>
  </si>
  <si>
    <t xml:space="preserve">A612</t>
  </si>
  <si>
    <t xml:space="preserve">A613</t>
  </si>
  <si>
    <t xml:space="preserve">Car Cover Tiago</t>
  </si>
  <si>
    <t xml:space="preserve">A614</t>
  </si>
  <si>
    <t xml:space="preserve">A615</t>
  </si>
  <si>
    <t xml:space="preserve">A616</t>
  </si>
  <si>
    <t xml:space="preserve">Name mentions Nexon, Punch: confirm it fits the Tiago.ev</t>
  </si>
  <si>
    <t xml:space="preserve">A617</t>
  </si>
  <si>
    <t xml:space="preserve">A618</t>
  </si>
  <si>
    <t xml:space="preserve">Stylish Floor Carpet Mats Ebony Black Tiago</t>
  </si>
  <si>
    <t xml:space="preserve">A619</t>
  </si>
  <si>
    <t xml:space="preserve">Stylish Floor Carpet Mats Tiago</t>
  </si>
  <si>
    <t xml:space="preserve">A620</t>
  </si>
  <si>
    <t xml:space="preserve">A621</t>
  </si>
  <si>
    <t xml:space="preserve">A622</t>
  </si>
  <si>
    <t xml:space="preserve">Bumper Corner Protector Tiago</t>
  </si>
  <si>
    <t xml:space="preserve">A623</t>
  </si>
  <si>
    <t xml:space="preserve">A624</t>
  </si>
  <si>
    <t xml:space="preserve">A625</t>
  </si>
  <si>
    <t xml:space="preserve">Door Handle Tiago/Tigor/Hexa Garnish</t>
  </si>
  <si>
    <t xml:space="preserve">Name mentions Tigor, Hexa: confirm it fits the Tiago.ev</t>
  </si>
  <si>
    <t xml:space="preserve">A626</t>
  </si>
  <si>
    <t xml:space="preserve">Parcel Tray Tiago</t>
  </si>
  <si>
    <t xml:space="preserve">A627</t>
  </si>
  <si>
    <t xml:space="preserve">Stylish Chrome Garnish Bumper Tiago/ Tigor</t>
  </si>
  <si>
    <t xml:space="preserve">A628</t>
  </si>
  <si>
    <t xml:space="preserve">Stylish Chrome Garnish Window Frame Kit Tiago</t>
  </si>
  <si>
    <t xml:space="preserve">A629</t>
  </si>
  <si>
    <t xml:space="preserve">Stylish Chrome Garnish Tail Gate Tiago</t>
  </si>
  <si>
    <t xml:space="preserve">A630</t>
  </si>
  <si>
    <t xml:space="preserve">Stylish Dash Mats Tiago</t>
  </si>
  <si>
    <t xml:space="preserve">A631</t>
  </si>
  <si>
    <t xml:space="preserve">A632</t>
  </si>
  <si>
    <t xml:space="preserve">A633</t>
  </si>
  <si>
    <t xml:space="preserve">A634</t>
  </si>
  <si>
    <t xml:space="preserve">A635</t>
  </si>
  <si>
    <t xml:space="preserve">Stylish Chrome Garnish Tail Lamp Tiago</t>
  </si>
  <si>
    <t xml:space="preserve">A636</t>
  </si>
  <si>
    <t xml:space="preserve">A637</t>
  </si>
  <si>
    <t xml:space="preserve">A638</t>
  </si>
  <si>
    <t xml:space="preserve">A639</t>
  </si>
  <si>
    <t xml:space="preserve">A640</t>
  </si>
  <si>
    <t xml:space="preserve">A641</t>
  </si>
  <si>
    <t xml:space="preserve">A642</t>
  </si>
  <si>
    <t xml:space="preserve">A643</t>
  </si>
  <si>
    <t xml:space="preserve">Protective Mud Flap Tiago</t>
  </si>
  <si>
    <t xml:space="preserve">A644</t>
  </si>
  <si>
    <t xml:space="preserve">A645</t>
  </si>
  <si>
    <t xml:space="preserve">A646</t>
  </si>
  <si>
    <t xml:space="preserve">A647</t>
  </si>
  <si>
    <t xml:space="preserve">A648</t>
  </si>
  <si>
    <t xml:space="preserve">A649</t>
  </si>
  <si>
    <t xml:space="preserve">A650</t>
  </si>
  <si>
    <t xml:space="preserve">A651</t>
  </si>
  <si>
    <t xml:space="preserve">A652</t>
  </si>
  <si>
    <t xml:space="preserve">A653</t>
  </si>
  <si>
    <t xml:space="preserve">A654</t>
  </si>
  <si>
    <t xml:space="preserve">A655</t>
  </si>
  <si>
    <t xml:space="preserve">A656</t>
  </si>
  <si>
    <t xml:space="preserve">A657</t>
  </si>
  <si>
    <t xml:space="preserve">A658</t>
  </si>
  <si>
    <t xml:space="preserve">A659</t>
  </si>
  <si>
    <t xml:space="preserve">A660</t>
  </si>
  <si>
    <t xml:space="preserve">A661</t>
  </si>
  <si>
    <t xml:space="preserve">A662</t>
  </si>
  <si>
    <t xml:space="preserve">Stylish Chrome Garnish Fog Lamp Tiago</t>
  </si>
  <si>
    <t xml:space="preserve">A663</t>
  </si>
  <si>
    <t xml:space="preserve">A664</t>
  </si>
  <si>
    <t xml:space="preserve">A665</t>
  </si>
  <si>
    <t xml:space="preserve">A666</t>
  </si>
  <si>
    <t xml:space="preserve">A667</t>
  </si>
  <si>
    <t xml:space="preserve">A668</t>
  </si>
  <si>
    <t xml:space="preserve">A669</t>
  </si>
  <si>
    <t xml:space="preserve">A670</t>
  </si>
  <si>
    <t xml:space="preserve">A671</t>
  </si>
  <si>
    <t xml:space="preserve">A672</t>
  </si>
  <si>
    <t xml:space="preserve">A673</t>
  </si>
  <si>
    <t xml:space="preserve">A674</t>
  </si>
  <si>
    <t xml:space="preserve">A675</t>
  </si>
  <si>
    <t xml:space="preserve">A676</t>
  </si>
  <si>
    <t xml:space="preserve">A677</t>
  </si>
  <si>
    <t xml:space="preserve">A678</t>
  </si>
  <si>
    <t xml:space="preserve">A679</t>
  </si>
  <si>
    <t xml:space="preserve">Name mentions Nexon: confirm it fits the Tiago.ev</t>
  </si>
  <si>
    <t xml:space="preserve">A680</t>
  </si>
  <si>
    <t xml:space="preserve">A681</t>
  </si>
  <si>
    <t xml:space="preserve">A682</t>
  </si>
  <si>
    <t xml:space="preserve">A683</t>
  </si>
  <si>
    <t xml:space="preserve">A684</t>
  </si>
  <si>
    <t xml:space="preserve">A685</t>
  </si>
  <si>
    <t xml:space="preserve">A686</t>
  </si>
  <si>
    <t xml:space="preserve">A687</t>
  </si>
  <si>
    <t xml:space="preserve">A688</t>
  </si>
  <si>
    <t xml:space="preserve">A689</t>
  </si>
  <si>
    <t xml:space="preserve">A690</t>
  </si>
  <si>
    <t xml:space="preserve">A691</t>
  </si>
  <si>
    <t xml:space="preserve">A692</t>
  </si>
  <si>
    <t xml:space="preserve">A693</t>
  </si>
  <si>
    <t xml:space="preserve">A694</t>
  </si>
  <si>
    <t xml:space="preserve">A695</t>
  </si>
  <si>
    <t xml:space="preserve">A696</t>
  </si>
  <si>
    <t xml:space="preserve">A697</t>
  </si>
  <si>
    <t xml:space="preserve">A698</t>
  </si>
  <si>
    <t xml:space="preserve">A699</t>
  </si>
  <si>
    <t xml:space="preserve">A700</t>
  </si>
  <si>
    <t xml:space="preserve">A701</t>
  </si>
  <si>
    <t xml:space="preserve">Stylish 7D Floor Mats Harrier.ev</t>
  </si>
  <si>
    <t xml:space="preserve">A702</t>
  </si>
  <si>
    <t xml:space="preserve">A703</t>
  </si>
  <si>
    <t xml:space="preserve">Name mentions Curvv: confirm it fits the Harrier.ev</t>
  </si>
  <si>
    <t xml:space="preserve">A704</t>
  </si>
  <si>
    <t xml:space="preserve">A705</t>
  </si>
  <si>
    <t xml:space="preserve">A706</t>
  </si>
  <si>
    <t xml:space="preserve">A707</t>
  </si>
  <si>
    <t xml:space="preserve">Stylish 3D Floor Mats Moulded Harrier.ev</t>
  </si>
  <si>
    <t xml:space="preserve">A708</t>
  </si>
  <si>
    <t xml:space="preserve">A709</t>
  </si>
  <si>
    <t xml:space="preserve">A710</t>
  </si>
  <si>
    <t xml:space="preserve">A711</t>
  </si>
  <si>
    <t xml:space="preserve">A712</t>
  </si>
  <si>
    <t xml:space="preserve">Classy Door Visor Harrier</t>
  </si>
  <si>
    <t xml:space="preserve">A713</t>
  </si>
  <si>
    <t xml:space="preserve">Chrome Headlamp &amp; Reflector Garnish Black</t>
  </si>
  <si>
    <t xml:space="preserve">A714</t>
  </si>
  <si>
    <t xml:space="preserve">Magnetic Sunshade Harrier/Safari</t>
  </si>
  <si>
    <t xml:space="preserve">Name mentions Safari: confirm it fits the Harrier.ev</t>
  </si>
  <si>
    <t xml:space="preserve">A715</t>
  </si>
  <si>
    <t xml:space="preserve">Stylish Chrome Garnish Window Frame Kit Harrier</t>
  </si>
  <si>
    <t xml:space="preserve">A716</t>
  </si>
  <si>
    <t xml:space="preserve">Mascot Bonnet Harrier Chrome</t>
  </si>
  <si>
    <t xml:space="preserve">A717</t>
  </si>
  <si>
    <t xml:space="preserve">A718</t>
  </si>
  <si>
    <t xml:space="preserve">Stylish Body Side Moulding</t>
  </si>
  <si>
    <t xml:space="preserve">A719</t>
  </si>
  <si>
    <t xml:space="preserve">A720</t>
  </si>
  <si>
    <t xml:space="preserve">A721</t>
  </si>
  <si>
    <t xml:space="preserve">A722</t>
  </si>
  <si>
    <t xml:space="preserve">A723</t>
  </si>
  <si>
    <t xml:space="preserve">Car Cover Harrier.ev</t>
  </si>
  <si>
    <t xml:space="preserve">A724</t>
  </si>
  <si>
    <t xml:space="preserve">Stylish Floor Carpet Mats Black Harrier.ev</t>
  </si>
  <si>
    <t xml:space="preserve">A725</t>
  </si>
  <si>
    <t xml:space="preserve">Chrome Headlamp &amp; Reflector Garnish</t>
  </si>
  <si>
    <t xml:space="preserve">A726</t>
  </si>
  <si>
    <t xml:space="preserve">A727</t>
  </si>
  <si>
    <t xml:space="preserve">A728</t>
  </si>
  <si>
    <t xml:space="preserve">A729</t>
  </si>
  <si>
    <t xml:space="preserve">A730</t>
  </si>
  <si>
    <t xml:space="preserve">A731</t>
  </si>
  <si>
    <t xml:space="preserve">A732</t>
  </si>
  <si>
    <t xml:space="preserve">Puddle Lamp</t>
  </si>
  <si>
    <t xml:space="preserve">A733</t>
  </si>
  <si>
    <t xml:space="preserve">A734</t>
  </si>
  <si>
    <t xml:space="preserve">A735</t>
  </si>
  <si>
    <t xml:space="preserve">A736</t>
  </si>
  <si>
    <t xml:space="preserve">Stylish Chrome Garnish Rear Bumper Harrier</t>
  </si>
  <si>
    <t xml:space="preserve">A737</t>
  </si>
  <si>
    <t xml:space="preserve">Stylish Chrome Garnish Trunk Lower Harrier</t>
  </si>
  <si>
    <t xml:space="preserve">A738</t>
  </si>
  <si>
    <t xml:space="preserve">Head Lamp Mascot- Chrome</t>
  </si>
  <si>
    <t xml:space="preserve">A739</t>
  </si>
  <si>
    <t xml:space="preserve">Chrome Mascot Bonnet Harrier Black</t>
  </si>
  <si>
    <t xml:space="preserve">A740</t>
  </si>
  <si>
    <t xml:space="preserve">Chrome Humanity Line Black</t>
  </si>
  <si>
    <t xml:space="preserve">A741</t>
  </si>
  <si>
    <t xml:space="preserve">Stylish Scuff Plate- Harrier</t>
  </si>
  <si>
    <t xml:space="preserve">A742</t>
  </si>
  <si>
    <t xml:space="preserve">A743</t>
  </si>
  <si>
    <t xml:space="preserve">A744</t>
  </si>
  <si>
    <t xml:space="preserve">Chrome Humanity Line</t>
  </si>
  <si>
    <t xml:space="preserve">A745</t>
  </si>
  <si>
    <t xml:space="preserve">A746</t>
  </si>
  <si>
    <t xml:space="preserve">Stylish Chrome Garnish Door Handle Harrier</t>
  </si>
  <si>
    <t xml:space="preserve">A747</t>
  </si>
  <si>
    <t xml:space="preserve">Chrome Front Bumper Garnish</t>
  </si>
  <si>
    <t xml:space="preserve">A748</t>
  </si>
  <si>
    <t xml:space="preserve">A749</t>
  </si>
  <si>
    <t xml:space="preserve">A750</t>
  </si>
  <si>
    <t xml:space="preserve">A751</t>
  </si>
  <si>
    <t xml:space="preserve">A752</t>
  </si>
  <si>
    <t xml:space="preserve">Stylish Dash Mats Harrier</t>
  </si>
  <si>
    <t xml:space="preserve">A753</t>
  </si>
  <si>
    <t xml:space="preserve">A754</t>
  </si>
  <si>
    <t xml:space="preserve">A755</t>
  </si>
  <si>
    <t xml:space="preserve">Stylish Paino black Garnish Rear Bumper Harrier</t>
  </si>
  <si>
    <t xml:space="preserve">A756</t>
  </si>
  <si>
    <t xml:space="preserve">Screen Guard Touch Panel/FATC Harrier/ Safari</t>
  </si>
  <si>
    <t xml:space="preserve">A757</t>
  </si>
  <si>
    <t xml:space="preserve">A758</t>
  </si>
  <si>
    <t xml:space="preserve">A759</t>
  </si>
  <si>
    <t xml:space="preserve">Protective Mud Flap Harrier</t>
  </si>
  <si>
    <t xml:space="preserve">A760</t>
  </si>
  <si>
    <t xml:space="preserve">A761</t>
  </si>
  <si>
    <t xml:space="preserve">A762</t>
  </si>
  <si>
    <t xml:space="preserve">A763</t>
  </si>
  <si>
    <t xml:space="preserve">A764</t>
  </si>
  <si>
    <t xml:space="preserve">A765</t>
  </si>
  <si>
    <t xml:space="preserve">A766</t>
  </si>
  <si>
    <t xml:space="preserve">A767</t>
  </si>
  <si>
    <t xml:space="preserve">A768</t>
  </si>
  <si>
    <t xml:space="preserve">A769</t>
  </si>
  <si>
    <t xml:space="preserve">A770</t>
  </si>
  <si>
    <t xml:space="preserve">A771</t>
  </si>
  <si>
    <t xml:space="preserve">A772</t>
  </si>
  <si>
    <t xml:space="preserve">A773</t>
  </si>
  <si>
    <t xml:space="preserve">A774</t>
  </si>
  <si>
    <t xml:space="preserve">A775</t>
  </si>
  <si>
    <t xml:space="preserve">A776</t>
  </si>
  <si>
    <t xml:space="preserve">A777</t>
  </si>
  <si>
    <t xml:space="preserve">A778</t>
  </si>
  <si>
    <t xml:space="preserve">A779</t>
  </si>
  <si>
    <t xml:space="preserve">A780</t>
  </si>
  <si>
    <t xml:space="preserve">A781</t>
  </si>
  <si>
    <t xml:space="preserve">A782</t>
  </si>
  <si>
    <t xml:space="preserve">A783</t>
  </si>
  <si>
    <t xml:space="preserve">A784</t>
  </si>
  <si>
    <t xml:space="preserve">A785</t>
  </si>
  <si>
    <t xml:space="preserve">A786</t>
  </si>
  <si>
    <t xml:space="preserve">A787</t>
  </si>
  <si>
    <t xml:space="preserve">A788</t>
  </si>
  <si>
    <t xml:space="preserve">A789</t>
  </si>
  <si>
    <t xml:space="preserve">A790</t>
  </si>
  <si>
    <t xml:space="preserve">A791</t>
  </si>
  <si>
    <t xml:space="preserve">A792</t>
  </si>
  <si>
    <t xml:space="preserve">A793</t>
  </si>
  <si>
    <t xml:space="preserve">A794</t>
  </si>
  <si>
    <t xml:space="preserve">A795</t>
  </si>
  <si>
    <t xml:space="preserve">A796</t>
  </si>
  <si>
    <t xml:space="preserve">A797</t>
  </si>
  <si>
    <t xml:space="preserve">A798</t>
  </si>
  <si>
    <t xml:space="preserve">A799</t>
  </si>
  <si>
    <t xml:space="preserve">A800</t>
  </si>
  <si>
    <t xml:space="preserve">A801</t>
  </si>
  <si>
    <t xml:space="preserve">A802</t>
  </si>
  <si>
    <t xml:space="preserve">Name mentions Nexon: confirm it fits the Harrier.ev</t>
  </si>
  <si>
    <t xml:space="preserve">A803</t>
  </si>
  <si>
    <t xml:space="preserve">A804</t>
  </si>
  <si>
    <t xml:space="preserve">A805</t>
  </si>
  <si>
    <t xml:space="preserve">A806</t>
  </si>
  <si>
    <t xml:space="preserve">A807</t>
  </si>
  <si>
    <t xml:space="preserve">A808</t>
  </si>
  <si>
    <t xml:space="preserve">A809</t>
  </si>
  <si>
    <t xml:space="preserve">A810</t>
  </si>
  <si>
    <t xml:space="preserve">A811</t>
  </si>
  <si>
    <t xml:space="preserve">A812</t>
  </si>
  <si>
    <t xml:space="preserve">A813</t>
  </si>
  <si>
    <t xml:space="preserve">A814</t>
  </si>
  <si>
    <t xml:space="preserve">A815</t>
  </si>
  <si>
    <t xml:space="preserve">A816</t>
  </si>
  <si>
    <t xml:space="preserve">A817</t>
  </si>
  <si>
    <t xml:space="preserve">A818</t>
  </si>
  <si>
    <t xml:space="preserve">A819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</si>
</sst>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\₹#,##0"/>
    <numFmt numFmtId="167" formatCode="0.00"/>
    <numFmt numFmtId="168" formatCode="\₹0.00"/>
    <numFmt numFmtId="169" formatCode="0"/>
    <numFmt numFmtId="170" formatCode="\₹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2" min="2" style="1" width="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.75" hidden="false" customHeight="true" outlineLevel="0" collapsed="false">
      <c r="A4" s="5" t="s">
        <v>3</v>
      </c>
    </row>
    <row r="5" customFormat="false" ht="15" hidden="false" customHeight="true" outlineLevel="0" collapsed="false">
      <c r="A5" s="5" t="s">
        <v>4</v>
      </c>
    </row>
    <row r="6" customFormat="false" ht="15" hidden="false" customHeight="true" outlineLevel="0" collapsed="false">
      <c r="A6" s="5" t="s">
        <v>5</v>
      </c>
    </row>
    <row r="7" customFormat="false" ht="15" hidden="false" customHeight="true" outlineLevel="0" collapsed="false">
      <c r="A7" s="5"/>
    </row>
    <row r="8" customFormat="false" ht="15" hidden="false" customHeight="true" outlineLevel="0" collapsed="false">
      <c r="A8" s="5"/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2" t="s">
        <v>6</v>
      </c>
    </row>
    <row r="11" customFormat="false" ht="15.7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2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.7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3" t="s">
        <v>18</v>
      </c>
    </row>
    <row r="25" customFormat="false" ht="15" hidden="false" customHeight="true" outlineLevel="0" collapsed="false">
      <c r="A25" s="3" t="s">
        <v>19</v>
      </c>
    </row>
    <row r="26" customFormat="false" ht="15" hidden="false" customHeight="true" outlineLevel="0" collapsed="false">
      <c r="A26" s="3"/>
    </row>
    <row r="27" customFormat="false" ht="15" hidden="false" customHeight="true" outlineLevel="0" collapsed="false">
      <c r="A27" s="2" t="s">
        <v>20</v>
      </c>
    </row>
    <row r="28" customFormat="false" ht="15" hidden="false" customHeight="true" outlineLevel="0" collapsed="false">
      <c r="A28" s="3" t="s">
        <v>21</v>
      </c>
    </row>
    <row r="29" customFormat="false" ht="15.75" hidden="false" customHeight="true" outlineLevel="0" collapsed="false">
      <c r="A29" s="3" t="s">
        <v>22</v>
      </c>
    </row>
    <row r="30" customFormat="false" ht="15" hidden="false" customHeight="true" outlineLevel="0" collapsed="false">
      <c r="A30" s="3" t="s">
        <v>23</v>
      </c>
    </row>
    <row r="31" customFormat="false" ht="15" hidden="false" customHeight="true" outlineLevel="0" collapsed="false">
      <c r="A31" s="3" t="s">
        <v>24</v>
      </c>
    </row>
    <row r="32" customFormat="false" ht="15" hidden="false" customHeight="true" outlineLevel="0" collapsed="false">
      <c r="A32" s="3" t="s">
        <v>25</v>
      </c>
    </row>
    <row r="33" customFormat="false" ht="15" hidden="false" customHeight="true" outlineLevel="0" collapsed="false">
      <c r="A33" s="3" t="s">
        <v>26</v>
      </c>
    </row>
    <row r="34" customFormat="false" ht="15" hidden="false" customHeight="true" outlineLevel="0" collapsed="false">
      <c r="A34" s="3"/>
    </row>
    <row r="35" customFormat="false" ht="15" hidden="false" customHeight="true" outlineLevel="0" collapsed="false">
      <c r="A35" s="2" t="s">
        <v>27</v>
      </c>
    </row>
    <row r="36" customFormat="false" ht="15" hidden="false" customHeight="false" outlineLevel="0" collapsed="false">
      <c r="A36" s="3" t="s">
        <v>28</v>
      </c>
      <c r="B36" s="6" t="n">
        <f aca="false">COUNTA(Variants!A2:A200)</f>
        <v>87</v>
      </c>
    </row>
    <row r="37" customFormat="false" ht="15" hidden="false" customHeight="false" outlineLevel="0" collapsed="false">
      <c r="A37" s="3" t="s">
        <v>29</v>
      </c>
      <c r="B37" s="6" t="n">
        <f aca="false">COUNTIF(Variants!N2:N200,"pending")</f>
        <v>2</v>
      </c>
    </row>
    <row r="38" customFormat="false" ht="15" hidden="false" customHeight="false" outlineLevel="0" collapsed="false">
      <c r="A38" s="3" t="s">
        <v>30</v>
      </c>
      <c r="B38" s="6" t="n">
        <f aca="false">COUNTIF(Variants!N2:N200,"verified")</f>
        <v>65</v>
      </c>
    </row>
    <row r="39" customFormat="false" ht="15" hidden="false" customHeight="false" outlineLevel="0" collapsed="false">
      <c r="A39" s="3" t="s">
        <v>31</v>
      </c>
      <c r="B39" s="6" t="n">
        <f aca="false">COUNTIF(Variants!N2:N200,"corroborated")</f>
        <v>20</v>
      </c>
    </row>
    <row r="40" customFormat="false" ht="15" hidden="false" customHeight="false" outlineLevel="0" collapsed="false">
      <c r="A40" s="3" t="s">
        <v>32</v>
      </c>
      <c r="B40" s="6" t="n">
        <f aca="false">COUNTIF(Variants!N2:N200,"conflicting")</f>
        <v>0</v>
      </c>
    </row>
    <row r="41" customFormat="false" ht="15" hidden="false" customHeight="false" outlineLevel="0" collapsed="false">
      <c r="A41" s="3" t="s">
        <v>33</v>
      </c>
      <c r="B41" s="6" t="n">
        <f aca="false">COUNTIF(Variants!R2:R200,"MISMATCH")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7" t="s">
        <v>34</v>
      </c>
      <c r="B1" s="7" t="s">
        <v>35</v>
      </c>
      <c r="C1" s="7" t="s">
        <v>36</v>
      </c>
      <c r="D1" s="7" t="s">
        <v>37</v>
      </c>
    </row>
    <row r="2" customFormat="false" ht="15" hidden="false" customHeight="false" outlineLevel="0" collapsed="false">
      <c r="A2" s="8" t="s">
        <v>38</v>
      </c>
      <c r="B2" s="9" t="n">
        <v>8</v>
      </c>
      <c r="C2" s="8" t="s">
        <v>39</v>
      </c>
      <c r="D2" s="8" t="s">
        <v>40</v>
      </c>
    </row>
    <row r="3" customFormat="false" ht="15" hidden="false" customHeight="false" outlineLevel="0" collapsed="false">
      <c r="A3" s="8" t="s">
        <v>41</v>
      </c>
      <c r="B3" s="9" t="n">
        <v>22</v>
      </c>
      <c r="C3" s="8" t="s">
        <v>39</v>
      </c>
      <c r="D3" s="8" t="s">
        <v>42</v>
      </c>
    </row>
    <row r="4" customFormat="false" ht="15" hidden="false" customHeight="false" outlineLevel="0" collapsed="false">
      <c r="A4" s="8" t="s">
        <v>43</v>
      </c>
      <c r="B4" s="9" t="n">
        <v>0.1</v>
      </c>
      <c r="C4" s="8" t="s">
        <v>44</v>
      </c>
      <c r="D4" s="8" t="s">
        <v>45</v>
      </c>
    </row>
    <row r="5" customFormat="false" ht="15" hidden="false" customHeight="false" outlineLevel="0" collapsed="false">
      <c r="A5" s="8" t="s">
        <v>46</v>
      </c>
      <c r="B5" s="9" t="n">
        <v>40</v>
      </c>
      <c r="C5" s="8" t="s">
        <v>47</v>
      </c>
      <c r="D5" s="8" t="s">
        <v>48</v>
      </c>
    </row>
    <row r="6" customFormat="false" ht="15" hidden="false" customHeight="false" outlineLevel="0" collapsed="false">
      <c r="A6" s="8" t="s">
        <v>49</v>
      </c>
      <c r="B6" s="9" t="n">
        <v>5</v>
      </c>
      <c r="C6" s="8" t="s">
        <v>50</v>
      </c>
      <c r="D6" s="8" t="s">
        <v>51</v>
      </c>
    </row>
    <row r="7" customFormat="false" ht="15" hidden="false" customHeight="false" outlineLevel="0" collapsed="false">
      <c r="A7" s="8" t="s">
        <v>52</v>
      </c>
      <c r="B7" s="9" t="n">
        <v>0</v>
      </c>
      <c r="C7" s="8" t="s">
        <v>44</v>
      </c>
      <c r="D7" s="8" t="s">
        <v>53</v>
      </c>
    </row>
    <row r="9" customFormat="false" ht="15" hidden="false" customHeight="false" outlineLevel="0" collapsed="false">
      <c r="A9" s="0" t="s">
        <v>54</v>
      </c>
    </row>
    <row r="10" customFormat="false" ht="15" hidden="false" customHeight="false" outlineLevel="0" collapsed="false">
      <c r="A10" s="0" t="s">
        <v>55</v>
      </c>
    </row>
    <row r="11" customFormat="false" ht="15" hidden="false" customHeight="false" outlineLevel="0" collapsed="false">
      <c r="A11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14" min="7" style="0" width="13"/>
    <col collapsed="false" customWidth="true" hidden="false" outlineLevel="0" max="15" min="15" style="0" width="22"/>
    <col collapsed="false" customWidth="true" hidden="false" outlineLevel="0" max="19" min="16" style="0" width="13"/>
    <col collapsed="false" customWidth="true" hidden="false" outlineLevel="0" max="20" min="20" style="0" width="26"/>
    <col collapsed="false" customWidth="true" hidden="false" outlineLevel="0" max="24" min="21" style="0" width="13"/>
    <col collapsed="false" customWidth="true" hidden="false" outlineLevel="0" max="25" min="25" style="0" width="40"/>
    <col collapsed="false" customWidth="true" hidden="false" outlineLevel="0" max="47" min="26" style="0" width="13"/>
    <col collapsed="false" customWidth="true" hidden="false" outlineLevel="0" max="48" min="48" style="0" width="90"/>
  </cols>
  <sheetData>
    <row r="1" customFormat="false" ht="45" hidden="false" customHeight="true" outlineLevel="0" collapsed="false">
      <c r="A1" s="10" t="s">
        <v>57</v>
      </c>
      <c r="B1" s="10" t="s">
        <v>58</v>
      </c>
      <c r="C1" s="10" t="s">
        <v>59</v>
      </c>
      <c r="D1" s="10" t="s">
        <v>60</v>
      </c>
      <c r="E1" s="10" t="s">
        <v>61</v>
      </c>
      <c r="F1" s="10" t="s">
        <v>62</v>
      </c>
      <c r="G1" s="10" t="s">
        <v>63</v>
      </c>
      <c r="H1" s="10" t="s">
        <v>64</v>
      </c>
      <c r="I1" s="10" t="s">
        <v>65</v>
      </c>
      <c r="J1" s="10" t="s">
        <v>66</v>
      </c>
      <c r="K1" s="10" t="s">
        <v>67</v>
      </c>
      <c r="L1" s="10" t="s">
        <v>68</v>
      </c>
      <c r="M1" s="10" t="s">
        <v>69</v>
      </c>
      <c r="N1" s="10" t="s">
        <v>70</v>
      </c>
      <c r="O1" s="10" t="s">
        <v>71</v>
      </c>
      <c r="P1" s="10" t="s">
        <v>72</v>
      </c>
      <c r="Q1" s="10" t="s">
        <v>73</v>
      </c>
      <c r="R1" s="10" t="s">
        <v>74</v>
      </c>
      <c r="S1" s="10" t="s">
        <v>75</v>
      </c>
      <c r="T1" s="10" t="s">
        <v>76</v>
      </c>
      <c r="U1" s="10" t="s">
        <v>77</v>
      </c>
      <c r="V1" s="10" t="s">
        <v>78</v>
      </c>
      <c r="W1" s="10" t="s">
        <v>79</v>
      </c>
      <c r="X1" s="10" t="s">
        <v>80</v>
      </c>
      <c r="Y1" s="10" t="s">
        <v>81</v>
      </c>
      <c r="Z1" s="10" t="s">
        <v>82</v>
      </c>
      <c r="AA1" s="10" t="s">
        <v>83</v>
      </c>
      <c r="AB1" s="10" t="s">
        <v>84</v>
      </c>
      <c r="AC1" s="10" t="s">
        <v>85</v>
      </c>
      <c r="AD1" s="10" t="s">
        <v>86</v>
      </c>
      <c r="AE1" s="10" t="s">
        <v>87</v>
      </c>
      <c r="AF1" s="10" t="s">
        <v>88</v>
      </c>
      <c r="AG1" s="10" t="s">
        <v>89</v>
      </c>
      <c r="AH1" s="10" t="s">
        <v>90</v>
      </c>
      <c r="AI1" s="10" t="s">
        <v>91</v>
      </c>
      <c r="AJ1" s="10" t="s">
        <v>92</v>
      </c>
      <c r="AK1" s="10" t="s">
        <v>93</v>
      </c>
      <c r="AL1" s="10" t="s">
        <v>94</v>
      </c>
      <c r="AM1" s="10" t="s">
        <v>95</v>
      </c>
      <c r="AN1" s="10" t="s">
        <v>96</v>
      </c>
      <c r="AO1" s="10" t="s">
        <v>97</v>
      </c>
      <c r="AP1" s="10" t="s">
        <v>98</v>
      </c>
      <c r="AQ1" s="10" t="s">
        <v>99</v>
      </c>
      <c r="AR1" s="10" t="s">
        <v>100</v>
      </c>
      <c r="AS1" s="10" t="s">
        <v>101</v>
      </c>
      <c r="AT1" s="10" t="s">
        <v>102</v>
      </c>
      <c r="AU1" s="10" t="s">
        <v>103</v>
      </c>
      <c r="AV1" s="10" t="s">
        <v>104</v>
      </c>
    </row>
    <row r="2" customFormat="false" ht="15" hidden="false" customHeight="false" outlineLevel="0" collapsed="false">
      <c r="A2" s="8" t="s">
        <v>105</v>
      </c>
      <c r="B2" s="8" t="s">
        <v>106</v>
      </c>
      <c r="C2" s="8" t="s">
        <v>107</v>
      </c>
      <c r="D2" s="8" t="s">
        <v>108</v>
      </c>
      <c r="E2" s="8" t="s">
        <v>109</v>
      </c>
      <c r="F2" s="8" t="s">
        <v>110</v>
      </c>
      <c r="G2" s="8" t="s">
        <v>111</v>
      </c>
      <c r="H2" s="11" t="n">
        <v>1945000</v>
      </c>
      <c r="I2" s="8" t="s">
        <v>112</v>
      </c>
      <c r="J2" s="8" t="n">
        <v>59</v>
      </c>
      <c r="K2" s="8" t="s">
        <v>113</v>
      </c>
      <c r="L2" s="8" t="n">
        <v>5</v>
      </c>
      <c r="M2" s="8" t="s">
        <v>114</v>
      </c>
      <c r="N2" s="8" t="n">
        <v>573</v>
      </c>
      <c r="O2" s="8" t="s">
        <v>115</v>
      </c>
      <c r="P2" s="8" t="n">
        <v>400</v>
      </c>
      <c r="Q2" s="8"/>
      <c r="R2" s="8"/>
      <c r="S2" s="12" t="n">
        <v>6.78</v>
      </c>
      <c r="T2" s="8" t="s">
        <v>116</v>
      </c>
      <c r="U2" s="13" t="n">
        <f aca="false">IF(S2="","",((1-Assumptions!$B$4)*Assumptions!$B$2+Assumptions!$B$4*Assumptions!$B$3)/S2)</f>
        <v>1.38643067846608</v>
      </c>
      <c r="V2" s="11" t="n">
        <f aca="false">IF(U2="","",U2*Assumptions!$B$5*365*Assumptions!$B$6)</f>
        <v>101209.439528024</v>
      </c>
      <c r="W2" s="8" t="s">
        <v>117</v>
      </c>
      <c r="X2" s="11" t="n">
        <v>60000</v>
      </c>
      <c r="Y2" s="8" t="s">
        <v>118</v>
      </c>
      <c r="Z2" s="11" t="n">
        <f aca="false">IF(OR(G2&lt;&gt;"battery included",H2="",V2=""),"",H2+X2+V2)</f>
        <v>2106209.43952802</v>
      </c>
      <c r="AA2" s="8" t="n">
        <v>455</v>
      </c>
      <c r="AB2" s="8" t="n">
        <v>207</v>
      </c>
      <c r="AC2" s="8" t="n">
        <v>222</v>
      </c>
      <c r="AD2" s="8" t="n">
        <v>6</v>
      </c>
      <c r="AE2" s="8" t="s">
        <v>119</v>
      </c>
      <c r="AF2" s="8" t="s">
        <v>120</v>
      </c>
      <c r="AG2" s="8" t="s">
        <v>121</v>
      </c>
      <c r="AH2" s="8" t="s">
        <v>120</v>
      </c>
      <c r="AI2" s="8" t="s">
        <v>117</v>
      </c>
      <c r="AJ2" s="8" t="s">
        <v>117</v>
      </c>
      <c r="AK2" s="8" t="n">
        <v>140</v>
      </c>
      <c r="AL2" s="8" t="n">
        <v>106.2</v>
      </c>
      <c r="AM2" s="14" t="n">
        <f aca="false">IF(OR(S2="",AL2=""),"",100/S2/AL2*60)</f>
        <v>8.33291668749896</v>
      </c>
      <c r="AN2" s="8" t="n">
        <v>8.7</v>
      </c>
      <c r="AO2" s="8" t="n">
        <v>11</v>
      </c>
      <c r="AP2" s="8" t="s">
        <v>122</v>
      </c>
      <c r="AQ2" s="8" t="s">
        <v>123</v>
      </c>
      <c r="AR2" s="8" t="n">
        <v>31.97</v>
      </c>
      <c r="AS2" s="8" t="n">
        <v>45</v>
      </c>
      <c r="AT2" s="8"/>
      <c r="AU2" s="8"/>
      <c r="AV2" s="8" t="s">
        <v>124</v>
      </c>
    </row>
    <row r="3" customFormat="false" ht="15" hidden="false" customHeight="false" outlineLevel="0" collapsed="false">
      <c r="A3" s="8" t="s">
        <v>125</v>
      </c>
      <c r="B3" s="8" t="s">
        <v>126</v>
      </c>
      <c r="C3" s="8" t="s">
        <v>107</v>
      </c>
      <c r="D3" s="8" t="s">
        <v>108</v>
      </c>
      <c r="E3" s="8" t="s">
        <v>109</v>
      </c>
      <c r="F3" s="8" t="s">
        <v>127</v>
      </c>
      <c r="G3" s="8" t="s">
        <v>111</v>
      </c>
      <c r="H3" s="11" t="n">
        <v>2095000</v>
      </c>
      <c r="I3" s="8" t="s">
        <v>128</v>
      </c>
      <c r="J3" s="8" t="n">
        <v>59</v>
      </c>
      <c r="K3" s="8" t="s">
        <v>113</v>
      </c>
      <c r="L3" s="8" t="n">
        <v>5</v>
      </c>
      <c r="M3" s="8" t="s">
        <v>114</v>
      </c>
      <c r="N3" s="8" t="n">
        <v>573</v>
      </c>
      <c r="O3" s="8" t="s">
        <v>115</v>
      </c>
      <c r="P3" s="8" t="n">
        <v>400</v>
      </c>
      <c r="Q3" s="8"/>
      <c r="R3" s="8"/>
      <c r="S3" s="12" t="n">
        <v>6.78</v>
      </c>
      <c r="T3" s="8" t="s">
        <v>116</v>
      </c>
      <c r="U3" s="13" t="n">
        <f aca="false">IF(S3="","",((1-Assumptions!$B$4)*Assumptions!$B$2+Assumptions!$B$4*Assumptions!$B$3)/S3)</f>
        <v>1.38643067846608</v>
      </c>
      <c r="V3" s="11" t="n">
        <f aca="false">IF(U3="","",U3*Assumptions!$B$5*365*Assumptions!$B$6)</f>
        <v>101209.439528024</v>
      </c>
      <c r="W3" s="8" t="s">
        <v>117</v>
      </c>
      <c r="X3" s="11" t="n">
        <v>60000</v>
      </c>
      <c r="Y3" s="8" t="s">
        <v>118</v>
      </c>
      <c r="Z3" s="11" t="n">
        <f aca="false">IF(OR(G3&lt;&gt;"battery included",H3="",V3=""),"",H3+X3+V3)</f>
        <v>2256209.43952802</v>
      </c>
      <c r="AA3" s="8" t="n">
        <v>455</v>
      </c>
      <c r="AB3" s="8" t="n">
        <v>207</v>
      </c>
      <c r="AC3" s="8" t="n">
        <v>222</v>
      </c>
      <c r="AD3" s="8" t="n">
        <v>6</v>
      </c>
      <c r="AE3" s="8" t="s">
        <v>119</v>
      </c>
      <c r="AF3" s="8" t="s">
        <v>120</v>
      </c>
      <c r="AG3" s="8" t="s">
        <v>129</v>
      </c>
      <c r="AH3" s="8" t="s">
        <v>120</v>
      </c>
      <c r="AI3" s="8" t="s">
        <v>117</v>
      </c>
      <c r="AJ3" s="8" t="s">
        <v>117</v>
      </c>
      <c r="AK3" s="8" t="n">
        <v>140</v>
      </c>
      <c r="AL3" s="8" t="n">
        <v>106.2</v>
      </c>
      <c r="AM3" s="14" t="n">
        <f aca="false">IF(OR(S3="",AL3=""),"",100/S3/AL3*60)</f>
        <v>8.33291668749896</v>
      </c>
      <c r="AN3" s="8" t="n">
        <v>8.7</v>
      </c>
      <c r="AO3" s="8" t="n">
        <v>11</v>
      </c>
      <c r="AP3" s="8" t="s">
        <v>122</v>
      </c>
      <c r="AQ3" s="8" t="s">
        <v>123</v>
      </c>
      <c r="AR3" s="8" t="n">
        <v>31.97</v>
      </c>
      <c r="AS3" s="8" t="n">
        <v>45</v>
      </c>
      <c r="AT3" s="8"/>
      <c r="AU3" s="8"/>
      <c r="AV3" s="8" t="s">
        <v>130</v>
      </c>
    </row>
    <row r="4" customFormat="false" ht="15" hidden="false" customHeight="false" outlineLevel="0" collapsed="false">
      <c r="A4" s="8" t="s">
        <v>131</v>
      </c>
      <c r="B4" s="8" t="s">
        <v>132</v>
      </c>
      <c r="C4" s="8" t="s">
        <v>107</v>
      </c>
      <c r="D4" s="8" t="s">
        <v>108</v>
      </c>
      <c r="E4" s="8" t="s">
        <v>109</v>
      </c>
      <c r="F4" s="8" t="s">
        <v>133</v>
      </c>
      <c r="G4" s="8" t="s">
        <v>111</v>
      </c>
      <c r="H4" s="11" t="n">
        <v>2195000</v>
      </c>
      <c r="I4" s="8" t="s">
        <v>128</v>
      </c>
      <c r="J4" s="8" t="n">
        <v>59</v>
      </c>
      <c r="K4" s="8" t="s">
        <v>113</v>
      </c>
      <c r="L4" s="8" t="n">
        <v>5</v>
      </c>
      <c r="M4" s="8" t="s">
        <v>114</v>
      </c>
      <c r="N4" s="8" t="n">
        <v>573</v>
      </c>
      <c r="O4" s="8" t="s">
        <v>115</v>
      </c>
      <c r="P4" s="8" t="n">
        <v>400</v>
      </c>
      <c r="Q4" s="8"/>
      <c r="R4" s="8"/>
      <c r="S4" s="12" t="n">
        <v>6.78</v>
      </c>
      <c r="T4" s="8" t="s">
        <v>116</v>
      </c>
      <c r="U4" s="13" t="n">
        <f aca="false">IF(S4="","",((1-Assumptions!$B$4)*Assumptions!$B$2+Assumptions!$B$4*Assumptions!$B$3)/S4)</f>
        <v>1.38643067846608</v>
      </c>
      <c r="V4" s="11" t="n">
        <f aca="false">IF(U4="","",U4*Assumptions!$B$5*365*Assumptions!$B$6)</f>
        <v>101209.439528024</v>
      </c>
      <c r="W4" s="8" t="s">
        <v>117</v>
      </c>
      <c r="X4" s="11" t="n">
        <v>60000</v>
      </c>
      <c r="Y4" s="8" t="s">
        <v>118</v>
      </c>
      <c r="Z4" s="11" t="n">
        <f aca="false">IF(OR(G4&lt;&gt;"battery included",H4="",V4=""),"",H4+X4+V4)</f>
        <v>2356209.43952802</v>
      </c>
      <c r="AA4" s="8" t="n">
        <v>455</v>
      </c>
      <c r="AB4" s="8" t="n">
        <v>207</v>
      </c>
      <c r="AC4" s="8" t="n">
        <v>222</v>
      </c>
      <c r="AD4" s="8" t="n">
        <v>6</v>
      </c>
      <c r="AE4" s="8" t="s">
        <v>119</v>
      </c>
      <c r="AF4" s="8" t="s">
        <v>120</v>
      </c>
      <c r="AG4" s="8" t="s">
        <v>129</v>
      </c>
      <c r="AH4" s="8" t="s">
        <v>134</v>
      </c>
      <c r="AI4" s="8" t="s">
        <v>119</v>
      </c>
      <c r="AJ4" s="8" t="s">
        <v>117</v>
      </c>
      <c r="AK4" s="8" t="n">
        <v>140</v>
      </c>
      <c r="AL4" s="8" t="n">
        <v>106.2</v>
      </c>
      <c r="AM4" s="14" t="n">
        <f aca="false">IF(OR(S4="",AL4=""),"",100/S4/AL4*60)</f>
        <v>8.33291668749896</v>
      </c>
      <c r="AN4" s="8" t="n">
        <v>8.7</v>
      </c>
      <c r="AO4" s="8" t="n">
        <v>11</v>
      </c>
      <c r="AP4" s="8" t="s">
        <v>122</v>
      </c>
      <c r="AQ4" s="8" t="s">
        <v>123</v>
      </c>
      <c r="AR4" s="8" t="n">
        <v>31.97</v>
      </c>
      <c r="AS4" s="8" t="n">
        <v>45</v>
      </c>
      <c r="AT4" s="8"/>
      <c r="AU4" s="8"/>
      <c r="AV4" s="8" t="s">
        <v>130</v>
      </c>
    </row>
    <row r="5" customFormat="false" ht="15" hidden="false" customHeight="false" outlineLevel="0" collapsed="false">
      <c r="A5" s="8" t="s">
        <v>135</v>
      </c>
      <c r="B5" s="8" t="s">
        <v>136</v>
      </c>
      <c r="C5" s="8" t="s">
        <v>107</v>
      </c>
      <c r="D5" s="8" t="s">
        <v>108</v>
      </c>
      <c r="E5" s="8" t="s">
        <v>109</v>
      </c>
      <c r="F5" s="8" t="s">
        <v>137</v>
      </c>
      <c r="G5" s="8" t="s">
        <v>111</v>
      </c>
      <c r="H5" s="11" t="n">
        <v>2295000</v>
      </c>
      <c r="I5" s="8" t="s">
        <v>128</v>
      </c>
      <c r="J5" s="8" t="n">
        <v>70</v>
      </c>
      <c r="K5" s="8" t="s">
        <v>113</v>
      </c>
      <c r="L5" s="8" t="n">
        <v>5</v>
      </c>
      <c r="M5" s="8" t="s">
        <v>114</v>
      </c>
      <c r="N5" s="8" t="n">
        <v>651</v>
      </c>
      <c r="O5" s="8" t="s">
        <v>115</v>
      </c>
      <c r="P5" s="8" t="n">
        <v>450</v>
      </c>
      <c r="Q5" s="8"/>
      <c r="R5" s="8"/>
      <c r="S5" s="12" t="n">
        <v>6.43</v>
      </c>
      <c r="T5" s="8" t="s">
        <v>116</v>
      </c>
      <c r="U5" s="13" t="n">
        <f aca="false">IF(S5="","",((1-Assumptions!$B$4)*Assumptions!$B$2+Assumptions!$B$4*Assumptions!$B$3)/S5)</f>
        <v>1.46189735614308</v>
      </c>
      <c r="V5" s="11" t="n">
        <f aca="false">IF(U5="","",U5*Assumptions!$B$5*365*Assumptions!$B$6)</f>
        <v>106718.506998445</v>
      </c>
      <c r="W5" s="8" t="s">
        <v>117</v>
      </c>
      <c r="X5" s="11" t="n">
        <v>60000</v>
      </c>
      <c r="Y5" s="8" t="s">
        <v>118</v>
      </c>
      <c r="Z5" s="11" t="n">
        <f aca="false">IF(OR(G5&lt;&gt;"battery included",H5="",V5=""),"",H5+X5+V5)</f>
        <v>2461718.50699845</v>
      </c>
      <c r="AA5" s="8" t="n">
        <v>455</v>
      </c>
      <c r="AB5" s="8" t="n">
        <v>207</v>
      </c>
      <c r="AC5" s="8" t="n">
        <v>222</v>
      </c>
      <c r="AD5" s="8" t="n">
        <v>6</v>
      </c>
      <c r="AE5" s="8" t="s">
        <v>119</v>
      </c>
      <c r="AF5" s="8" t="s">
        <v>120</v>
      </c>
      <c r="AG5" s="8" t="s">
        <v>129</v>
      </c>
      <c r="AH5" s="8" t="s">
        <v>134</v>
      </c>
      <c r="AI5" s="8" t="s">
        <v>119</v>
      </c>
      <c r="AJ5" s="8" t="s">
        <v>117</v>
      </c>
      <c r="AK5" s="8" t="n">
        <v>160</v>
      </c>
      <c r="AL5" s="8" t="n">
        <v>126</v>
      </c>
      <c r="AM5" s="14" t="n">
        <f aca="false">IF(OR(S5="",AL5=""),"",100/S5/AL5*60)</f>
        <v>7.40576168258906</v>
      </c>
      <c r="AN5" s="8" t="n">
        <v>10.2</v>
      </c>
      <c r="AO5" s="8" t="n">
        <v>11</v>
      </c>
      <c r="AP5" s="8" t="s">
        <v>122</v>
      </c>
      <c r="AQ5" s="8" t="s">
        <v>123</v>
      </c>
      <c r="AR5" s="8" t="n">
        <v>31.97</v>
      </c>
      <c r="AS5" s="8" t="n">
        <v>45</v>
      </c>
      <c r="AT5" s="8"/>
      <c r="AU5" s="8"/>
      <c r="AV5" s="8" t="s">
        <v>130</v>
      </c>
    </row>
    <row r="6" customFormat="false" ht="15" hidden="false" customHeight="false" outlineLevel="0" collapsed="false">
      <c r="A6" s="8" t="s">
        <v>138</v>
      </c>
      <c r="B6" s="8" t="s">
        <v>139</v>
      </c>
      <c r="C6" s="8" t="s">
        <v>107</v>
      </c>
      <c r="D6" s="8" t="s">
        <v>108</v>
      </c>
      <c r="E6" s="8" t="s">
        <v>109</v>
      </c>
      <c r="F6" s="8" t="s">
        <v>140</v>
      </c>
      <c r="G6" s="8" t="s">
        <v>111</v>
      </c>
      <c r="H6" s="11" t="n">
        <v>2395000</v>
      </c>
      <c r="I6" s="8" t="s">
        <v>128</v>
      </c>
      <c r="J6" s="8" t="n">
        <v>70</v>
      </c>
      <c r="K6" s="8" t="s">
        <v>113</v>
      </c>
      <c r="L6" s="8" t="n">
        <v>5</v>
      </c>
      <c r="M6" s="8" t="s">
        <v>114</v>
      </c>
      <c r="N6" s="8" t="n">
        <v>651</v>
      </c>
      <c r="O6" s="8" t="s">
        <v>115</v>
      </c>
      <c r="P6" s="8" t="n">
        <v>450</v>
      </c>
      <c r="Q6" s="8"/>
      <c r="R6" s="8"/>
      <c r="S6" s="12" t="n">
        <v>6.43</v>
      </c>
      <c r="T6" s="8" t="s">
        <v>116</v>
      </c>
      <c r="U6" s="13" t="n">
        <f aca="false">IF(S6="","",((1-Assumptions!$B$4)*Assumptions!$B$2+Assumptions!$B$4*Assumptions!$B$3)/S6)</f>
        <v>1.46189735614308</v>
      </c>
      <c r="V6" s="11" t="n">
        <f aca="false">IF(U6="","",U6*Assumptions!$B$5*365*Assumptions!$B$6)</f>
        <v>106718.506998445</v>
      </c>
      <c r="W6" s="8" t="s">
        <v>117</v>
      </c>
      <c r="X6" s="11" t="n">
        <v>60000</v>
      </c>
      <c r="Y6" s="8" t="s">
        <v>118</v>
      </c>
      <c r="Z6" s="11" t="n">
        <f aca="false">IF(OR(G6&lt;&gt;"battery included",H6="",V6=""),"",H6+X6+V6)</f>
        <v>2561718.50699845</v>
      </c>
      <c r="AA6" s="8" t="n">
        <v>455</v>
      </c>
      <c r="AB6" s="8" t="n">
        <v>207</v>
      </c>
      <c r="AC6" s="8" t="n">
        <v>222</v>
      </c>
      <c r="AD6" s="8" t="n">
        <v>6</v>
      </c>
      <c r="AE6" s="8" t="s">
        <v>119</v>
      </c>
      <c r="AF6" s="8" t="s">
        <v>141</v>
      </c>
      <c r="AG6" s="8" t="s">
        <v>129</v>
      </c>
      <c r="AH6" s="8" t="s">
        <v>134</v>
      </c>
      <c r="AI6" s="8" t="s">
        <v>119</v>
      </c>
      <c r="AJ6" s="8" t="s">
        <v>117</v>
      </c>
      <c r="AK6" s="8" t="n">
        <v>160</v>
      </c>
      <c r="AL6" s="8" t="n">
        <v>126</v>
      </c>
      <c r="AM6" s="14" t="n">
        <f aca="false">IF(OR(S6="",AL6=""),"",100/S6/AL6*60)</f>
        <v>7.40576168258906</v>
      </c>
      <c r="AN6" s="8" t="n">
        <v>10.2</v>
      </c>
      <c r="AO6" s="8" t="n">
        <v>11</v>
      </c>
      <c r="AP6" s="8" t="s">
        <v>122</v>
      </c>
      <c r="AQ6" s="8" t="s">
        <v>123</v>
      </c>
      <c r="AR6" s="8" t="n">
        <v>31.97</v>
      </c>
      <c r="AS6" s="8" t="n">
        <v>45</v>
      </c>
      <c r="AT6" s="8"/>
      <c r="AU6" s="8"/>
      <c r="AV6" s="8" t="s">
        <v>130</v>
      </c>
    </row>
    <row r="7" customFormat="false" ht="15" hidden="false" customHeight="false" outlineLevel="0" collapsed="false">
      <c r="A7" s="8" t="s">
        <v>142</v>
      </c>
      <c r="B7" s="8" t="s">
        <v>143</v>
      </c>
      <c r="C7" s="8" t="s">
        <v>107</v>
      </c>
      <c r="D7" s="8" t="s">
        <v>108</v>
      </c>
      <c r="E7" s="8" t="s">
        <v>109</v>
      </c>
      <c r="F7" s="8" t="s">
        <v>144</v>
      </c>
      <c r="G7" s="8" t="s">
        <v>111</v>
      </c>
      <c r="H7" s="11" t="n">
        <v>2445000</v>
      </c>
      <c r="I7" s="8" t="s">
        <v>128</v>
      </c>
      <c r="J7" s="8" t="n">
        <v>79</v>
      </c>
      <c r="K7" s="8" t="s">
        <v>113</v>
      </c>
      <c r="L7" s="8" t="n">
        <v>5</v>
      </c>
      <c r="M7" s="8" t="s">
        <v>114</v>
      </c>
      <c r="N7" s="8" t="n">
        <v>708</v>
      </c>
      <c r="O7" s="8" t="s">
        <v>115</v>
      </c>
      <c r="P7" s="8" t="n">
        <v>500</v>
      </c>
      <c r="Q7" s="8" t="n">
        <v>449</v>
      </c>
      <c r="R7" s="8" t="n">
        <v>63</v>
      </c>
      <c r="S7" s="12" t="n">
        <v>5.68</v>
      </c>
      <c r="T7" s="8" t="s">
        <v>145</v>
      </c>
      <c r="U7" s="13" t="n">
        <f aca="false">IF(S7="","",((1-Assumptions!$B$4)*Assumptions!$B$2+Assumptions!$B$4*Assumptions!$B$3)/S7)</f>
        <v>1.65492957746479</v>
      </c>
      <c r="V7" s="11" t="n">
        <f aca="false">IF(U7="","",U7*Assumptions!$B$5*365*Assumptions!$B$6)</f>
        <v>120809.85915493</v>
      </c>
      <c r="W7" s="8" t="s">
        <v>117</v>
      </c>
      <c r="X7" s="11" t="n">
        <v>60000</v>
      </c>
      <c r="Y7" s="8" t="s">
        <v>118</v>
      </c>
      <c r="Z7" s="11" t="n">
        <f aca="false">IF(OR(G7&lt;&gt;"battery included",H7="",V7=""),"",H7+X7+V7)</f>
        <v>2625809.85915493</v>
      </c>
      <c r="AA7" s="8" t="n">
        <v>455</v>
      </c>
      <c r="AB7" s="8" t="n">
        <v>207</v>
      </c>
      <c r="AC7" s="8" t="n">
        <v>222</v>
      </c>
      <c r="AD7" s="8" t="n">
        <v>6</v>
      </c>
      <c r="AE7" s="8" t="s">
        <v>119</v>
      </c>
      <c r="AF7" s="8" t="s">
        <v>120</v>
      </c>
      <c r="AG7" s="8" t="s">
        <v>129</v>
      </c>
      <c r="AH7" s="8" t="s">
        <v>134</v>
      </c>
      <c r="AI7" s="8" t="s">
        <v>117</v>
      </c>
      <c r="AJ7" s="8" t="s">
        <v>119</v>
      </c>
      <c r="AK7" s="8" t="n">
        <v>180</v>
      </c>
      <c r="AL7" s="8" t="n">
        <v>142.2</v>
      </c>
      <c r="AM7" s="14" t="n">
        <f aca="false">IF(OR(S7="",AL7=""),"",100/S7/AL7*60)</f>
        <v>7.428537469543</v>
      </c>
      <c r="AN7" s="8" t="n">
        <v>11.7</v>
      </c>
      <c r="AO7" s="8" t="n">
        <v>11</v>
      </c>
      <c r="AP7" s="8" t="s">
        <v>122</v>
      </c>
      <c r="AQ7" s="8" t="s">
        <v>123</v>
      </c>
      <c r="AR7" s="8" t="n">
        <v>31.97</v>
      </c>
      <c r="AS7" s="8" t="n">
        <v>45</v>
      </c>
      <c r="AT7" s="8"/>
      <c r="AU7" s="8"/>
      <c r="AV7" s="8" t="s">
        <v>146</v>
      </c>
    </row>
    <row r="8" customFormat="false" ht="15" hidden="false" customHeight="false" outlineLevel="0" collapsed="false">
      <c r="A8" s="8" t="s">
        <v>147</v>
      </c>
      <c r="B8" s="8" t="s">
        <v>148</v>
      </c>
      <c r="C8" s="8" t="s">
        <v>107</v>
      </c>
      <c r="D8" s="8" t="s">
        <v>108</v>
      </c>
      <c r="E8" s="8" t="s">
        <v>109</v>
      </c>
      <c r="F8" s="8" t="s">
        <v>149</v>
      </c>
      <c r="G8" s="8" t="s">
        <v>111</v>
      </c>
      <c r="H8" s="11" t="n">
        <v>2495000</v>
      </c>
      <c r="I8" s="8" t="s">
        <v>128</v>
      </c>
      <c r="J8" s="8" t="n">
        <v>79</v>
      </c>
      <c r="K8" s="8" t="s">
        <v>113</v>
      </c>
      <c r="L8" s="8" t="n">
        <v>5</v>
      </c>
      <c r="M8" s="8" t="s">
        <v>114</v>
      </c>
      <c r="N8" s="8" t="n">
        <v>708</v>
      </c>
      <c r="O8" s="8" t="s">
        <v>115</v>
      </c>
      <c r="P8" s="8" t="n">
        <v>500</v>
      </c>
      <c r="Q8" s="8" t="n">
        <v>449</v>
      </c>
      <c r="R8" s="8" t="n">
        <v>63</v>
      </c>
      <c r="S8" s="12" t="n">
        <v>5.68</v>
      </c>
      <c r="T8" s="8" t="s">
        <v>145</v>
      </c>
      <c r="U8" s="13" t="n">
        <f aca="false">IF(S8="","",((1-Assumptions!$B$4)*Assumptions!$B$2+Assumptions!$B$4*Assumptions!$B$3)/S8)</f>
        <v>1.65492957746479</v>
      </c>
      <c r="V8" s="11" t="n">
        <f aca="false">IF(U8="","",U8*Assumptions!$B$5*365*Assumptions!$B$6)</f>
        <v>120809.85915493</v>
      </c>
      <c r="W8" s="8" t="s">
        <v>117</v>
      </c>
      <c r="X8" s="11" t="n">
        <v>60000</v>
      </c>
      <c r="Y8" s="8" t="s">
        <v>118</v>
      </c>
      <c r="Z8" s="11" t="n">
        <f aca="false">IF(OR(G8&lt;&gt;"battery included",H8="",V8=""),"",H8+X8+V8)</f>
        <v>2675809.85915493</v>
      </c>
      <c r="AA8" s="8" t="n">
        <v>455</v>
      </c>
      <c r="AB8" s="8" t="n">
        <v>207</v>
      </c>
      <c r="AC8" s="8" t="n">
        <v>222</v>
      </c>
      <c r="AD8" s="8" t="n">
        <v>6</v>
      </c>
      <c r="AE8" s="8" t="s">
        <v>119</v>
      </c>
      <c r="AF8" s="8" t="s">
        <v>141</v>
      </c>
      <c r="AG8" s="8" t="s">
        <v>129</v>
      </c>
      <c r="AH8" s="8" t="s">
        <v>134</v>
      </c>
      <c r="AI8" s="8" t="s">
        <v>119</v>
      </c>
      <c r="AJ8" s="8" t="s">
        <v>117</v>
      </c>
      <c r="AK8" s="8" t="n">
        <v>180</v>
      </c>
      <c r="AL8" s="8" t="n">
        <v>142.2</v>
      </c>
      <c r="AM8" s="14" t="n">
        <f aca="false">IF(OR(S8="",AL8=""),"",100/S8/AL8*60)</f>
        <v>7.428537469543</v>
      </c>
      <c r="AN8" s="8" t="n">
        <v>11.7</v>
      </c>
      <c r="AO8" s="8" t="n">
        <v>11</v>
      </c>
      <c r="AP8" s="8" t="s">
        <v>122</v>
      </c>
      <c r="AQ8" s="8" t="s">
        <v>123</v>
      </c>
      <c r="AR8" s="8" t="n">
        <v>31.97</v>
      </c>
      <c r="AS8" s="8" t="n">
        <v>45</v>
      </c>
      <c r="AT8" s="8"/>
      <c r="AU8" s="8"/>
      <c r="AV8" s="8" t="s">
        <v>146</v>
      </c>
    </row>
    <row r="9" customFormat="false" ht="15" hidden="false" customHeight="false" outlineLevel="0" collapsed="false">
      <c r="A9" s="8" t="s">
        <v>150</v>
      </c>
      <c r="B9" s="8" t="s">
        <v>151</v>
      </c>
      <c r="C9" s="8" t="s">
        <v>107</v>
      </c>
      <c r="D9" s="8" t="s">
        <v>108</v>
      </c>
      <c r="E9" s="8" t="s">
        <v>109</v>
      </c>
      <c r="F9" s="8" t="s">
        <v>152</v>
      </c>
      <c r="G9" s="8" t="s">
        <v>111</v>
      </c>
      <c r="H9" s="11" t="n">
        <v>2695000</v>
      </c>
      <c r="I9" s="8" t="s">
        <v>128</v>
      </c>
      <c r="J9" s="8" t="n">
        <v>79</v>
      </c>
      <c r="K9" s="8" t="s">
        <v>113</v>
      </c>
      <c r="L9" s="8" t="n">
        <v>5</v>
      </c>
      <c r="M9" s="8" t="s">
        <v>114</v>
      </c>
      <c r="N9" s="8" t="n">
        <v>708</v>
      </c>
      <c r="O9" s="8" t="s">
        <v>115</v>
      </c>
      <c r="P9" s="8" t="n">
        <v>500</v>
      </c>
      <c r="Q9" s="8" t="n">
        <v>449</v>
      </c>
      <c r="R9" s="8" t="n">
        <v>63</v>
      </c>
      <c r="S9" s="12" t="n">
        <v>5.68</v>
      </c>
      <c r="T9" s="8" t="s">
        <v>145</v>
      </c>
      <c r="U9" s="13" t="n">
        <f aca="false">IF(S9="","",((1-Assumptions!$B$4)*Assumptions!$B$2+Assumptions!$B$4*Assumptions!$B$3)/S9)</f>
        <v>1.65492957746479</v>
      </c>
      <c r="V9" s="11" t="n">
        <f aca="false">IF(U9="","",U9*Assumptions!$B$5*365*Assumptions!$B$6)</f>
        <v>120809.85915493</v>
      </c>
      <c r="W9" s="8" t="s">
        <v>117</v>
      </c>
      <c r="X9" s="11" t="n">
        <v>60000</v>
      </c>
      <c r="Y9" s="8" t="s">
        <v>118</v>
      </c>
      <c r="Z9" s="11" t="n">
        <f aca="false">IF(OR(G9&lt;&gt;"battery included",H9="",V9=""),"",H9+X9+V9)</f>
        <v>2875809.85915493</v>
      </c>
      <c r="AA9" s="8" t="n">
        <v>455</v>
      </c>
      <c r="AB9" s="8" t="n">
        <v>207</v>
      </c>
      <c r="AC9" s="8" t="n">
        <v>222</v>
      </c>
      <c r="AD9" s="8" t="n">
        <v>6</v>
      </c>
      <c r="AE9" s="8" t="s">
        <v>119</v>
      </c>
      <c r="AF9" s="8" t="s">
        <v>153</v>
      </c>
      <c r="AG9" s="8" t="s">
        <v>129</v>
      </c>
      <c r="AH9" s="8" t="s">
        <v>134</v>
      </c>
      <c r="AI9" s="8" t="s">
        <v>119</v>
      </c>
      <c r="AJ9" s="8" t="s">
        <v>119</v>
      </c>
      <c r="AK9" s="8" t="n">
        <v>180</v>
      </c>
      <c r="AL9" s="8" t="n">
        <v>142.2</v>
      </c>
      <c r="AM9" s="14" t="n">
        <f aca="false">IF(OR(S9="",AL9=""),"",100/S9/AL9*60)</f>
        <v>7.428537469543</v>
      </c>
      <c r="AN9" s="8" t="n">
        <v>11.7</v>
      </c>
      <c r="AO9" s="8" t="n">
        <v>11</v>
      </c>
      <c r="AP9" s="8" t="s">
        <v>122</v>
      </c>
      <c r="AQ9" s="8" t="s">
        <v>123</v>
      </c>
      <c r="AR9" s="8" t="n">
        <v>31.97</v>
      </c>
      <c r="AS9" s="8" t="n">
        <v>45</v>
      </c>
      <c r="AT9" s="8"/>
      <c r="AU9" s="8"/>
      <c r="AV9" s="8" t="s">
        <v>146</v>
      </c>
    </row>
    <row r="10" customFormat="false" ht="15" hidden="false" customHeight="false" outlineLevel="0" collapsed="false">
      <c r="A10" s="8" t="s">
        <v>154</v>
      </c>
      <c r="B10" s="8" t="s">
        <v>155</v>
      </c>
      <c r="C10" s="8" t="s">
        <v>107</v>
      </c>
      <c r="D10" s="8" t="s">
        <v>108</v>
      </c>
      <c r="E10" s="8" t="s">
        <v>109</v>
      </c>
      <c r="F10" s="8" t="s">
        <v>156</v>
      </c>
      <c r="G10" s="8" t="s">
        <v>111</v>
      </c>
      <c r="H10" s="11" t="n">
        <v>2695000</v>
      </c>
      <c r="I10" s="8" t="s">
        <v>128</v>
      </c>
      <c r="J10" s="8" t="n">
        <v>79</v>
      </c>
      <c r="K10" s="8" t="s">
        <v>113</v>
      </c>
      <c r="L10" s="8" t="n">
        <v>5</v>
      </c>
      <c r="M10" s="8" t="s">
        <v>114</v>
      </c>
      <c r="N10" s="8" t="n">
        <v>708</v>
      </c>
      <c r="O10" s="8" t="s">
        <v>115</v>
      </c>
      <c r="P10" s="8" t="n">
        <v>500</v>
      </c>
      <c r="Q10" s="8" t="n">
        <v>449</v>
      </c>
      <c r="R10" s="8" t="n">
        <v>63</v>
      </c>
      <c r="S10" s="12" t="n">
        <v>5.68</v>
      </c>
      <c r="T10" s="8" t="s">
        <v>145</v>
      </c>
      <c r="U10" s="13" t="n">
        <f aca="false">IF(S10="","",((1-Assumptions!$B$4)*Assumptions!$B$2+Assumptions!$B$4*Assumptions!$B$3)/S10)</f>
        <v>1.65492957746479</v>
      </c>
      <c r="V10" s="11" t="n">
        <f aca="false">IF(U10="","",U10*Assumptions!$B$5*365*Assumptions!$B$6)</f>
        <v>120809.85915493</v>
      </c>
      <c r="W10" s="8" t="s">
        <v>117</v>
      </c>
      <c r="X10" s="11" t="n">
        <v>60000</v>
      </c>
      <c r="Y10" s="8" t="s">
        <v>118</v>
      </c>
      <c r="Z10" s="11" t="n">
        <f aca="false">IF(OR(G10&lt;&gt;"battery included",H10="",V10=""),"",H10+X10+V10)</f>
        <v>2875809.85915493</v>
      </c>
      <c r="AA10" s="8" t="n">
        <v>455</v>
      </c>
      <c r="AB10" s="8" t="n">
        <v>207</v>
      </c>
      <c r="AC10" s="8" t="n">
        <v>222</v>
      </c>
      <c r="AD10" s="8" t="n">
        <v>6</v>
      </c>
      <c r="AE10" s="8" t="s">
        <v>119</v>
      </c>
      <c r="AF10" s="8" t="s">
        <v>153</v>
      </c>
      <c r="AG10" s="8" t="s">
        <v>129</v>
      </c>
      <c r="AH10" s="8" t="s">
        <v>134</v>
      </c>
      <c r="AI10" s="8" t="s">
        <v>157</v>
      </c>
      <c r="AJ10" s="8" t="s">
        <v>119</v>
      </c>
      <c r="AK10" s="8" t="n">
        <v>180</v>
      </c>
      <c r="AL10" s="8" t="n">
        <v>142.2</v>
      </c>
      <c r="AM10" s="14" t="n">
        <f aca="false">IF(OR(S10="",AL10=""),"",100/S10/AL10*60)</f>
        <v>7.428537469543</v>
      </c>
      <c r="AN10" s="8" t="n">
        <v>11.7</v>
      </c>
      <c r="AO10" s="8" t="n">
        <v>11</v>
      </c>
      <c r="AP10" s="8" t="s">
        <v>122</v>
      </c>
      <c r="AQ10" s="8" t="s">
        <v>123</v>
      </c>
      <c r="AR10" s="8" t="n">
        <v>31.97</v>
      </c>
      <c r="AS10" s="8" t="n">
        <v>45</v>
      </c>
      <c r="AT10" s="8"/>
      <c r="AU10" s="8"/>
      <c r="AV10" s="8" t="s">
        <v>146</v>
      </c>
    </row>
    <row r="11" customFormat="false" ht="15" hidden="false" customHeight="false" outlineLevel="0" collapsed="false">
      <c r="A11" s="8" t="s">
        <v>158</v>
      </c>
      <c r="B11" s="8" t="s">
        <v>159</v>
      </c>
      <c r="C11" s="8" t="s">
        <v>107</v>
      </c>
      <c r="D11" s="8" t="s">
        <v>108</v>
      </c>
      <c r="E11" s="8" t="s">
        <v>109</v>
      </c>
      <c r="F11" s="8" t="s">
        <v>160</v>
      </c>
      <c r="G11" s="8" t="s">
        <v>111</v>
      </c>
      <c r="H11" s="11" t="n">
        <v>2695000</v>
      </c>
      <c r="I11" s="8" t="s">
        <v>128</v>
      </c>
      <c r="J11" s="8" t="n">
        <v>79</v>
      </c>
      <c r="K11" s="8" t="s">
        <v>113</v>
      </c>
      <c r="L11" s="8" t="n">
        <v>5</v>
      </c>
      <c r="M11" s="8" t="s">
        <v>114</v>
      </c>
      <c r="N11" s="8" t="n">
        <v>708</v>
      </c>
      <c r="O11" s="8" t="s">
        <v>115</v>
      </c>
      <c r="P11" s="8" t="n">
        <v>500</v>
      </c>
      <c r="Q11" s="8" t="n">
        <v>449</v>
      </c>
      <c r="R11" s="8" t="n">
        <v>63</v>
      </c>
      <c r="S11" s="12" t="n">
        <v>5.68</v>
      </c>
      <c r="T11" s="8" t="s">
        <v>145</v>
      </c>
      <c r="U11" s="13" t="n">
        <f aca="false">IF(S11="","",((1-Assumptions!$B$4)*Assumptions!$B$2+Assumptions!$B$4*Assumptions!$B$3)/S11)</f>
        <v>1.65492957746479</v>
      </c>
      <c r="V11" s="11" t="n">
        <f aca="false">IF(U11="","",U11*Assumptions!$B$5*365*Assumptions!$B$6)</f>
        <v>120809.85915493</v>
      </c>
      <c r="W11" s="8" t="s">
        <v>117</v>
      </c>
      <c r="X11" s="11" t="n">
        <v>60000</v>
      </c>
      <c r="Y11" s="8" t="s">
        <v>118</v>
      </c>
      <c r="Z11" s="11" t="n">
        <f aca="false">IF(OR(G11&lt;&gt;"battery included",H11="",V11=""),"",H11+X11+V11)</f>
        <v>2875809.85915493</v>
      </c>
      <c r="AA11" s="8" t="n">
        <v>455</v>
      </c>
      <c r="AB11" s="8" t="n">
        <v>207</v>
      </c>
      <c r="AC11" s="8" t="n">
        <v>222</v>
      </c>
      <c r="AD11" s="8" t="n">
        <v>6</v>
      </c>
      <c r="AE11" s="8" t="s">
        <v>119</v>
      </c>
      <c r="AF11" s="8" t="s">
        <v>153</v>
      </c>
      <c r="AG11" s="8" t="s">
        <v>129</v>
      </c>
      <c r="AH11" s="8" t="s">
        <v>134</v>
      </c>
      <c r="AI11" s="8" t="s">
        <v>119</v>
      </c>
      <c r="AJ11" s="8" t="s">
        <v>119</v>
      </c>
      <c r="AK11" s="8" t="n">
        <v>180</v>
      </c>
      <c r="AL11" s="8" t="n">
        <v>142.2</v>
      </c>
      <c r="AM11" s="14" t="n">
        <f aca="false">IF(OR(S11="",AL11=""),"",100/S11/AL11*60)</f>
        <v>7.428537469543</v>
      </c>
      <c r="AN11" s="8" t="n">
        <v>11.7</v>
      </c>
      <c r="AO11" s="8" t="n">
        <v>11</v>
      </c>
      <c r="AP11" s="8" t="s">
        <v>122</v>
      </c>
      <c r="AQ11" s="8" t="s">
        <v>123</v>
      </c>
      <c r="AR11" s="8" t="n">
        <v>31.97</v>
      </c>
      <c r="AS11" s="8" t="n">
        <v>45</v>
      </c>
      <c r="AT11" s="8"/>
      <c r="AU11" s="8"/>
      <c r="AV11" s="8" t="s">
        <v>146</v>
      </c>
    </row>
    <row r="12" customFormat="false" ht="15" hidden="false" customHeight="false" outlineLevel="0" collapsed="false">
      <c r="A12" s="8" t="s">
        <v>161</v>
      </c>
      <c r="B12" s="8" t="s">
        <v>162</v>
      </c>
      <c r="C12" s="8" t="s">
        <v>107</v>
      </c>
      <c r="D12" s="8" t="s">
        <v>108</v>
      </c>
      <c r="E12" s="8" t="s">
        <v>109</v>
      </c>
      <c r="F12" s="8" t="s">
        <v>163</v>
      </c>
      <c r="G12" s="8" t="s">
        <v>164</v>
      </c>
      <c r="H12" s="11" t="n">
        <v>1145000</v>
      </c>
      <c r="I12" s="8" t="s">
        <v>112</v>
      </c>
      <c r="J12" s="8" t="n">
        <v>59</v>
      </c>
      <c r="K12" s="8" t="s">
        <v>113</v>
      </c>
      <c r="L12" s="8" t="n">
        <v>5</v>
      </c>
      <c r="M12" s="8" t="s">
        <v>114</v>
      </c>
      <c r="N12" s="8" t="n">
        <v>573</v>
      </c>
      <c r="O12" s="8" t="s">
        <v>115</v>
      </c>
      <c r="P12" s="8" t="n">
        <v>400</v>
      </c>
      <c r="Q12" s="8"/>
      <c r="R12" s="8"/>
      <c r="S12" s="12" t="n">
        <v>6.78</v>
      </c>
      <c r="T12" s="8" t="s">
        <v>116</v>
      </c>
      <c r="U12" s="13" t="n">
        <f aca="false">IF(S12="","",((1-Assumptions!$B$4)*Assumptions!$B$2+Assumptions!$B$4*Assumptions!$B$3)/S12)</f>
        <v>1.38643067846608</v>
      </c>
      <c r="V12" s="11" t="n">
        <f aca="false">IF(U12="","",U12*Assumptions!$B$5*365*Assumptions!$B$6)</f>
        <v>101209.439528024</v>
      </c>
      <c r="W12" s="8" t="s">
        <v>117</v>
      </c>
      <c r="X12" s="11" t="n">
        <v>60000</v>
      </c>
      <c r="Y12" s="8" t="s">
        <v>118</v>
      </c>
      <c r="Z12" s="11" t="str">
        <f aca="false">IF(OR(G12&lt;&gt;"battery included",H12="",V12=""),"",H12+X12+V12)</f>
        <v/>
      </c>
      <c r="AA12" s="8" t="n">
        <v>455</v>
      </c>
      <c r="AB12" s="8" t="n">
        <v>207</v>
      </c>
      <c r="AC12" s="8" t="n">
        <v>222</v>
      </c>
      <c r="AD12" s="8" t="n">
        <v>6</v>
      </c>
      <c r="AE12" s="8" t="s">
        <v>119</v>
      </c>
      <c r="AF12" s="8" t="s">
        <v>120</v>
      </c>
      <c r="AG12" s="8" t="s">
        <v>121</v>
      </c>
      <c r="AH12" s="8" t="s">
        <v>120</v>
      </c>
      <c r="AI12" s="8" t="s">
        <v>117</v>
      </c>
      <c r="AJ12" s="8" t="s">
        <v>117</v>
      </c>
      <c r="AK12" s="8" t="n">
        <v>140</v>
      </c>
      <c r="AL12" s="8" t="n">
        <v>106.2</v>
      </c>
      <c r="AM12" s="14" t="n">
        <f aca="false">IF(OR(S12="",AL12=""),"",100/S12/AL12*60)</f>
        <v>8.33291668749896</v>
      </c>
      <c r="AN12" s="8" t="n">
        <v>8.7</v>
      </c>
      <c r="AO12" s="8" t="n">
        <v>11</v>
      </c>
      <c r="AP12" s="8" t="s">
        <v>122</v>
      </c>
      <c r="AQ12" s="8" t="s">
        <v>123</v>
      </c>
      <c r="AR12" s="8" t="n">
        <v>31.97</v>
      </c>
      <c r="AS12" s="8" t="n">
        <v>45</v>
      </c>
      <c r="AT12" s="8"/>
      <c r="AU12" s="8"/>
      <c r="AV12" s="8" t="s">
        <v>165</v>
      </c>
    </row>
    <row r="13" customFormat="false" ht="15" hidden="false" customHeight="false" outlineLevel="0" collapsed="false">
      <c r="A13" s="8" t="s">
        <v>166</v>
      </c>
      <c r="B13" s="8" t="s">
        <v>167</v>
      </c>
      <c r="C13" s="8" t="s">
        <v>107</v>
      </c>
      <c r="D13" s="8" t="s">
        <v>108</v>
      </c>
      <c r="E13" s="8" t="s">
        <v>109</v>
      </c>
      <c r="F13" s="8" t="s">
        <v>168</v>
      </c>
      <c r="G13" s="8" t="s">
        <v>164</v>
      </c>
      <c r="H13" s="11" t="n">
        <v>1295000</v>
      </c>
      <c r="I13" s="8" t="s">
        <v>112</v>
      </c>
      <c r="J13" s="8" t="n">
        <v>59</v>
      </c>
      <c r="K13" s="8" t="s">
        <v>113</v>
      </c>
      <c r="L13" s="8" t="n">
        <v>5</v>
      </c>
      <c r="M13" s="8" t="s">
        <v>114</v>
      </c>
      <c r="N13" s="8" t="n">
        <v>573</v>
      </c>
      <c r="O13" s="8" t="s">
        <v>115</v>
      </c>
      <c r="P13" s="8" t="n">
        <v>400</v>
      </c>
      <c r="Q13" s="8"/>
      <c r="R13" s="8"/>
      <c r="S13" s="12" t="n">
        <v>6.78</v>
      </c>
      <c r="T13" s="8" t="s">
        <v>116</v>
      </c>
      <c r="U13" s="13" t="n">
        <f aca="false">IF(S13="","",((1-Assumptions!$B$4)*Assumptions!$B$2+Assumptions!$B$4*Assumptions!$B$3)/S13)</f>
        <v>1.38643067846608</v>
      </c>
      <c r="V13" s="11" t="n">
        <f aca="false">IF(U13="","",U13*Assumptions!$B$5*365*Assumptions!$B$6)</f>
        <v>101209.439528024</v>
      </c>
      <c r="W13" s="8" t="s">
        <v>117</v>
      </c>
      <c r="X13" s="11" t="n">
        <v>60000</v>
      </c>
      <c r="Y13" s="8" t="s">
        <v>118</v>
      </c>
      <c r="Z13" s="11" t="str">
        <f aca="false">IF(OR(G13&lt;&gt;"battery included",H13="",V13=""),"",H13+X13+V13)</f>
        <v/>
      </c>
      <c r="AA13" s="8" t="n">
        <v>455</v>
      </c>
      <c r="AB13" s="8" t="n">
        <v>207</v>
      </c>
      <c r="AC13" s="8" t="n">
        <v>222</v>
      </c>
      <c r="AD13" s="8" t="n">
        <v>6</v>
      </c>
      <c r="AE13" s="8" t="s">
        <v>119</v>
      </c>
      <c r="AF13" s="8" t="s">
        <v>120</v>
      </c>
      <c r="AG13" s="8" t="s">
        <v>129</v>
      </c>
      <c r="AH13" s="8" t="s">
        <v>120</v>
      </c>
      <c r="AI13" s="8" t="s">
        <v>117</v>
      </c>
      <c r="AJ13" s="8" t="s">
        <v>117</v>
      </c>
      <c r="AK13" s="8" t="n">
        <v>140</v>
      </c>
      <c r="AL13" s="8" t="n">
        <v>106.2</v>
      </c>
      <c r="AM13" s="14" t="n">
        <f aca="false">IF(OR(S13="",AL13=""),"",100/S13/AL13*60)</f>
        <v>8.33291668749896</v>
      </c>
      <c r="AN13" s="8" t="n">
        <v>8.7</v>
      </c>
      <c r="AO13" s="8" t="n">
        <v>11</v>
      </c>
      <c r="AP13" s="8" t="s">
        <v>122</v>
      </c>
      <c r="AQ13" s="8" t="s">
        <v>123</v>
      </c>
      <c r="AR13" s="8" t="n">
        <v>31.97</v>
      </c>
      <c r="AS13" s="8" t="n">
        <v>45</v>
      </c>
      <c r="AT13" s="8"/>
      <c r="AU13" s="8"/>
      <c r="AV13" s="8" t="s">
        <v>165</v>
      </c>
    </row>
    <row r="14" customFormat="false" ht="15" hidden="false" customHeight="false" outlineLevel="0" collapsed="false">
      <c r="A14" s="8" t="s">
        <v>169</v>
      </c>
      <c r="B14" s="8" t="s">
        <v>170</v>
      </c>
      <c r="C14" s="8" t="s">
        <v>107</v>
      </c>
      <c r="D14" s="8" t="s">
        <v>108</v>
      </c>
      <c r="E14" s="8" t="s">
        <v>109</v>
      </c>
      <c r="F14" s="8" t="s">
        <v>171</v>
      </c>
      <c r="G14" s="8" t="s">
        <v>164</v>
      </c>
      <c r="H14" s="11" t="n">
        <v>1395000</v>
      </c>
      <c r="I14" s="8" t="s">
        <v>112</v>
      </c>
      <c r="J14" s="8" t="n">
        <v>59</v>
      </c>
      <c r="K14" s="8" t="s">
        <v>113</v>
      </c>
      <c r="L14" s="8" t="n">
        <v>5</v>
      </c>
      <c r="M14" s="8" t="s">
        <v>114</v>
      </c>
      <c r="N14" s="8" t="n">
        <v>573</v>
      </c>
      <c r="O14" s="8" t="s">
        <v>115</v>
      </c>
      <c r="P14" s="8" t="n">
        <v>400</v>
      </c>
      <c r="Q14" s="8"/>
      <c r="R14" s="8"/>
      <c r="S14" s="12" t="n">
        <v>6.78</v>
      </c>
      <c r="T14" s="8" t="s">
        <v>116</v>
      </c>
      <c r="U14" s="13" t="n">
        <f aca="false">IF(S14="","",((1-Assumptions!$B$4)*Assumptions!$B$2+Assumptions!$B$4*Assumptions!$B$3)/S14)</f>
        <v>1.38643067846608</v>
      </c>
      <c r="V14" s="11" t="n">
        <f aca="false">IF(U14="","",U14*Assumptions!$B$5*365*Assumptions!$B$6)</f>
        <v>101209.439528024</v>
      </c>
      <c r="W14" s="8" t="s">
        <v>117</v>
      </c>
      <c r="X14" s="11" t="n">
        <v>60000</v>
      </c>
      <c r="Y14" s="8" t="s">
        <v>118</v>
      </c>
      <c r="Z14" s="11" t="str">
        <f aca="false">IF(OR(G14&lt;&gt;"battery included",H14="",V14=""),"",H14+X14+V14)</f>
        <v/>
      </c>
      <c r="AA14" s="8" t="n">
        <v>455</v>
      </c>
      <c r="AB14" s="8" t="n">
        <v>207</v>
      </c>
      <c r="AC14" s="8" t="n">
        <v>222</v>
      </c>
      <c r="AD14" s="8" t="n">
        <v>6</v>
      </c>
      <c r="AE14" s="8" t="s">
        <v>119</v>
      </c>
      <c r="AF14" s="8" t="s">
        <v>120</v>
      </c>
      <c r="AG14" s="8" t="s">
        <v>129</v>
      </c>
      <c r="AH14" s="8" t="s">
        <v>134</v>
      </c>
      <c r="AI14" s="8" t="s">
        <v>119</v>
      </c>
      <c r="AJ14" s="8" t="s">
        <v>117</v>
      </c>
      <c r="AK14" s="8" t="n">
        <v>140</v>
      </c>
      <c r="AL14" s="8" t="n">
        <v>106.2</v>
      </c>
      <c r="AM14" s="14" t="n">
        <f aca="false">IF(OR(S14="",AL14=""),"",100/S14/AL14*60)</f>
        <v>8.33291668749896</v>
      </c>
      <c r="AN14" s="8" t="n">
        <v>8.7</v>
      </c>
      <c r="AO14" s="8" t="n">
        <v>11</v>
      </c>
      <c r="AP14" s="8" t="s">
        <v>122</v>
      </c>
      <c r="AQ14" s="8" t="s">
        <v>123</v>
      </c>
      <c r="AR14" s="8" t="n">
        <v>31.97</v>
      </c>
      <c r="AS14" s="8" t="n">
        <v>45</v>
      </c>
      <c r="AT14" s="8"/>
      <c r="AU14" s="8"/>
      <c r="AV14" s="8" t="s">
        <v>165</v>
      </c>
    </row>
    <row r="15" customFormat="false" ht="15" hidden="false" customHeight="false" outlineLevel="0" collapsed="false">
      <c r="A15" s="8" t="s">
        <v>172</v>
      </c>
      <c r="B15" s="8" t="s">
        <v>173</v>
      </c>
      <c r="C15" s="8" t="s">
        <v>107</v>
      </c>
      <c r="D15" s="8" t="s">
        <v>108</v>
      </c>
      <c r="E15" s="8" t="s">
        <v>109</v>
      </c>
      <c r="F15" s="8" t="s">
        <v>174</v>
      </c>
      <c r="G15" s="8" t="s">
        <v>164</v>
      </c>
      <c r="H15" s="11" t="n">
        <v>1395000</v>
      </c>
      <c r="I15" s="8" t="s">
        <v>112</v>
      </c>
      <c r="J15" s="8" t="n">
        <v>70</v>
      </c>
      <c r="K15" s="8" t="s">
        <v>113</v>
      </c>
      <c r="L15" s="8" t="n">
        <v>5</v>
      </c>
      <c r="M15" s="8" t="s">
        <v>114</v>
      </c>
      <c r="N15" s="8" t="n">
        <v>651</v>
      </c>
      <c r="O15" s="8" t="s">
        <v>115</v>
      </c>
      <c r="P15" s="8" t="n">
        <v>450</v>
      </c>
      <c r="Q15" s="8"/>
      <c r="R15" s="8"/>
      <c r="S15" s="12" t="n">
        <v>6.43</v>
      </c>
      <c r="T15" s="8" t="s">
        <v>116</v>
      </c>
      <c r="U15" s="13" t="n">
        <f aca="false">IF(S15="","",((1-Assumptions!$B$4)*Assumptions!$B$2+Assumptions!$B$4*Assumptions!$B$3)/S15)</f>
        <v>1.46189735614308</v>
      </c>
      <c r="V15" s="11" t="n">
        <f aca="false">IF(U15="","",U15*Assumptions!$B$5*365*Assumptions!$B$6)</f>
        <v>106718.506998445</v>
      </c>
      <c r="W15" s="8" t="s">
        <v>117</v>
      </c>
      <c r="X15" s="11" t="n">
        <v>60000</v>
      </c>
      <c r="Y15" s="8" t="s">
        <v>118</v>
      </c>
      <c r="Z15" s="11" t="str">
        <f aca="false">IF(OR(G15&lt;&gt;"battery included",H15="",V15=""),"",H15+X15+V15)</f>
        <v/>
      </c>
      <c r="AA15" s="8" t="n">
        <v>455</v>
      </c>
      <c r="AB15" s="8" t="n">
        <v>207</v>
      </c>
      <c r="AC15" s="8" t="n">
        <v>222</v>
      </c>
      <c r="AD15" s="8" t="n">
        <v>6</v>
      </c>
      <c r="AE15" s="8" t="s">
        <v>119</v>
      </c>
      <c r="AF15" s="8" t="s">
        <v>120</v>
      </c>
      <c r="AG15" s="8" t="s">
        <v>129</v>
      </c>
      <c r="AH15" s="8" t="s">
        <v>134</v>
      </c>
      <c r="AI15" s="8" t="s">
        <v>119</v>
      </c>
      <c r="AJ15" s="8" t="s">
        <v>117</v>
      </c>
      <c r="AK15" s="8" t="n">
        <v>160</v>
      </c>
      <c r="AL15" s="8" t="n">
        <v>126</v>
      </c>
      <c r="AM15" s="14" t="n">
        <f aca="false">IF(OR(S15="",AL15=""),"",100/S15/AL15*60)</f>
        <v>7.40576168258906</v>
      </c>
      <c r="AN15" s="8" t="n">
        <v>10.2</v>
      </c>
      <c r="AO15" s="8" t="n">
        <v>11</v>
      </c>
      <c r="AP15" s="8" t="s">
        <v>122</v>
      </c>
      <c r="AQ15" s="8" t="s">
        <v>123</v>
      </c>
      <c r="AR15" s="8" t="n">
        <v>31.97</v>
      </c>
      <c r="AS15" s="8" t="n">
        <v>45</v>
      </c>
      <c r="AT15" s="8"/>
      <c r="AU15" s="8"/>
      <c r="AV15" s="8" t="s">
        <v>165</v>
      </c>
    </row>
    <row r="16" customFormat="false" ht="15" hidden="false" customHeight="false" outlineLevel="0" collapsed="false">
      <c r="A16" s="8" t="s">
        <v>175</v>
      </c>
      <c r="B16" s="8" t="s">
        <v>176</v>
      </c>
      <c r="C16" s="8" t="s">
        <v>107</v>
      </c>
      <c r="D16" s="8" t="s">
        <v>108</v>
      </c>
      <c r="E16" s="8" t="s">
        <v>109</v>
      </c>
      <c r="F16" s="8" t="s">
        <v>177</v>
      </c>
      <c r="G16" s="8" t="s">
        <v>164</v>
      </c>
      <c r="H16" s="11" t="n">
        <v>1445000</v>
      </c>
      <c r="I16" s="8" t="s">
        <v>112</v>
      </c>
      <c r="J16" s="8" t="n">
        <v>79</v>
      </c>
      <c r="K16" s="8" t="s">
        <v>113</v>
      </c>
      <c r="L16" s="8" t="n">
        <v>5</v>
      </c>
      <c r="M16" s="8" t="s">
        <v>114</v>
      </c>
      <c r="N16" s="8" t="n">
        <v>708</v>
      </c>
      <c r="O16" s="8" t="s">
        <v>115</v>
      </c>
      <c r="P16" s="8" t="n">
        <v>500</v>
      </c>
      <c r="Q16" s="8" t="n">
        <v>449</v>
      </c>
      <c r="R16" s="8" t="n">
        <v>63</v>
      </c>
      <c r="S16" s="12" t="n">
        <v>5.68</v>
      </c>
      <c r="T16" s="8" t="s">
        <v>145</v>
      </c>
      <c r="U16" s="13" t="n">
        <f aca="false">IF(S16="","",((1-Assumptions!$B$4)*Assumptions!$B$2+Assumptions!$B$4*Assumptions!$B$3)/S16)</f>
        <v>1.65492957746479</v>
      </c>
      <c r="V16" s="11" t="n">
        <f aca="false">IF(U16="","",U16*Assumptions!$B$5*365*Assumptions!$B$6)</f>
        <v>120809.85915493</v>
      </c>
      <c r="W16" s="8" t="s">
        <v>117</v>
      </c>
      <c r="X16" s="11" t="n">
        <v>60000</v>
      </c>
      <c r="Y16" s="8" t="s">
        <v>118</v>
      </c>
      <c r="Z16" s="11" t="str">
        <f aca="false">IF(OR(G16&lt;&gt;"battery included",H16="",V16=""),"",H16+X16+V16)</f>
        <v/>
      </c>
      <c r="AA16" s="8" t="n">
        <v>455</v>
      </c>
      <c r="AB16" s="8" t="n">
        <v>207</v>
      </c>
      <c r="AC16" s="8" t="n">
        <v>222</v>
      </c>
      <c r="AD16" s="8" t="n">
        <v>6</v>
      </c>
      <c r="AE16" s="8" t="s">
        <v>119</v>
      </c>
      <c r="AF16" s="8" t="s">
        <v>120</v>
      </c>
      <c r="AG16" s="8" t="s">
        <v>129</v>
      </c>
      <c r="AH16" s="8" t="s">
        <v>134</v>
      </c>
      <c r="AI16" s="8" t="s">
        <v>117</v>
      </c>
      <c r="AJ16" s="8" t="s">
        <v>119</v>
      </c>
      <c r="AK16" s="8" t="n">
        <v>180</v>
      </c>
      <c r="AL16" s="8" t="n">
        <v>142.2</v>
      </c>
      <c r="AM16" s="14" t="n">
        <f aca="false">IF(OR(S16="",AL16=""),"",100/S16/AL16*60)</f>
        <v>7.428537469543</v>
      </c>
      <c r="AN16" s="8" t="n">
        <v>11.7</v>
      </c>
      <c r="AO16" s="8" t="n">
        <v>11</v>
      </c>
      <c r="AP16" s="8" t="s">
        <v>122</v>
      </c>
      <c r="AQ16" s="8" t="s">
        <v>123</v>
      </c>
      <c r="AR16" s="8" t="n">
        <v>31.97</v>
      </c>
      <c r="AS16" s="8" t="n">
        <v>45</v>
      </c>
      <c r="AT16" s="8"/>
      <c r="AU16" s="8"/>
      <c r="AV16" s="8" t="s">
        <v>178</v>
      </c>
    </row>
    <row r="17" customFormat="false" ht="15" hidden="false" customHeight="false" outlineLevel="0" collapsed="false">
      <c r="A17" s="8" t="s">
        <v>179</v>
      </c>
      <c r="B17" s="8" t="s">
        <v>180</v>
      </c>
      <c r="C17" s="8" t="s">
        <v>107</v>
      </c>
      <c r="D17" s="8" t="s">
        <v>108</v>
      </c>
      <c r="E17" s="8" t="s">
        <v>109</v>
      </c>
      <c r="F17" s="8" t="s">
        <v>181</v>
      </c>
      <c r="G17" s="8" t="s">
        <v>164</v>
      </c>
      <c r="H17" s="11" t="n">
        <v>1495000</v>
      </c>
      <c r="I17" s="8" t="s">
        <v>112</v>
      </c>
      <c r="J17" s="8" t="n">
        <v>70</v>
      </c>
      <c r="K17" s="8" t="s">
        <v>113</v>
      </c>
      <c r="L17" s="8" t="n">
        <v>5</v>
      </c>
      <c r="M17" s="8" t="s">
        <v>114</v>
      </c>
      <c r="N17" s="8" t="n">
        <v>651</v>
      </c>
      <c r="O17" s="8" t="s">
        <v>115</v>
      </c>
      <c r="P17" s="8" t="n">
        <v>450</v>
      </c>
      <c r="Q17" s="8"/>
      <c r="R17" s="8"/>
      <c r="S17" s="12" t="n">
        <v>6.43</v>
      </c>
      <c r="T17" s="8" t="s">
        <v>116</v>
      </c>
      <c r="U17" s="13" t="n">
        <f aca="false">IF(S17="","",((1-Assumptions!$B$4)*Assumptions!$B$2+Assumptions!$B$4*Assumptions!$B$3)/S17)</f>
        <v>1.46189735614308</v>
      </c>
      <c r="V17" s="11" t="n">
        <f aca="false">IF(U17="","",U17*Assumptions!$B$5*365*Assumptions!$B$6)</f>
        <v>106718.506998445</v>
      </c>
      <c r="W17" s="8" t="s">
        <v>117</v>
      </c>
      <c r="X17" s="11" t="n">
        <v>60000</v>
      </c>
      <c r="Y17" s="8" t="s">
        <v>118</v>
      </c>
      <c r="Z17" s="11" t="str">
        <f aca="false">IF(OR(G17&lt;&gt;"battery included",H17="",V17=""),"",H17+X17+V17)</f>
        <v/>
      </c>
      <c r="AA17" s="8" t="n">
        <v>455</v>
      </c>
      <c r="AB17" s="8" t="n">
        <v>207</v>
      </c>
      <c r="AC17" s="8" t="n">
        <v>222</v>
      </c>
      <c r="AD17" s="8" t="n">
        <v>6</v>
      </c>
      <c r="AE17" s="8" t="s">
        <v>119</v>
      </c>
      <c r="AF17" s="8" t="s">
        <v>141</v>
      </c>
      <c r="AG17" s="8" t="s">
        <v>129</v>
      </c>
      <c r="AH17" s="8" t="s">
        <v>134</v>
      </c>
      <c r="AI17" s="8" t="s">
        <v>119</v>
      </c>
      <c r="AJ17" s="8" t="s">
        <v>117</v>
      </c>
      <c r="AK17" s="8" t="n">
        <v>160</v>
      </c>
      <c r="AL17" s="8" t="n">
        <v>126</v>
      </c>
      <c r="AM17" s="14" t="n">
        <f aca="false">IF(OR(S17="",AL17=""),"",100/S17/AL17*60)</f>
        <v>7.40576168258906</v>
      </c>
      <c r="AN17" s="8" t="n">
        <v>10.2</v>
      </c>
      <c r="AO17" s="8" t="n">
        <v>11</v>
      </c>
      <c r="AP17" s="8" t="s">
        <v>122</v>
      </c>
      <c r="AQ17" s="8" t="s">
        <v>123</v>
      </c>
      <c r="AR17" s="8" t="n">
        <v>31.97</v>
      </c>
      <c r="AS17" s="8" t="n">
        <v>45</v>
      </c>
      <c r="AT17" s="8"/>
      <c r="AU17" s="8"/>
      <c r="AV17" s="8" t="s">
        <v>165</v>
      </c>
    </row>
    <row r="18" customFormat="false" ht="15" hidden="false" customHeight="false" outlineLevel="0" collapsed="false">
      <c r="A18" s="8" t="s">
        <v>182</v>
      </c>
      <c r="B18" s="8" t="s">
        <v>183</v>
      </c>
      <c r="C18" s="8" t="s">
        <v>107</v>
      </c>
      <c r="D18" s="8" t="s">
        <v>108</v>
      </c>
      <c r="E18" s="8" t="s">
        <v>109</v>
      </c>
      <c r="F18" s="8" t="s">
        <v>184</v>
      </c>
      <c r="G18" s="8" t="s">
        <v>164</v>
      </c>
      <c r="H18" s="11" t="n">
        <v>1495000</v>
      </c>
      <c r="I18" s="8" t="s">
        <v>112</v>
      </c>
      <c r="J18" s="8" t="n">
        <v>79</v>
      </c>
      <c r="K18" s="8" t="s">
        <v>113</v>
      </c>
      <c r="L18" s="8" t="n">
        <v>5</v>
      </c>
      <c r="M18" s="8" t="s">
        <v>114</v>
      </c>
      <c r="N18" s="8" t="n">
        <v>708</v>
      </c>
      <c r="O18" s="8" t="s">
        <v>115</v>
      </c>
      <c r="P18" s="8" t="n">
        <v>500</v>
      </c>
      <c r="Q18" s="8" t="n">
        <v>449</v>
      </c>
      <c r="R18" s="8" t="n">
        <v>63</v>
      </c>
      <c r="S18" s="12" t="n">
        <v>5.68</v>
      </c>
      <c r="T18" s="8" t="s">
        <v>145</v>
      </c>
      <c r="U18" s="13" t="n">
        <f aca="false">IF(S18="","",((1-Assumptions!$B$4)*Assumptions!$B$2+Assumptions!$B$4*Assumptions!$B$3)/S18)</f>
        <v>1.65492957746479</v>
      </c>
      <c r="V18" s="11" t="n">
        <f aca="false">IF(U18="","",U18*Assumptions!$B$5*365*Assumptions!$B$6)</f>
        <v>120809.85915493</v>
      </c>
      <c r="W18" s="8" t="s">
        <v>117</v>
      </c>
      <c r="X18" s="11" t="n">
        <v>60000</v>
      </c>
      <c r="Y18" s="8" t="s">
        <v>118</v>
      </c>
      <c r="Z18" s="11" t="str">
        <f aca="false">IF(OR(G18&lt;&gt;"battery included",H18="",V18=""),"",H18+X18+V18)</f>
        <v/>
      </c>
      <c r="AA18" s="8" t="n">
        <v>455</v>
      </c>
      <c r="AB18" s="8" t="n">
        <v>207</v>
      </c>
      <c r="AC18" s="8" t="n">
        <v>222</v>
      </c>
      <c r="AD18" s="8" t="n">
        <v>6</v>
      </c>
      <c r="AE18" s="8" t="s">
        <v>119</v>
      </c>
      <c r="AF18" s="8" t="s">
        <v>141</v>
      </c>
      <c r="AG18" s="8" t="s">
        <v>129</v>
      </c>
      <c r="AH18" s="8" t="s">
        <v>134</v>
      </c>
      <c r="AI18" s="8" t="s">
        <v>119</v>
      </c>
      <c r="AJ18" s="8" t="s">
        <v>117</v>
      </c>
      <c r="AK18" s="8" t="n">
        <v>180</v>
      </c>
      <c r="AL18" s="8" t="n">
        <v>142.2</v>
      </c>
      <c r="AM18" s="14" t="n">
        <f aca="false">IF(OR(S18="",AL18=""),"",100/S18/AL18*60)</f>
        <v>7.428537469543</v>
      </c>
      <c r="AN18" s="8" t="n">
        <v>11.7</v>
      </c>
      <c r="AO18" s="8" t="n">
        <v>11</v>
      </c>
      <c r="AP18" s="8" t="s">
        <v>122</v>
      </c>
      <c r="AQ18" s="8" t="s">
        <v>123</v>
      </c>
      <c r="AR18" s="8" t="n">
        <v>31.97</v>
      </c>
      <c r="AS18" s="8" t="n">
        <v>45</v>
      </c>
      <c r="AT18" s="8"/>
      <c r="AU18" s="8"/>
      <c r="AV18" s="8" t="s">
        <v>178</v>
      </c>
    </row>
    <row r="19" customFormat="false" ht="15" hidden="false" customHeight="false" outlineLevel="0" collapsed="false">
      <c r="A19" s="8" t="s">
        <v>185</v>
      </c>
      <c r="B19" s="8" t="s">
        <v>186</v>
      </c>
      <c r="C19" s="8" t="s">
        <v>107</v>
      </c>
      <c r="D19" s="8" t="s">
        <v>108</v>
      </c>
      <c r="E19" s="8" t="s">
        <v>109</v>
      </c>
      <c r="F19" s="8" t="s">
        <v>187</v>
      </c>
      <c r="G19" s="8" t="s">
        <v>164</v>
      </c>
      <c r="H19" s="11" t="n">
        <v>1695000</v>
      </c>
      <c r="I19" s="8" t="s">
        <v>112</v>
      </c>
      <c r="J19" s="8" t="n">
        <v>79</v>
      </c>
      <c r="K19" s="8" t="s">
        <v>113</v>
      </c>
      <c r="L19" s="8" t="n">
        <v>5</v>
      </c>
      <c r="M19" s="8" t="s">
        <v>114</v>
      </c>
      <c r="N19" s="8" t="n">
        <v>708</v>
      </c>
      <c r="O19" s="8" t="s">
        <v>115</v>
      </c>
      <c r="P19" s="8" t="n">
        <v>500</v>
      </c>
      <c r="Q19" s="8" t="n">
        <v>449</v>
      </c>
      <c r="R19" s="8" t="n">
        <v>63</v>
      </c>
      <c r="S19" s="12" t="n">
        <v>5.68</v>
      </c>
      <c r="T19" s="8" t="s">
        <v>145</v>
      </c>
      <c r="U19" s="13" t="n">
        <f aca="false">IF(S19="","",((1-Assumptions!$B$4)*Assumptions!$B$2+Assumptions!$B$4*Assumptions!$B$3)/S19)</f>
        <v>1.65492957746479</v>
      </c>
      <c r="V19" s="11" t="n">
        <f aca="false">IF(U19="","",U19*Assumptions!$B$5*365*Assumptions!$B$6)</f>
        <v>120809.85915493</v>
      </c>
      <c r="W19" s="8" t="s">
        <v>117</v>
      </c>
      <c r="X19" s="11" t="n">
        <v>60000</v>
      </c>
      <c r="Y19" s="8" t="s">
        <v>118</v>
      </c>
      <c r="Z19" s="11" t="str">
        <f aca="false">IF(OR(G19&lt;&gt;"battery included",H19="",V19=""),"",H19+X19+V19)</f>
        <v/>
      </c>
      <c r="AA19" s="8" t="n">
        <v>455</v>
      </c>
      <c r="AB19" s="8" t="n">
        <v>207</v>
      </c>
      <c r="AC19" s="8" t="n">
        <v>222</v>
      </c>
      <c r="AD19" s="8" t="n">
        <v>6</v>
      </c>
      <c r="AE19" s="8" t="s">
        <v>119</v>
      </c>
      <c r="AF19" s="8" t="s">
        <v>153</v>
      </c>
      <c r="AG19" s="8" t="s">
        <v>129</v>
      </c>
      <c r="AH19" s="8" t="s">
        <v>134</v>
      </c>
      <c r="AI19" s="8" t="s">
        <v>119</v>
      </c>
      <c r="AJ19" s="8" t="s">
        <v>119</v>
      </c>
      <c r="AK19" s="8" t="n">
        <v>180</v>
      </c>
      <c r="AL19" s="8" t="n">
        <v>142.2</v>
      </c>
      <c r="AM19" s="14" t="n">
        <f aca="false">IF(OR(S19="",AL19=""),"",100/S19/AL19*60)</f>
        <v>7.428537469543</v>
      </c>
      <c r="AN19" s="8" t="n">
        <v>11.7</v>
      </c>
      <c r="AO19" s="8" t="n">
        <v>11</v>
      </c>
      <c r="AP19" s="8" t="s">
        <v>122</v>
      </c>
      <c r="AQ19" s="8" t="s">
        <v>123</v>
      </c>
      <c r="AR19" s="8" t="n">
        <v>31.97</v>
      </c>
      <c r="AS19" s="8" t="n">
        <v>45</v>
      </c>
      <c r="AT19" s="8"/>
      <c r="AU19" s="8"/>
      <c r="AV19" s="8" t="s">
        <v>178</v>
      </c>
    </row>
    <row r="20" customFormat="false" ht="15" hidden="false" customHeight="false" outlineLevel="0" collapsed="false">
      <c r="A20" s="8" t="s">
        <v>188</v>
      </c>
      <c r="B20" s="8" t="s">
        <v>189</v>
      </c>
      <c r="C20" s="8" t="s">
        <v>107</v>
      </c>
      <c r="D20" s="8" t="s">
        <v>108</v>
      </c>
      <c r="E20" s="8" t="s">
        <v>109</v>
      </c>
      <c r="F20" s="8" t="s">
        <v>190</v>
      </c>
      <c r="G20" s="8" t="s">
        <v>164</v>
      </c>
      <c r="H20" s="11" t="n">
        <v>1695000</v>
      </c>
      <c r="I20" s="8" t="s">
        <v>112</v>
      </c>
      <c r="J20" s="8" t="n">
        <v>79</v>
      </c>
      <c r="K20" s="8" t="s">
        <v>113</v>
      </c>
      <c r="L20" s="8" t="n">
        <v>5</v>
      </c>
      <c r="M20" s="8" t="s">
        <v>114</v>
      </c>
      <c r="N20" s="8" t="n">
        <v>708</v>
      </c>
      <c r="O20" s="8" t="s">
        <v>115</v>
      </c>
      <c r="P20" s="8" t="n">
        <v>500</v>
      </c>
      <c r="Q20" s="8" t="n">
        <v>449</v>
      </c>
      <c r="R20" s="8" t="n">
        <v>63</v>
      </c>
      <c r="S20" s="12" t="n">
        <v>5.68</v>
      </c>
      <c r="T20" s="8" t="s">
        <v>145</v>
      </c>
      <c r="U20" s="13" t="n">
        <f aca="false">IF(S20="","",((1-Assumptions!$B$4)*Assumptions!$B$2+Assumptions!$B$4*Assumptions!$B$3)/S20)</f>
        <v>1.65492957746479</v>
      </c>
      <c r="V20" s="11" t="n">
        <f aca="false">IF(U20="","",U20*Assumptions!$B$5*365*Assumptions!$B$6)</f>
        <v>120809.85915493</v>
      </c>
      <c r="W20" s="8" t="s">
        <v>117</v>
      </c>
      <c r="X20" s="11" t="n">
        <v>60000</v>
      </c>
      <c r="Y20" s="8" t="s">
        <v>118</v>
      </c>
      <c r="Z20" s="11" t="str">
        <f aca="false">IF(OR(G20&lt;&gt;"battery included",H20="",V20=""),"",H20+X20+V20)</f>
        <v/>
      </c>
      <c r="AA20" s="8" t="n">
        <v>455</v>
      </c>
      <c r="AB20" s="8" t="n">
        <v>207</v>
      </c>
      <c r="AC20" s="8" t="n">
        <v>222</v>
      </c>
      <c r="AD20" s="8" t="n">
        <v>6</v>
      </c>
      <c r="AE20" s="8" t="s">
        <v>119</v>
      </c>
      <c r="AF20" s="8" t="s">
        <v>153</v>
      </c>
      <c r="AG20" s="8" t="s">
        <v>129</v>
      </c>
      <c r="AH20" s="8" t="s">
        <v>134</v>
      </c>
      <c r="AI20" s="8" t="s">
        <v>157</v>
      </c>
      <c r="AJ20" s="8" t="s">
        <v>119</v>
      </c>
      <c r="AK20" s="8" t="n">
        <v>180</v>
      </c>
      <c r="AL20" s="8" t="n">
        <v>142.2</v>
      </c>
      <c r="AM20" s="14" t="n">
        <f aca="false">IF(OR(S20="",AL20=""),"",100/S20/AL20*60)</f>
        <v>7.428537469543</v>
      </c>
      <c r="AN20" s="8" t="n">
        <v>11.7</v>
      </c>
      <c r="AO20" s="8" t="n">
        <v>11</v>
      </c>
      <c r="AP20" s="8" t="s">
        <v>122</v>
      </c>
      <c r="AQ20" s="8" t="s">
        <v>123</v>
      </c>
      <c r="AR20" s="8" t="n">
        <v>31.97</v>
      </c>
      <c r="AS20" s="8" t="n">
        <v>45</v>
      </c>
      <c r="AT20" s="8"/>
      <c r="AU20" s="8"/>
      <c r="AV20" s="8" t="s">
        <v>178</v>
      </c>
    </row>
    <row r="21" customFormat="false" ht="15" hidden="false" customHeight="false" outlineLevel="0" collapsed="false">
      <c r="A21" s="8" t="s">
        <v>191</v>
      </c>
      <c r="B21" s="8" t="s">
        <v>192</v>
      </c>
      <c r="C21" s="8" t="s">
        <v>107</v>
      </c>
      <c r="D21" s="8" t="s">
        <v>108</v>
      </c>
      <c r="E21" s="8" t="s">
        <v>109</v>
      </c>
      <c r="F21" s="8" t="s">
        <v>193</v>
      </c>
      <c r="G21" s="8" t="s">
        <v>164</v>
      </c>
      <c r="H21" s="11" t="n">
        <v>1695000</v>
      </c>
      <c r="I21" s="8" t="s">
        <v>112</v>
      </c>
      <c r="J21" s="8" t="n">
        <v>79</v>
      </c>
      <c r="K21" s="8" t="s">
        <v>113</v>
      </c>
      <c r="L21" s="8" t="n">
        <v>5</v>
      </c>
      <c r="M21" s="8" t="s">
        <v>114</v>
      </c>
      <c r="N21" s="8" t="n">
        <v>708</v>
      </c>
      <c r="O21" s="8" t="s">
        <v>115</v>
      </c>
      <c r="P21" s="8" t="n">
        <v>500</v>
      </c>
      <c r="Q21" s="8" t="n">
        <v>449</v>
      </c>
      <c r="R21" s="8" t="n">
        <v>63</v>
      </c>
      <c r="S21" s="12" t="n">
        <v>5.68</v>
      </c>
      <c r="T21" s="8" t="s">
        <v>145</v>
      </c>
      <c r="U21" s="13" t="n">
        <f aca="false">IF(S21="","",((1-Assumptions!$B$4)*Assumptions!$B$2+Assumptions!$B$4*Assumptions!$B$3)/S21)</f>
        <v>1.65492957746479</v>
      </c>
      <c r="V21" s="11" t="n">
        <f aca="false">IF(U21="","",U21*Assumptions!$B$5*365*Assumptions!$B$6)</f>
        <v>120809.85915493</v>
      </c>
      <c r="W21" s="8" t="s">
        <v>117</v>
      </c>
      <c r="X21" s="11" t="n">
        <v>60000</v>
      </c>
      <c r="Y21" s="8" t="s">
        <v>118</v>
      </c>
      <c r="Z21" s="11" t="str">
        <f aca="false">IF(OR(G21&lt;&gt;"battery included",H21="",V21=""),"",H21+X21+V21)</f>
        <v/>
      </c>
      <c r="AA21" s="8" t="n">
        <v>455</v>
      </c>
      <c r="AB21" s="8" t="n">
        <v>207</v>
      </c>
      <c r="AC21" s="8" t="n">
        <v>222</v>
      </c>
      <c r="AD21" s="8" t="n">
        <v>6</v>
      </c>
      <c r="AE21" s="8" t="s">
        <v>119</v>
      </c>
      <c r="AF21" s="8" t="s">
        <v>153</v>
      </c>
      <c r="AG21" s="8" t="s">
        <v>129</v>
      </c>
      <c r="AH21" s="8" t="s">
        <v>134</v>
      </c>
      <c r="AI21" s="8" t="s">
        <v>119</v>
      </c>
      <c r="AJ21" s="8" t="s">
        <v>119</v>
      </c>
      <c r="AK21" s="8" t="n">
        <v>180</v>
      </c>
      <c r="AL21" s="8" t="n">
        <v>142.2</v>
      </c>
      <c r="AM21" s="14" t="n">
        <f aca="false">IF(OR(S21="",AL21=""),"",100/S21/AL21*60)</f>
        <v>7.428537469543</v>
      </c>
      <c r="AN21" s="8" t="n">
        <v>11.7</v>
      </c>
      <c r="AO21" s="8" t="n">
        <v>11</v>
      </c>
      <c r="AP21" s="8" t="s">
        <v>122</v>
      </c>
      <c r="AQ21" s="8" t="s">
        <v>123</v>
      </c>
      <c r="AR21" s="8" t="n">
        <v>31.97</v>
      </c>
      <c r="AS21" s="8" t="n">
        <v>45</v>
      </c>
      <c r="AT21" s="8"/>
      <c r="AU21" s="8"/>
      <c r="AV21" s="8" t="s">
        <v>178</v>
      </c>
    </row>
    <row r="22" customFormat="false" ht="15" hidden="false" customHeight="false" outlineLevel="0" collapsed="false">
      <c r="A22" s="8" t="s">
        <v>194</v>
      </c>
      <c r="B22" s="8" t="s">
        <v>195</v>
      </c>
      <c r="C22" s="8" t="s">
        <v>107</v>
      </c>
      <c r="D22" s="8" t="s">
        <v>196</v>
      </c>
      <c r="E22" s="8" t="s">
        <v>109</v>
      </c>
      <c r="F22" s="8" t="s">
        <v>197</v>
      </c>
      <c r="G22" s="8" t="s">
        <v>111</v>
      </c>
      <c r="H22" s="11" t="n">
        <v>2065000</v>
      </c>
      <c r="I22" s="8" t="s">
        <v>128</v>
      </c>
      <c r="J22" s="8" t="n">
        <v>59</v>
      </c>
      <c r="K22" s="8" t="s">
        <v>113</v>
      </c>
      <c r="L22" s="8" t="n">
        <v>7</v>
      </c>
      <c r="M22" s="8" t="s">
        <v>198</v>
      </c>
      <c r="N22" s="8" t="n">
        <v>521</v>
      </c>
      <c r="O22" s="8" t="s">
        <v>115</v>
      </c>
      <c r="P22" s="8" t="n">
        <v>400</v>
      </c>
      <c r="Q22" s="8"/>
      <c r="R22" s="8"/>
      <c r="S22" s="12" t="n">
        <v>6.78</v>
      </c>
      <c r="T22" s="8" t="s">
        <v>116</v>
      </c>
      <c r="U22" s="13" t="n">
        <f aca="false">IF(S22="","",((1-Assumptions!$B$4)*Assumptions!$B$2+Assumptions!$B$4*Assumptions!$B$3)/S22)</f>
        <v>1.38643067846608</v>
      </c>
      <c r="V22" s="11" t="n">
        <f aca="false">IF(U22="","",U22*Assumptions!$B$5*365*Assumptions!$B$6)</f>
        <v>101209.439528024</v>
      </c>
      <c r="W22" s="8" t="s">
        <v>117</v>
      </c>
      <c r="X22" s="11" t="n">
        <v>60000</v>
      </c>
      <c r="Y22" s="8" t="s">
        <v>199</v>
      </c>
      <c r="Z22" s="11" t="n">
        <f aca="false">IF(OR(G22&lt;&gt;"battery included",H22="",V22=""),"",H22+X22+V22)</f>
        <v>2226209.43952802</v>
      </c>
      <c r="AA22" s="8" t="n">
        <v>527</v>
      </c>
      <c r="AB22" s="8" t="n">
        <v>205</v>
      </c>
      <c r="AC22" s="8" t="n">
        <v>222</v>
      </c>
      <c r="AD22" s="8" t="n">
        <v>6</v>
      </c>
      <c r="AE22" s="8" t="s">
        <v>119</v>
      </c>
      <c r="AF22" s="8" t="s">
        <v>120</v>
      </c>
      <c r="AG22" s="8" t="s">
        <v>121</v>
      </c>
      <c r="AH22" s="8" t="s">
        <v>200</v>
      </c>
      <c r="AI22" s="8" t="s">
        <v>117</v>
      </c>
      <c r="AJ22" s="8" t="s">
        <v>117</v>
      </c>
      <c r="AK22" s="8" t="n">
        <v>140</v>
      </c>
      <c r="AL22" s="8" t="n">
        <v>106.2</v>
      </c>
      <c r="AM22" s="14" t="n">
        <f aca="false">IF(OR(S22="",AL22=""),"",100/S22/AL22*60)</f>
        <v>8.33291668749896</v>
      </c>
      <c r="AN22" s="8" t="n">
        <v>8.7</v>
      </c>
      <c r="AO22" s="8" t="n">
        <v>11</v>
      </c>
      <c r="AP22" s="8" t="s">
        <v>122</v>
      </c>
      <c r="AQ22" s="8" t="s">
        <v>201</v>
      </c>
      <c r="AR22" s="8"/>
      <c r="AS22" s="8"/>
      <c r="AT22" s="8"/>
      <c r="AU22" s="8"/>
      <c r="AV22" s="8" t="s">
        <v>202</v>
      </c>
    </row>
    <row r="23" customFormat="false" ht="15" hidden="false" customHeight="false" outlineLevel="0" collapsed="false">
      <c r="A23" s="8" t="s">
        <v>203</v>
      </c>
      <c r="B23" s="8" t="s">
        <v>204</v>
      </c>
      <c r="C23" s="8" t="s">
        <v>107</v>
      </c>
      <c r="D23" s="8" t="s">
        <v>196</v>
      </c>
      <c r="E23" s="8" t="s">
        <v>109</v>
      </c>
      <c r="F23" s="8" t="s">
        <v>205</v>
      </c>
      <c r="G23" s="8" t="s">
        <v>111</v>
      </c>
      <c r="H23" s="11" t="n">
        <v>2265000</v>
      </c>
      <c r="I23" s="8" t="s">
        <v>128</v>
      </c>
      <c r="J23" s="8" t="n">
        <v>79</v>
      </c>
      <c r="K23" s="8" t="s">
        <v>113</v>
      </c>
      <c r="L23" s="8" t="n">
        <v>7</v>
      </c>
      <c r="M23" s="8" t="s">
        <v>198</v>
      </c>
      <c r="N23" s="8" t="n">
        <v>679</v>
      </c>
      <c r="O23" s="8" t="s">
        <v>115</v>
      </c>
      <c r="P23" s="8" t="n">
        <v>500</v>
      </c>
      <c r="Q23" s="8" t="n">
        <v>478</v>
      </c>
      <c r="R23" s="8" t="n">
        <v>70</v>
      </c>
      <c r="S23" s="12" t="n">
        <v>6.33</v>
      </c>
      <c r="T23" s="8" t="s">
        <v>116</v>
      </c>
      <c r="U23" s="13" t="n">
        <f aca="false">IF(S23="","",((1-Assumptions!$B$4)*Assumptions!$B$2+Assumptions!$B$4*Assumptions!$B$3)/S23)</f>
        <v>1.48499210110585</v>
      </c>
      <c r="V23" s="11" t="n">
        <f aca="false">IF(U23="","",U23*Assumptions!$B$5*365*Assumptions!$B$6)</f>
        <v>108404.423380727</v>
      </c>
      <c r="W23" s="8" t="s">
        <v>117</v>
      </c>
      <c r="X23" s="11" t="n">
        <v>60000</v>
      </c>
      <c r="Y23" s="8" t="s">
        <v>199</v>
      </c>
      <c r="Z23" s="11" t="n">
        <f aca="false">IF(OR(G23&lt;&gt;"battery included",H23="",V23=""),"",H23+X23+V23)</f>
        <v>2433404.42338073</v>
      </c>
      <c r="AA23" s="8" t="n">
        <v>527</v>
      </c>
      <c r="AB23" s="8" t="n">
        <v>205</v>
      </c>
      <c r="AC23" s="8" t="n">
        <v>222</v>
      </c>
      <c r="AD23" s="8" t="n">
        <v>6</v>
      </c>
      <c r="AE23" s="8" t="s">
        <v>119</v>
      </c>
      <c r="AF23" s="8" t="s">
        <v>120</v>
      </c>
      <c r="AG23" s="8" t="s">
        <v>121</v>
      </c>
      <c r="AH23" s="8" t="s">
        <v>200</v>
      </c>
      <c r="AI23" s="8" t="s">
        <v>117</v>
      </c>
      <c r="AJ23" s="8" t="s">
        <v>117</v>
      </c>
      <c r="AK23" s="8" t="n">
        <v>180</v>
      </c>
      <c r="AL23" s="8" t="n">
        <v>142.2</v>
      </c>
      <c r="AM23" s="14" t="n">
        <f aca="false">IF(OR(S23="",AL23=""),"",100/S23/AL23*60)</f>
        <v>6.66573346398171</v>
      </c>
      <c r="AN23" s="8" t="n">
        <v>11.7</v>
      </c>
      <c r="AO23" s="8" t="n">
        <v>11</v>
      </c>
      <c r="AP23" s="8" t="s">
        <v>122</v>
      </c>
      <c r="AQ23" s="8" t="s">
        <v>201</v>
      </c>
      <c r="AR23" s="8"/>
      <c r="AS23" s="8"/>
      <c r="AT23" s="8"/>
      <c r="AU23" s="8"/>
      <c r="AV23" s="8" t="s">
        <v>202</v>
      </c>
    </row>
    <row r="24" customFormat="false" ht="15" hidden="false" customHeight="false" outlineLevel="0" collapsed="false">
      <c r="A24" s="8" t="s">
        <v>206</v>
      </c>
      <c r="B24" s="8" t="s">
        <v>207</v>
      </c>
      <c r="C24" s="8" t="s">
        <v>107</v>
      </c>
      <c r="D24" s="8" t="s">
        <v>196</v>
      </c>
      <c r="E24" s="8" t="s">
        <v>109</v>
      </c>
      <c r="F24" s="8" t="s">
        <v>208</v>
      </c>
      <c r="G24" s="8" t="s">
        <v>111</v>
      </c>
      <c r="H24" s="11" t="n">
        <v>2505000</v>
      </c>
      <c r="I24" s="8" t="s">
        <v>128</v>
      </c>
      <c r="J24" s="8" t="n">
        <v>70</v>
      </c>
      <c r="K24" s="8" t="s">
        <v>113</v>
      </c>
      <c r="L24" s="8" t="n">
        <v>7</v>
      </c>
      <c r="M24" s="8" t="s">
        <v>198</v>
      </c>
      <c r="N24" s="8" t="n">
        <v>600</v>
      </c>
      <c r="O24" s="8" t="s">
        <v>115</v>
      </c>
      <c r="P24" s="8" t="n">
        <v>450</v>
      </c>
      <c r="Q24" s="8"/>
      <c r="R24" s="8"/>
      <c r="S24" s="12" t="n">
        <v>6.43</v>
      </c>
      <c r="T24" s="8" t="s">
        <v>116</v>
      </c>
      <c r="U24" s="13" t="n">
        <f aca="false">IF(S24="","",((1-Assumptions!$B$4)*Assumptions!$B$2+Assumptions!$B$4*Assumptions!$B$3)/S24)</f>
        <v>1.46189735614308</v>
      </c>
      <c r="V24" s="11" t="n">
        <f aca="false">IF(U24="","",U24*Assumptions!$B$5*365*Assumptions!$B$6)</f>
        <v>106718.506998445</v>
      </c>
      <c r="W24" s="8" t="s">
        <v>117</v>
      </c>
      <c r="X24" s="11" t="n">
        <v>60000</v>
      </c>
      <c r="Y24" s="8" t="s">
        <v>199</v>
      </c>
      <c r="Z24" s="11" t="n">
        <f aca="false">IF(OR(G24&lt;&gt;"battery included",H24="",V24=""),"",H24+X24+V24)</f>
        <v>2671718.50699845</v>
      </c>
      <c r="AA24" s="8" t="n">
        <v>527</v>
      </c>
      <c r="AB24" s="8" t="n">
        <v>205</v>
      </c>
      <c r="AC24" s="8" t="n">
        <v>222</v>
      </c>
      <c r="AD24" s="8" t="n">
        <v>6</v>
      </c>
      <c r="AE24" s="8" t="s">
        <v>119</v>
      </c>
      <c r="AF24" s="8" t="s">
        <v>141</v>
      </c>
      <c r="AG24" s="8" t="s">
        <v>209</v>
      </c>
      <c r="AH24" s="8" t="s">
        <v>200</v>
      </c>
      <c r="AI24" s="8" t="s">
        <v>119</v>
      </c>
      <c r="AJ24" s="8" t="s">
        <v>117</v>
      </c>
      <c r="AK24" s="8" t="n">
        <v>160</v>
      </c>
      <c r="AL24" s="8" t="n">
        <v>126</v>
      </c>
      <c r="AM24" s="14" t="n">
        <f aca="false">IF(OR(S24="",AL24=""),"",100/S24/AL24*60)</f>
        <v>7.40576168258906</v>
      </c>
      <c r="AN24" s="8" t="n">
        <v>10.2</v>
      </c>
      <c r="AO24" s="8" t="n">
        <v>11</v>
      </c>
      <c r="AP24" s="8" t="s">
        <v>122</v>
      </c>
      <c r="AQ24" s="8" t="s">
        <v>201</v>
      </c>
      <c r="AR24" s="8"/>
      <c r="AS24" s="8"/>
      <c r="AT24" s="8"/>
      <c r="AU24" s="8"/>
      <c r="AV24" s="8" t="s">
        <v>202</v>
      </c>
    </row>
    <row r="25" customFormat="false" ht="15" hidden="false" customHeight="false" outlineLevel="0" collapsed="false">
      <c r="A25" s="8" t="s">
        <v>210</v>
      </c>
      <c r="B25" s="8" t="s">
        <v>211</v>
      </c>
      <c r="C25" s="8" t="s">
        <v>107</v>
      </c>
      <c r="D25" s="8" t="s">
        <v>196</v>
      </c>
      <c r="E25" s="8" t="s">
        <v>109</v>
      </c>
      <c r="F25" s="8" t="s">
        <v>212</v>
      </c>
      <c r="G25" s="8" t="s">
        <v>111</v>
      </c>
      <c r="H25" s="11" t="n">
        <v>2525000</v>
      </c>
      <c r="I25" s="8" t="s">
        <v>128</v>
      </c>
      <c r="J25" s="8" t="n">
        <v>70</v>
      </c>
      <c r="K25" s="8" t="s">
        <v>113</v>
      </c>
      <c r="L25" s="8" t="n">
        <v>6</v>
      </c>
      <c r="M25" s="8" t="s">
        <v>213</v>
      </c>
      <c r="N25" s="8" t="n">
        <v>600</v>
      </c>
      <c r="O25" s="8" t="s">
        <v>115</v>
      </c>
      <c r="P25" s="8" t="n">
        <v>450</v>
      </c>
      <c r="Q25" s="8"/>
      <c r="R25" s="8"/>
      <c r="S25" s="12" t="n">
        <v>6.43</v>
      </c>
      <c r="T25" s="8" t="s">
        <v>116</v>
      </c>
      <c r="U25" s="13" t="n">
        <f aca="false">IF(S25="","",((1-Assumptions!$B$4)*Assumptions!$B$2+Assumptions!$B$4*Assumptions!$B$3)/S25)</f>
        <v>1.46189735614308</v>
      </c>
      <c r="V25" s="11" t="n">
        <f aca="false">IF(U25="","",U25*Assumptions!$B$5*365*Assumptions!$B$6)</f>
        <v>106718.506998445</v>
      </c>
      <c r="W25" s="8" t="s">
        <v>117</v>
      </c>
      <c r="X25" s="11" t="n">
        <v>60000</v>
      </c>
      <c r="Y25" s="8" t="s">
        <v>199</v>
      </c>
      <c r="Z25" s="11" t="n">
        <f aca="false">IF(OR(G25&lt;&gt;"battery included",H25="",V25=""),"",H25+X25+V25)</f>
        <v>2691718.50699845</v>
      </c>
      <c r="AA25" s="8" t="n">
        <v>527</v>
      </c>
      <c r="AB25" s="8" t="n">
        <v>205</v>
      </c>
      <c r="AC25" s="8" t="n">
        <v>222</v>
      </c>
      <c r="AD25" s="8" t="n">
        <v>6</v>
      </c>
      <c r="AE25" s="8" t="s">
        <v>119</v>
      </c>
      <c r="AF25" s="8" t="s">
        <v>141</v>
      </c>
      <c r="AG25" s="8" t="s">
        <v>209</v>
      </c>
      <c r="AH25" s="8" t="s">
        <v>200</v>
      </c>
      <c r="AI25" s="8" t="s">
        <v>119</v>
      </c>
      <c r="AJ25" s="8" t="s">
        <v>117</v>
      </c>
      <c r="AK25" s="8" t="n">
        <v>160</v>
      </c>
      <c r="AL25" s="8" t="n">
        <v>126</v>
      </c>
      <c r="AM25" s="14" t="n">
        <f aca="false">IF(OR(S25="",AL25=""),"",100/S25/AL25*60)</f>
        <v>7.40576168258906</v>
      </c>
      <c r="AN25" s="8" t="n">
        <v>10.2</v>
      </c>
      <c r="AO25" s="8" t="n">
        <v>11</v>
      </c>
      <c r="AP25" s="8" t="s">
        <v>122</v>
      </c>
      <c r="AQ25" s="8" t="s">
        <v>201</v>
      </c>
      <c r="AR25" s="8"/>
      <c r="AS25" s="8"/>
      <c r="AT25" s="8"/>
      <c r="AU25" s="8"/>
      <c r="AV25" s="8" t="s">
        <v>202</v>
      </c>
    </row>
    <row r="26" customFormat="false" ht="15" hidden="false" customHeight="false" outlineLevel="0" collapsed="false">
      <c r="A26" s="8" t="s">
        <v>214</v>
      </c>
      <c r="B26" s="8" t="s">
        <v>215</v>
      </c>
      <c r="C26" s="8" t="s">
        <v>107</v>
      </c>
      <c r="D26" s="8" t="s">
        <v>196</v>
      </c>
      <c r="E26" s="8" t="s">
        <v>109</v>
      </c>
      <c r="F26" s="8" t="s">
        <v>216</v>
      </c>
      <c r="G26" s="8" t="s">
        <v>111</v>
      </c>
      <c r="H26" s="11" t="n">
        <v>2595000</v>
      </c>
      <c r="I26" s="8" t="s">
        <v>128</v>
      </c>
      <c r="J26" s="8" t="n">
        <v>79</v>
      </c>
      <c r="K26" s="8" t="s">
        <v>113</v>
      </c>
      <c r="L26" s="8" t="n">
        <v>7</v>
      </c>
      <c r="M26" s="8" t="s">
        <v>198</v>
      </c>
      <c r="N26" s="8" t="n">
        <v>679</v>
      </c>
      <c r="O26" s="8" t="s">
        <v>115</v>
      </c>
      <c r="P26" s="8" t="n">
        <v>500</v>
      </c>
      <c r="Q26" s="8" t="n">
        <v>478</v>
      </c>
      <c r="R26" s="8" t="n">
        <v>70</v>
      </c>
      <c r="S26" s="12" t="n">
        <v>6.33</v>
      </c>
      <c r="T26" s="8" t="s">
        <v>116</v>
      </c>
      <c r="U26" s="13" t="n">
        <f aca="false">IF(S26="","",((1-Assumptions!$B$4)*Assumptions!$B$2+Assumptions!$B$4*Assumptions!$B$3)/S26)</f>
        <v>1.48499210110585</v>
      </c>
      <c r="V26" s="11" t="n">
        <f aca="false">IF(U26="","",U26*Assumptions!$B$5*365*Assumptions!$B$6)</f>
        <v>108404.423380727</v>
      </c>
      <c r="W26" s="8" t="s">
        <v>117</v>
      </c>
      <c r="X26" s="11" t="n">
        <v>60000</v>
      </c>
      <c r="Y26" s="8" t="s">
        <v>199</v>
      </c>
      <c r="Z26" s="11" t="n">
        <f aca="false">IF(OR(G26&lt;&gt;"battery included",H26="",V26=""),"",H26+X26+V26)</f>
        <v>2763404.42338073</v>
      </c>
      <c r="AA26" s="8" t="n">
        <v>527</v>
      </c>
      <c r="AB26" s="8" t="n">
        <v>205</v>
      </c>
      <c r="AC26" s="8" t="n">
        <v>222</v>
      </c>
      <c r="AD26" s="8" t="n">
        <v>6</v>
      </c>
      <c r="AE26" s="8" t="s">
        <v>119</v>
      </c>
      <c r="AF26" s="8" t="s">
        <v>141</v>
      </c>
      <c r="AG26" s="8" t="s">
        <v>209</v>
      </c>
      <c r="AH26" s="8" t="s">
        <v>200</v>
      </c>
      <c r="AI26" s="8" t="s">
        <v>119</v>
      </c>
      <c r="AJ26" s="8" t="s">
        <v>117</v>
      </c>
      <c r="AK26" s="8" t="n">
        <v>180</v>
      </c>
      <c r="AL26" s="8" t="n">
        <v>142.2</v>
      </c>
      <c r="AM26" s="14" t="n">
        <f aca="false">IF(OR(S26="",AL26=""),"",100/S26/AL26*60)</f>
        <v>6.66573346398171</v>
      </c>
      <c r="AN26" s="8" t="n">
        <v>11.7</v>
      </c>
      <c r="AO26" s="8" t="n">
        <v>11</v>
      </c>
      <c r="AP26" s="8" t="s">
        <v>122</v>
      </c>
      <c r="AQ26" s="8" t="s">
        <v>201</v>
      </c>
      <c r="AR26" s="8"/>
      <c r="AS26" s="8"/>
      <c r="AT26" s="8"/>
      <c r="AU26" s="8"/>
      <c r="AV26" s="8" t="s">
        <v>202</v>
      </c>
    </row>
    <row r="27" customFormat="false" ht="15" hidden="false" customHeight="false" outlineLevel="0" collapsed="false">
      <c r="A27" s="8" t="s">
        <v>217</v>
      </c>
      <c r="B27" s="8" t="s">
        <v>218</v>
      </c>
      <c r="C27" s="8" t="s">
        <v>107</v>
      </c>
      <c r="D27" s="8" t="s">
        <v>196</v>
      </c>
      <c r="E27" s="8" t="s">
        <v>109</v>
      </c>
      <c r="F27" s="8" t="s">
        <v>219</v>
      </c>
      <c r="G27" s="8" t="s">
        <v>111</v>
      </c>
      <c r="H27" s="11" t="n">
        <v>2615000</v>
      </c>
      <c r="I27" s="8" t="s">
        <v>128</v>
      </c>
      <c r="J27" s="8" t="n">
        <v>79</v>
      </c>
      <c r="K27" s="8" t="s">
        <v>113</v>
      </c>
      <c r="L27" s="8" t="n">
        <v>6</v>
      </c>
      <c r="M27" s="8" t="s">
        <v>213</v>
      </c>
      <c r="N27" s="8" t="n">
        <v>679</v>
      </c>
      <c r="O27" s="8" t="s">
        <v>115</v>
      </c>
      <c r="P27" s="8" t="n">
        <v>500</v>
      </c>
      <c r="Q27" s="8" t="n">
        <v>478</v>
      </c>
      <c r="R27" s="8" t="n">
        <v>70</v>
      </c>
      <c r="S27" s="12" t="n">
        <v>6.33</v>
      </c>
      <c r="T27" s="8" t="s">
        <v>116</v>
      </c>
      <c r="U27" s="13" t="n">
        <f aca="false">IF(S27="","",((1-Assumptions!$B$4)*Assumptions!$B$2+Assumptions!$B$4*Assumptions!$B$3)/S27)</f>
        <v>1.48499210110585</v>
      </c>
      <c r="V27" s="11" t="n">
        <f aca="false">IF(U27="","",U27*Assumptions!$B$5*365*Assumptions!$B$6)</f>
        <v>108404.423380727</v>
      </c>
      <c r="W27" s="8" t="s">
        <v>117</v>
      </c>
      <c r="X27" s="11" t="n">
        <v>60000</v>
      </c>
      <c r="Y27" s="8" t="s">
        <v>199</v>
      </c>
      <c r="Z27" s="11" t="n">
        <f aca="false">IF(OR(G27&lt;&gt;"battery included",H27="",V27=""),"",H27+X27+V27)</f>
        <v>2783404.42338073</v>
      </c>
      <c r="AA27" s="8" t="n">
        <v>527</v>
      </c>
      <c r="AB27" s="8" t="n">
        <v>205</v>
      </c>
      <c r="AC27" s="8" t="n">
        <v>222</v>
      </c>
      <c r="AD27" s="8" t="n">
        <v>6</v>
      </c>
      <c r="AE27" s="8" t="s">
        <v>119</v>
      </c>
      <c r="AF27" s="8" t="s">
        <v>141</v>
      </c>
      <c r="AG27" s="8" t="s">
        <v>209</v>
      </c>
      <c r="AH27" s="8" t="s">
        <v>200</v>
      </c>
      <c r="AI27" s="8" t="s">
        <v>119</v>
      </c>
      <c r="AJ27" s="8" t="s">
        <v>117</v>
      </c>
      <c r="AK27" s="8" t="n">
        <v>180</v>
      </c>
      <c r="AL27" s="8" t="n">
        <v>142.2</v>
      </c>
      <c r="AM27" s="14" t="n">
        <f aca="false">IF(OR(S27="",AL27=""),"",100/S27/AL27*60)</f>
        <v>6.66573346398171</v>
      </c>
      <c r="AN27" s="8" t="n">
        <v>11.7</v>
      </c>
      <c r="AO27" s="8" t="n">
        <v>11</v>
      </c>
      <c r="AP27" s="8" t="s">
        <v>122</v>
      </c>
      <c r="AQ27" s="8" t="s">
        <v>201</v>
      </c>
      <c r="AR27" s="8"/>
      <c r="AS27" s="8"/>
      <c r="AT27" s="8"/>
      <c r="AU27" s="8"/>
      <c r="AV27" s="8" t="s">
        <v>202</v>
      </c>
    </row>
    <row r="28" customFormat="false" ht="15" hidden="false" customHeight="false" outlineLevel="0" collapsed="false">
      <c r="A28" s="8" t="s">
        <v>220</v>
      </c>
      <c r="B28" s="8" t="s">
        <v>221</v>
      </c>
      <c r="C28" s="8" t="s">
        <v>107</v>
      </c>
      <c r="D28" s="8" t="s">
        <v>196</v>
      </c>
      <c r="E28" s="8" t="s">
        <v>109</v>
      </c>
      <c r="F28" s="8" t="s">
        <v>222</v>
      </c>
      <c r="G28" s="8" t="s">
        <v>111</v>
      </c>
      <c r="H28" s="11" t="n">
        <v>2785000</v>
      </c>
      <c r="I28" s="8" t="s">
        <v>128</v>
      </c>
      <c r="J28" s="8" t="n">
        <v>79</v>
      </c>
      <c r="K28" s="8" t="s">
        <v>113</v>
      </c>
      <c r="L28" s="8" t="n">
        <v>7</v>
      </c>
      <c r="M28" s="8" t="s">
        <v>198</v>
      </c>
      <c r="N28" s="8" t="n">
        <v>679</v>
      </c>
      <c r="O28" s="8" t="s">
        <v>115</v>
      </c>
      <c r="P28" s="8" t="n">
        <v>500</v>
      </c>
      <c r="Q28" s="8" t="n">
        <v>478</v>
      </c>
      <c r="R28" s="8" t="n">
        <v>70</v>
      </c>
      <c r="S28" s="12" t="n">
        <v>6.33</v>
      </c>
      <c r="T28" s="8" t="s">
        <v>116</v>
      </c>
      <c r="U28" s="13" t="n">
        <f aca="false">IF(S28="","",((1-Assumptions!$B$4)*Assumptions!$B$2+Assumptions!$B$4*Assumptions!$B$3)/S28)</f>
        <v>1.48499210110585</v>
      </c>
      <c r="V28" s="11" t="n">
        <f aca="false">IF(U28="","",U28*Assumptions!$B$5*365*Assumptions!$B$6)</f>
        <v>108404.423380727</v>
      </c>
      <c r="W28" s="8" t="s">
        <v>117</v>
      </c>
      <c r="X28" s="11" t="n">
        <v>60000</v>
      </c>
      <c r="Y28" s="8" t="s">
        <v>199</v>
      </c>
      <c r="Z28" s="11" t="n">
        <f aca="false">IF(OR(G28&lt;&gt;"battery included",H28="",V28=""),"",H28+X28+V28)</f>
        <v>2953404.42338073</v>
      </c>
      <c r="AA28" s="8" t="n">
        <v>527</v>
      </c>
      <c r="AB28" s="8" t="n">
        <v>205</v>
      </c>
      <c r="AC28" s="8" t="n">
        <v>222</v>
      </c>
      <c r="AD28" s="8" t="n">
        <v>7</v>
      </c>
      <c r="AE28" s="8" t="s">
        <v>119</v>
      </c>
      <c r="AF28" s="8" t="s">
        <v>153</v>
      </c>
      <c r="AG28" s="8" t="s">
        <v>209</v>
      </c>
      <c r="AH28" s="8" t="s">
        <v>200</v>
      </c>
      <c r="AI28" s="8" t="s">
        <v>119</v>
      </c>
      <c r="AJ28" s="8" t="s">
        <v>119</v>
      </c>
      <c r="AK28" s="8" t="n">
        <v>180</v>
      </c>
      <c r="AL28" s="8" t="n">
        <v>142.2</v>
      </c>
      <c r="AM28" s="14" t="n">
        <f aca="false">IF(OR(S28="",AL28=""),"",100/S28/AL28*60)</f>
        <v>6.66573346398171</v>
      </c>
      <c r="AN28" s="8" t="n">
        <v>11.7</v>
      </c>
      <c r="AO28" s="8" t="n">
        <v>11</v>
      </c>
      <c r="AP28" s="8" t="s">
        <v>122</v>
      </c>
      <c r="AQ28" s="8" t="s">
        <v>201</v>
      </c>
      <c r="AR28" s="8"/>
      <c r="AS28" s="8"/>
      <c r="AT28" s="8"/>
      <c r="AU28" s="8"/>
      <c r="AV28" s="8" t="s">
        <v>202</v>
      </c>
    </row>
    <row r="29" customFormat="false" ht="15" hidden="false" customHeight="false" outlineLevel="0" collapsed="false">
      <c r="A29" s="8" t="s">
        <v>223</v>
      </c>
      <c r="B29" s="8" t="s">
        <v>224</v>
      </c>
      <c r="C29" s="8" t="s">
        <v>107</v>
      </c>
      <c r="D29" s="8" t="s">
        <v>196</v>
      </c>
      <c r="E29" s="8" t="s">
        <v>109</v>
      </c>
      <c r="F29" s="8" t="s">
        <v>225</v>
      </c>
      <c r="G29" s="8" t="s">
        <v>111</v>
      </c>
      <c r="H29" s="11" t="n">
        <v>2805000</v>
      </c>
      <c r="I29" s="8" t="s">
        <v>128</v>
      </c>
      <c r="J29" s="8" t="n">
        <v>79</v>
      </c>
      <c r="K29" s="8" t="s">
        <v>113</v>
      </c>
      <c r="L29" s="8" t="n">
        <v>6</v>
      </c>
      <c r="M29" s="8" t="s">
        <v>213</v>
      </c>
      <c r="N29" s="8" t="n">
        <v>679</v>
      </c>
      <c r="O29" s="8" t="s">
        <v>115</v>
      </c>
      <c r="P29" s="8" t="n">
        <v>500</v>
      </c>
      <c r="Q29" s="8" t="n">
        <v>478</v>
      </c>
      <c r="R29" s="8" t="n">
        <v>70</v>
      </c>
      <c r="S29" s="12" t="n">
        <v>6.33</v>
      </c>
      <c r="T29" s="8" t="s">
        <v>116</v>
      </c>
      <c r="U29" s="13" t="n">
        <f aca="false">IF(S29="","",((1-Assumptions!$B$4)*Assumptions!$B$2+Assumptions!$B$4*Assumptions!$B$3)/S29)</f>
        <v>1.48499210110585</v>
      </c>
      <c r="V29" s="11" t="n">
        <f aca="false">IF(U29="","",U29*Assumptions!$B$5*365*Assumptions!$B$6)</f>
        <v>108404.423380727</v>
      </c>
      <c r="W29" s="8" t="s">
        <v>117</v>
      </c>
      <c r="X29" s="11" t="n">
        <v>60000</v>
      </c>
      <c r="Y29" s="8" t="s">
        <v>199</v>
      </c>
      <c r="Z29" s="11" t="n">
        <f aca="false">IF(OR(G29&lt;&gt;"battery included",H29="",V29=""),"",H29+X29+V29)</f>
        <v>2973404.42338073</v>
      </c>
      <c r="AA29" s="8" t="n">
        <v>527</v>
      </c>
      <c r="AB29" s="8" t="n">
        <v>205</v>
      </c>
      <c r="AC29" s="8" t="n">
        <v>222</v>
      </c>
      <c r="AD29" s="8" t="n">
        <v>7</v>
      </c>
      <c r="AE29" s="8" t="s">
        <v>119</v>
      </c>
      <c r="AF29" s="8" t="s">
        <v>153</v>
      </c>
      <c r="AG29" s="8" t="s">
        <v>209</v>
      </c>
      <c r="AH29" s="8" t="s">
        <v>200</v>
      </c>
      <c r="AI29" s="8" t="s">
        <v>119</v>
      </c>
      <c r="AJ29" s="8" t="s">
        <v>119</v>
      </c>
      <c r="AK29" s="8" t="n">
        <v>180</v>
      </c>
      <c r="AL29" s="8" t="n">
        <v>142.2</v>
      </c>
      <c r="AM29" s="14" t="n">
        <f aca="false">IF(OR(S29="",AL29=""),"",100/S29/AL29*60)</f>
        <v>6.66573346398171</v>
      </c>
      <c r="AN29" s="8" t="n">
        <v>11.7</v>
      </c>
      <c r="AO29" s="8" t="n">
        <v>11</v>
      </c>
      <c r="AP29" s="8" t="s">
        <v>122</v>
      </c>
      <c r="AQ29" s="8" t="s">
        <v>201</v>
      </c>
      <c r="AR29" s="8"/>
      <c r="AS29" s="8"/>
      <c r="AT29" s="8"/>
      <c r="AU29" s="8"/>
      <c r="AV29" s="8" t="s">
        <v>202</v>
      </c>
    </row>
    <row r="30" customFormat="false" ht="15" hidden="false" customHeight="false" outlineLevel="0" collapsed="false">
      <c r="A30" s="8" t="s">
        <v>226</v>
      </c>
      <c r="B30" s="8" t="s">
        <v>227</v>
      </c>
      <c r="C30" s="8" t="s">
        <v>107</v>
      </c>
      <c r="D30" s="8" t="s">
        <v>196</v>
      </c>
      <c r="E30" s="8" t="s">
        <v>109</v>
      </c>
      <c r="F30" s="8" t="s">
        <v>228</v>
      </c>
      <c r="G30" s="8" t="s">
        <v>111</v>
      </c>
      <c r="H30" s="11" t="n">
        <v>2995000</v>
      </c>
      <c r="I30" s="8" t="s">
        <v>128</v>
      </c>
      <c r="J30" s="8" t="n">
        <v>79</v>
      </c>
      <c r="K30" s="8" t="s">
        <v>113</v>
      </c>
      <c r="L30" s="8" t="n">
        <v>7</v>
      </c>
      <c r="M30" s="8" t="s">
        <v>198</v>
      </c>
      <c r="N30" s="8" t="n">
        <v>679</v>
      </c>
      <c r="O30" s="8" t="s">
        <v>115</v>
      </c>
      <c r="P30" s="8" t="n">
        <v>500</v>
      </c>
      <c r="Q30" s="8" t="n">
        <v>478</v>
      </c>
      <c r="R30" s="8" t="n">
        <v>70</v>
      </c>
      <c r="S30" s="12" t="n">
        <v>6.33</v>
      </c>
      <c r="T30" s="8" t="s">
        <v>116</v>
      </c>
      <c r="U30" s="13" t="n">
        <f aca="false">IF(S30="","",((1-Assumptions!$B$4)*Assumptions!$B$2+Assumptions!$B$4*Assumptions!$B$3)/S30)</f>
        <v>1.48499210110585</v>
      </c>
      <c r="V30" s="11" t="n">
        <f aca="false">IF(U30="","",U30*Assumptions!$B$5*365*Assumptions!$B$6)</f>
        <v>108404.423380727</v>
      </c>
      <c r="W30" s="8" t="s">
        <v>117</v>
      </c>
      <c r="X30" s="11" t="n">
        <v>60000</v>
      </c>
      <c r="Y30" s="8" t="s">
        <v>199</v>
      </c>
      <c r="Z30" s="11" t="n">
        <f aca="false">IF(OR(G30&lt;&gt;"battery included",H30="",V30=""),"",H30+X30+V30)</f>
        <v>3163404.42338073</v>
      </c>
      <c r="AA30" s="8" t="n">
        <v>527</v>
      </c>
      <c r="AB30" s="8" t="n">
        <v>205</v>
      </c>
      <c r="AC30" s="8" t="n">
        <v>222</v>
      </c>
      <c r="AD30" s="8" t="n">
        <v>7</v>
      </c>
      <c r="AE30" s="8" t="s">
        <v>119</v>
      </c>
      <c r="AF30" s="8" t="s">
        <v>153</v>
      </c>
      <c r="AG30" s="8" t="s">
        <v>209</v>
      </c>
      <c r="AH30" s="8" t="s">
        <v>200</v>
      </c>
      <c r="AI30" s="8" t="s">
        <v>119</v>
      </c>
      <c r="AJ30" s="8" t="s">
        <v>119</v>
      </c>
      <c r="AK30" s="8" t="n">
        <v>180</v>
      </c>
      <c r="AL30" s="8" t="n">
        <v>142.2</v>
      </c>
      <c r="AM30" s="14" t="n">
        <f aca="false">IF(OR(S30="",AL30=""),"",100/S30/AL30*60)</f>
        <v>6.66573346398171</v>
      </c>
      <c r="AN30" s="8" t="n">
        <v>11.7</v>
      </c>
      <c r="AO30" s="8" t="n">
        <v>11</v>
      </c>
      <c r="AP30" s="8" t="s">
        <v>122</v>
      </c>
      <c r="AQ30" s="8" t="s">
        <v>201</v>
      </c>
      <c r="AR30" s="8"/>
      <c r="AS30" s="8"/>
      <c r="AT30" s="8"/>
      <c r="AU30" s="8"/>
      <c r="AV30" s="8" t="s">
        <v>202</v>
      </c>
    </row>
    <row r="31" customFormat="false" ht="15" hidden="false" customHeight="false" outlineLevel="0" collapsed="false">
      <c r="A31" s="8" t="s">
        <v>229</v>
      </c>
      <c r="B31" s="8" t="s">
        <v>230</v>
      </c>
      <c r="C31" s="8" t="s">
        <v>107</v>
      </c>
      <c r="D31" s="8" t="s">
        <v>196</v>
      </c>
      <c r="E31" s="8" t="s">
        <v>109</v>
      </c>
      <c r="F31" s="8" t="s">
        <v>231</v>
      </c>
      <c r="G31" s="8" t="s">
        <v>111</v>
      </c>
      <c r="H31" s="11" t="n">
        <v>3015000</v>
      </c>
      <c r="I31" s="8" t="s">
        <v>112</v>
      </c>
      <c r="J31" s="8" t="n">
        <v>79</v>
      </c>
      <c r="K31" s="8" t="s">
        <v>113</v>
      </c>
      <c r="L31" s="8" t="n">
        <v>6</v>
      </c>
      <c r="M31" s="8" t="s">
        <v>213</v>
      </c>
      <c r="N31" s="8" t="n">
        <v>679</v>
      </c>
      <c r="O31" s="8" t="s">
        <v>115</v>
      </c>
      <c r="P31" s="8" t="n">
        <v>500</v>
      </c>
      <c r="Q31" s="8" t="n">
        <v>478</v>
      </c>
      <c r="R31" s="8" t="n">
        <v>70</v>
      </c>
      <c r="S31" s="12" t="n">
        <v>6.33</v>
      </c>
      <c r="T31" s="8" t="s">
        <v>116</v>
      </c>
      <c r="U31" s="13" t="n">
        <f aca="false">IF(S31="","",((1-Assumptions!$B$4)*Assumptions!$B$2+Assumptions!$B$4*Assumptions!$B$3)/S31)</f>
        <v>1.48499210110585</v>
      </c>
      <c r="V31" s="11" t="n">
        <f aca="false">IF(U31="","",U31*Assumptions!$B$5*365*Assumptions!$B$6)</f>
        <v>108404.423380727</v>
      </c>
      <c r="W31" s="8" t="s">
        <v>117</v>
      </c>
      <c r="X31" s="11" t="n">
        <v>60000</v>
      </c>
      <c r="Y31" s="8" t="s">
        <v>199</v>
      </c>
      <c r="Z31" s="11" t="n">
        <f aca="false">IF(OR(G31&lt;&gt;"battery included",H31="",V31=""),"",H31+X31+V31)</f>
        <v>3183404.42338073</v>
      </c>
      <c r="AA31" s="8" t="n">
        <v>527</v>
      </c>
      <c r="AB31" s="8" t="n">
        <v>205</v>
      </c>
      <c r="AC31" s="8" t="n">
        <v>222</v>
      </c>
      <c r="AD31" s="8" t="n">
        <v>7</v>
      </c>
      <c r="AE31" s="8" t="s">
        <v>119</v>
      </c>
      <c r="AF31" s="8" t="s">
        <v>153</v>
      </c>
      <c r="AG31" s="8" t="s">
        <v>209</v>
      </c>
      <c r="AH31" s="8" t="s">
        <v>200</v>
      </c>
      <c r="AI31" s="8" t="s">
        <v>119</v>
      </c>
      <c r="AJ31" s="8" t="s">
        <v>119</v>
      </c>
      <c r="AK31" s="8" t="n">
        <v>180</v>
      </c>
      <c r="AL31" s="8" t="n">
        <v>142.2</v>
      </c>
      <c r="AM31" s="14" t="n">
        <f aca="false">IF(OR(S31="",AL31=""),"",100/S31/AL31*60)</f>
        <v>6.66573346398171</v>
      </c>
      <c r="AN31" s="8" t="n">
        <v>11.7</v>
      </c>
      <c r="AO31" s="8" t="n">
        <v>11</v>
      </c>
      <c r="AP31" s="8" t="s">
        <v>122</v>
      </c>
      <c r="AQ31" s="8" t="s">
        <v>201</v>
      </c>
      <c r="AR31" s="8"/>
      <c r="AS31" s="8"/>
      <c r="AT31" s="8"/>
      <c r="AU31" s="8"/>
      <c r="AV31" s="8" t="s">
        <v>232</v>
      </c>
    </row>
    <row r="32" customFormat="false" ht="15" hidden="false" customHeight="false" outlineLevel="0" collapsed="false">
      <c r="A32" s="8" t="s">
        <v>233</v>
      </c>
      <c r="B32" s="8" t="s">
        <v>234</v>
      </c>
      <c r="C32" s="8" t="s">
        <v>107</v>
      </c>
      <c r="D32" s="8" t="s">
        <v>196</v>
      </c>
      <c r="E32" s="8" t="s">
        <v>109</v>
      </c>
      <c r="F32" s="8" t="s">
        <v>235</v>
      </c>
      <c r="G32" s="8" t="s">
        <v>164</v>
      </c>
      <c r="H32" s="11" t="n">
        <v>1265000</v>
      </c>
      <c r="I32" s="8" t="s">
        <v>112</v>
      </c>
      <c r="J32" s="8" t="n">
        <v>59</v>
      </c>
      <c r="K32" s="8" t="s">
        <v>113</v>
      </c>
      <c r="L32" s="8" t="n">
        <v>7</v>
      </c>
      <c r="M32" s="8" t="s">
        <v>198</v>
      </c>
      <c r="N32" s="8" t="n">
        <v>521</v>
      </c>
      <c r="O32" s="8" t="s">
        <v>115</v>
      </c>
      <c r="P32" s="8" t="n">
        <v>400</v>
      </c>
      <c r="Q32" s="8"/>
      <c r="R32" s="8"/>
      <c r="S32" s="12" t="n">
        <v>6.78</v>
      </c>
      <c r="T32" s="8" t="s">
        <v>116</v>
      </c>
      <c r="U32" s="13" t="n">
        <f aca="false">IF(S32="","",((1-Assumptions!$B$4)*Assumptions!$B$2+Assumptions!$B$4*Assumptions!$B$3)/S32)</f>
        <v>1.38643067846608</v>
      </c>
      <c r="V32" s="11" t="n">
        <f aca="false">IF(U32="","",U32*Assumptions!$B$5*365*Assumptions!$B$6)</f>
        <v>101209.439528024</v>
      </c>
      <c r="W32" s="8" t="s">
        <v>117</v>
      </c>
      <c r="X32" s="11" t="n">
        <v>60000</v>
      </c>
      <c r="Y32" s="8" t="s">
        <v>199</v>
      </c>
      <c r="Z32" s="11" t="str">
        <f aca="false">IF(OR(G32&lt;&gt;"battery included",H32="",V32=""),"",H32+X32+V32)</f>
        <v/>
      </c>
      <c r="AA32" s="8" t="n">
        <v>527</v>
      </c>
      <c r="AB32" s="8" t="n">
        <v>205</v>
      </c>
      <c r="AC32" s="8" t="n">
        <v>222</v>
      </c>
      <c r="AD32" s="8" t="n">
        <v>6</v>
      </c>
      <c r="AE32" s="8" t="s">
        <v>119</v>
      </c>
      <c r="AF32" s="8" t="s">
        <v>120</v>
      </c>
      <c r="AG32" s="8" t="s">
        <v>121</v>
      </c>
      <c r="AH32" s="8" t="s">
        <v>200</v>
      </c>
      <c r="AI32" s="8" t="s">
        <v>117</v>
      </c>
      <c r="AJ32" s="8" t="s">
        <v>117</v>
      </c>
      <c r="AK32" s="8" t="n">
        <v>140</v>
      </c>
      <c r="AL32" s="8" t="n">
        <v>106.2</v>
      </c>
      <c r="AM32" s="14" t="n">
        <f aca="false">IF(OR(S32="",AL32=""),"",100/S32/AL32*60)</f>
        <v>8.33291668749896</v>
      </c>
      <c r="AN32" s="8" t="n">
        <v>8.7</v>
      </c>
      <c r="AO32" s="8" t="n">
        <v>11</v>
      </c>
      <c r="AP32" s="8" t="s">
        <v>122</v>
      </c>
      <c r="AQ32" s="8" t="s">
        <v>201</v>
      </c>
      <c r="AR32" s="8"/>
      <c r="AS32" s="8"/>
      <c r="AT32" s="8"/>
      <c r="AU32" s="8"/>
      <c r="AV32" s="8" t="s">
        <v>236</v>
      </c>
    </row>
    <row r="33" customFormat="false" ht="15" hidden="false" customHeight="false" outlineLevel="0" collapsed="false">
      <c r="A33" s="8" t="s">
        <v>237</v>
      </c>
      <c r="B33" s="8" t="s">
        <v>238</v>
      </c>
      <c r="C33" s="8" t="s">
        <v>107</v>
      </c>
      <c r="D33" s="8" t="s">
        <v>196</v>
      </c>
      <c r="E33" s="8" t="s">
        <v>109</v>
      </c>
      <c r="F33" s="8" t="s">
        <v>239</v>
      </c>
      <c r="G33" s="8" t="s">
        <v>164</v>
      </c>
      <c r="H33" s="11" t="n">
        <v>1265000</v>
      </c>
      <c r="I33" s="8" t="s">
        <v>112</v>
      </c>
      <c r="J33" s="8" t="n">
        <v>79</v>
      </c>
      <c r="K33" s="8" t="s">
        <v>113</v>
      </c>
      <c r="L33" s="8" t="n">
        <v>7</v>
      </c>
      <c r="M33" s="8" t="s">
        <v>198</v>
      </c>
      <c r="N33" s="8" t="n">
        <v>679</v>
      </c>
      <c r="O33" s="8" t="s">
        <v>115</v>
      </c>
      <c r="P33" s="8" t="n">
        <v>500</v>
      </c>
      <c r="Q33" s="8" t="n">
        <v>478</v>
      </c>
      <c r="R33" s="8" t="n">
        <v>70</v>
      </c>
      <c r="S33" s="12" t="n">
        <v>6.33</v>
      </c>
      <c r="T33" s="8" t="s">
        <v>116</v>
      </c>
      <c r="U33" s="13" t="n">
        <f aca="false">IF(S33="","",((1-Assumptions!$B$4)*Assumptions!$B$2+Assumptions!$B$4*Assumptions!$B$3)/S33)</f>
        <v>1.48499210110585</v>
      </c>
      <c r="V33" s="11" t="n">
        <f aca="false">IF(U33="","",U33*Assumptions!$B$5*365*Assumptions!$B$6)</f>
        <v>108404.423380727</v>
      </c>
      <c r="W33" s="8" t="s">
        <v>117</v>
      </c>
      <c r="X33" s="11" t="n">
        <v>60000</v>
      </c>
      <c r="Y33" s="8" t="s">
        <v>199</v>
      </c>
      <c r="Z33" s="11" t="str">
        <f aca="false">IF(OR(G33&lt;&gt;"battery included",H33="",V33=""),"",H33+X33+V33)</f>
        <v/>
      </c>
      <c r="AA33" s="8" t="n">
        <v>527</v>
      </c>
      <c r="AB33" s="8" t="n">
        <v>205</v>
      </c>
      <c r="AC33" s="8" t="n">
        <v>222</v>
      </c>
      <c r="AD33" s="8" t="n">
        <v>6</v>
      </c>
      <c r="AE33" s="8" t="s">
        <v>119</v>
      </c>
      <c r="AF33" s="8" t="s">
        <v>120</v>
      </c>
      <c r="AG33" s="8" t="s">
        <v>121</v>
      </c>
      <c r="AH33" s="8" t="s">
        <v>200</v>
      </c>
      <c r="AI33" s="8" t="s">
        <v>117</v>
      </c>
      <c r="AJ33" s="8" t="s">
        <v>117</v>
      </c>
      <c r="AK33" s="8" t="n">
        <v>180</v>
      </c>
      <c r="AL33" s="8" t="n">
        <v>142.2</v>
      </c>
      <c r="AM33" s="14" t="n">
        <f aca="false">IF(OR(S33="",AL33=""),"",100/S33/AL33*60)</f>
        <v>6.66573346398171</v>
      </c>
      <c r="AN33" s="8" t="n">
        <v>11.7</v>
      </c>
      <c r="AO33" s="8" t="n">
        <v>11</v>
      </c>
      <c r="AP33" s="8" t="s">
        <v>122</v>
      </c>
      <c r="AQ33" s="8" t="s">
        <v>201</v>
      </c>
      <c r="AR33" s="8"/>
      <c r="AS33" s="8"/>
      <c r="AT33" s="8"/>
      <c r="AU33" s="8"/>
      <c r="AV33" s="8" t="s">
        <v>236</v>
      </c>
    </row>
    <row r="34" customFormat="false" ht="15" hidden="false" customHeight="false" outlineLevel="0" collapsed="false">
      <c r="A34" s="8" t="s">
        <v>240</v>
      </c>
      <c r="B34" s="8" t="s">
        <v>241</v>
      </c>
      <c r="C34" s="8" t="s">
        <v>107</v>
      </c>
      <c r="D34" s="8" t="s">
        <v>196</v>
      </c>
      <c r="E34" s="8" t="s">
        <v>109</v>
      </c>
      <c r="F34" s="8" t="s">
        <v>242</v>
      </c>
      <c r="G34" s="8" t="s">
        <v>164</v>
      </c>
      <c r="H34" s="11" t="n">
        <v>1595000</v>
      </c>
      <c r="I34" s="8" t="s">
        <v>112</v>
      </c>
      <c r="J34" s="8" t="n">
        <v>79</v>
      </c>
      <c r="K34" s="8" t="s">
        <v>113</v>
      </c>
      <c r="L34" s="8" t="n">
        <v>7</v>
      </c>
      <c r="M34" s="8" t="s">
        <v>243</v>
      </c>
      <c r="N34" s="8" t="n">
        <v>679</v>
      </c>
      <c r="O34" s="8" t="s">
        <v>115</v>
      </c>
      <c r="P34" s="8" t="n">
        <v>500</v>
      </c>
      <c r="Q34" s="8" t="n">
        <v>478</v>
      </c>
      <c r="R34" s="8" t="n">
        <v>70</v>
      </c>
      <c r="S34" s="12" t="n">
        <v>6.33</v>
      </c>
      <c r="T34" s="8" t="s">
        <v>116</v>
      </c>
      <c r="U34" s="13" t="n">
        <f aca="false">IF(S34="","",((1-Assumptions!$B$4)*Assumptions!$B$2+Assumptions!$B$4*Assumptions!$B$3)/S34)</f>
        <v>1.48499210110585</v>
      </c>
      <c r="V34" s="11" t="n">
        <f aca="false">IF(U34="","",U34*Assumptions!$B$5*365*Assumptions!$B$6)</f>
        <v>108404.423380727</v>
      </c>
      <c r="W34" s="8" t="s">
        <v>117</v>
      </c>
      <c r="X34" s="11" t="n">
        <v>60000</v>
      </c>
      <c r="Y34" s="8" t="s">
        <v>199</v>
      </c>
      <c r="Z34" s="11" t="str">
        <f aca="false">IF(OR(G34&lt;&gt;"battery included",H34="",V34=""),"",H34+X34+V34)</f>
        <v/>
      </c>
      <c r="AA34" s="8" t="n">
        <v>527</v>
      </c>
      <c r="AB34" s="8" t="n">
        <v>205</v>
      </c>
      <c r="AC34" s="8" t="n">
        <v>222</v>
      </c>
      <c r="AD34" s="8" t="n">
        <v>6</v>
      </c>
      <c r="AE34" s="8" t="s">
        <v>119</v>
      </c>
      <c r="AF34" s="8" t="s">
        <v>141</v>
      </c>
      <c r="AG34" s="8" t="s">
        <v>209</v>
      </c>
      <c r="AH34" s="8" t="s">
        <v>200</v>
      </c>
      <c r="AI34" s="8" t="s">
        <v>119</v>
      </c>
      <c r="AJ34" s="8" t="s">
        <v>117</v>
      </c>
      <c r="AK34" s="8" t="n">
        <v>180</v>
      </c>
      <c r="AL34" s="8" t="n">
        <v>142.2</v>
      </c>
      <c r="AM34" s="14" t="n">
        <f aca="false">IF(OR(S34="",AL34=""),"",100/S34/AL34*60)</f>
        <v>6.66573346398171</v>
      </c>
      <c r="AN34" s="8" t="n">
        <v>11.7</v>
      </c>
      <c r="AO34" s="8" t="n">
        <v>11</v>
      </c>
      <c r="AP34" s="8" t="s">
        <v>122</v>
      </c>
      <c r="AQ34" s="8" t="s">
        <v>201</v>
      </c>
      <c r="AR34" s="8"/>
      <c r="AS34" s="8"/>
      <c r="AT34" s="8"/>
      <c r="AU34" s="8"/>
      <c r="AV34" s="8" t="s">
        <v>236</v>
      </c>
    </row>
    <row r="35" customFormat="false" ht="15" hidden="false" customHeight="false" outlineLevel="0" collapsed="false">
      <c r="A35" s="8" t="s">
        <v>244</v>
      </c>
      <c r="B35" s="8" t="s">
        <v>245</v>
      </c>
      <c r="C35" s="8" t="s">
        <v>107</v>
      </c>
      <c r="D35" s="8" t="s">
        <v>196</v>
      </c>
      <c r="E35" s="8" t="s">
        <v>109</v>
      </c>
      <c r="F35" s="8" t="s">
        <v>246</v>
      </c>
      <c r="G35" s="8" t="s">
        <v>164</v>
      </c>
      <c r="H35" s="11" t="n">
        <v>1605000</v>
      </c>
      <c r="I35" s="8" t="s">
        <v>112</v>
      </c>
      <c r="J35" s="8" t="n">
        <v>70</v>
      </c>
      <c r="K35" s="8" t="s">
        <v>113</v>
      </c>
      <c r="L35" s="8" t="n">
        <v>7</v>
      </c>
      <c r="M35" s="8" t="s">
        <v>243</v>
      </c>
      <c r="N35" s="8" t="n">
        <v>600</v>
      </c>
      <c r="O35" s="8" t="s">
        <v>115</v>
      </c>
      <c r="P35" s="8" t="n">
        <v>450</v>
      </c>
      <c r="Q35" s="8"/>
      <c r="R35" s="8"/>
      <c r="S35" s="12" t="n">
        <v>6.43</v>
      </c>
      <c r="T35" s="8" t="s">
        <v>116</v>
      </c>
      <c r="U35" s="13" t="n">
        <f aca="false">IF(S35="","",((1-Assumptions!$B$4)*Assumptions!$B$2+Assumptions!$B$4*Assumptions!$B$3)/S35)</f>
        <v>1.46189735614308</v>
      </c>
      <c r="V35" s="11" t="n">
        <f aca="false">IF(U35="","",U35*Assumptions!$B$5*365*Assumptions!$B$6)</f>
        <v>106718.506998445</v>
      </c>
      <c r="W35" s="8" t="s">
        <v>117</v>
      </c>
      <c r="X35" s="11" t="n">
        <v>60000</v>
      </c>
      <c r="Y35" s="8" t="s">
        <v>199</v>
      </c>
      <c r="Z35" s="11" t="str">
        <f aca="false">IF(OR(G35&lt;&gt;"battery included",H35="",V35=""),"",H35+X35+V35)</f>
        <v/>
      </c>
      <c r="AA35" s="8" t="n">
        <v>527</v>
      </c>
      <c r="AB35" s="8" t="n">
        <v>205</v>
      </c>
      <c r="AC35" s="8" t="n">
        <v>222</v>
      </c>
      <c r="AD35" s="8" t="n">
        <v>6</v>
      </c>
      <c r="AE35" s="8" t="s">
        <v>119</v>
      </c>
      <c r="AF35" s="8" t="s">
        <v>141</v>
      </c>
      <c r="AG35" s="8" t="s">
        <v>209</v>
      </c>
      <c r="AH35" s="8" t="s">
        <v>200</v>
      </c>
      <c r="AI35" s="8" t="s">
        <v>119</v>
      </c>
      <c r="AJ35" s="8" t="s">
        <v>117</v>
      </c>
      <c r="AK35" s="8" t="n">
        <v>160</v>
      </c>
      <c r="AL35" s="8" t="n">
        <v>126</v>
      </c>
      <c r="AM35" s="14" t="n">
        <f aca="false">IF(OR(S35="",AL35=""),"",100/S35/AL35*60)</f>
        <v>7.40576168258906</v>
      </c>
      <c r="AN35" s="8" t="n">
        <v>10.2</v>
      </c>
      <c r="AO35" s="8" t="n">
        <v>11</v>
      </c>
      <c r="AP35" s="8" t="s">
        <v>122</v>
      </c>
      <c r="AQ35" s="8" t="s">
        <v>201</v>
      </c>
      <c r="AR35" s="8"/>
      <c r="AS35" s="8"/>
      <c r="AT35" s="8"/>
      <c r="AU35" s="8"/>
      <c r="AV35" s="8" t="s">
        <v>236</v>
      </c>
    </row>
    <row r="36" customFormat="false" ht="15" hidden="false" customHeight="false" outlineLevel="0" collapsed="false">
      <c r="A36" s="8" t="s">
        <v>247</v>
      </c>
      <c r="B36" s="8" t="s">
        <v>248</v>
      </c>
      <c r="C36" s="8" t="s">
        <v>107</v>
      </c>
      <c r="D36" s="8" t="s">
        <v>196</v>
      </c>
      <c r="E36" s="8" t="s">
        <v>109</v>
      </c>
      <c r="F36" s="8" t="s">
        <v>249</v>
      </c>
      <c r="G36" s="8" t="s">
        <v>164</v>
      </c>
      <c r="H36" s="11" t="n">
        <v>1785000</v>
      </c>
      <c r="I36" s="8" t="s">
        <v>112</v>
      </c>
      <c r="J36" s="8" t="n">
        <v>79</v>
      </c>
      <c r="K36" s="8" t="s">
        <v>113</v>
      </c>
      <c r="L36" s="8" t="n">
        <v>7</v>
      </c>
      <c r="M36" s="8" t="s">
        <v>243</v>
      </c>
      <c r="N36" s="8" t="n">
        <v>679</v>
      </c>
      <c r="O36" s="8" t="s">
        <v>115</v>
      </c>
      <c r="P36" s="8" t="n">
        <v>500</v>
      </c>
      <c r="Q36" s="8" t="n">
        <v>478</v>
      </c>
      <c r="R36" s="8" t="n">
        <v>70</v>
      </c>
      <c r="S36" s="12" t="n">
        <v>6.33</v>
      </c>
      <c r="T36" s="8" t="s">
        <v>116</v>
      </c>
      <c r="U36" s="13" t="n">
        <f aca="false">IF(S36="","",((1-Assumptions!$B$4)*Assumptions!$B$2+Assumptions!$B$4*Assumptions!$B$3)/S36)</f>
        <v>1.48499210110585</v>
      </c>
      <c r="V36" s="11" t="n">
        <f aca="false">IF(U36="","",U36*Assumptions!$B$5*365*Assumptions!$B$6)</f>
        <v>108404.423380727</v>
      </c>
      <c r="W36" s="8" t="s">
        <v>117</v>
      </c>
      <c r="X36" s="11" t="n">
        <v>60000</v>
      </c>
      <c r="Y36" s="8" t="s">
        <v>199</v>
      </c>
      <c r="Z36" s="11" t="str">
        <f aca="false">IF(OR(G36&lt;&gt;"battery included",H36="",V36=""),"",H36+X36+V36)</f>
        <v/>
      </c>
      <c r="AA36" s="8" t="n">
        <v>527</v>
      </c>
      <c r="AB36" s="8" t="n">
        <v>205</v>
      </c>
      <c r="AC36" s="8" t="n">
        <v>222</v>
      </c>
      <c r="AD36" s="8" t="n">
        <v>7</v>
      </c>
      <c r="AE36" s="8" t="s">
        <v>119</v>
      </c>
      <c r="AF36" s="8" t="s">
        <v>153</v>
      </c>
      <c r="AG36" s="8" t="s">
        <v>209</v>
      </c>
      <c r="AH36" s="8" t="s">
        <v>200</v>
      </c>
      <c r="AI36" s="8" t="s">
        <v>119</v>
      </c>
      <c r="AJ36" s="8" t="s">
        <v>119</v>
      </c>
      <c r="AK36" s="8" t="n">
        <v>180</v>
      </c>
      <c r="AL36" s="8" t="n">
        <v>142.2</v>
      </c>
      <c r="AM36" s="14" t="n">
        <f aca="false">IF(OR(S36="",AL36=""),"",100/S36/AL36*60)</f>
        <v>6.66573346398171</v>
      </c>
      <c r="AN36" s="8" t="n">
        <v>11.7</v>
      </c>
      <c r="AO36" s="8" t="n">
        <v>11</v>
      </c>
      <c r="AP36" s="8" t="s">
        <v>122</v>
      </c>
      <c r="AQ36" s="8" t="s">
        <v>201</v>
      </c>
      <c r="AR36" s="8"/>
      <c r="AS36" s="8"/>
      <c r="AT36" s="8"/>
      <c r="AU36" s="8"/>
      <c r="AV36" s="8" t="s">
        <v>236</v>
      </c>
    </row>
    <row r="37" customFormat="false" ht="15" hidden="false" customHeight="false" outlineLevel="0" collapsed="false">
      <c r="A37" s="8" t="s">
        <v>250</v>
      </c>
      <c r="B37" s="8" t="s">
        <v>251</v>
      </c>
      <c r="C37" s="8" t="s">
        <v>107</v>
      </c>
      <c r="D37" s="8" t="s">
        <v>196</v>
      </c>
      <c r="E37" s="8" t="s">
        <v>109</v>
      </c>
      <c r="F37" s="8" t="s">
        <v>252</v>
      </c>
      <c r="G37" s="8" t="s">
        <v>164</v>
      </c>
      <c r="H37" s="11" t="n">
        <v>1995000</v>
      </c>
      <c r="I37" s="8" t="s">
        <v>112</v>
      </c>
      <c r="J37" s="8" t="n">
        <v>79</v>
      </c>
      <c r="K37" s="8" t="s">
        <v>113</v>
      </c>
      <c r="L37" s="8" t="n">
        <v>7</v>
      </c>
      <c r="M37" s="8" t="s">
        <v>243</v>
      </c>
      <c r="N37" s="8" t="n">
        <v>679</v>
      </c>
      <c r="O37" s="8" t="s">
        <v>115</v>
      </c>
      <c r="P37" s="8" t="n">
        <v>500</v>
      </c>
      <c r="Q37" s="8" t="n">
        <v>478</v>
      </c>
      <c r="R37" s="8" t="n">
        <v>70</v>
      </c>
      <c r="S37" s="12" t="n">
        <v>6.33</v>
      </c>
      <c r="T37" s="8" t="s">
        <v>116</v>
      </c>
      <c r="U37" s="13" t="n">
        <f aca="false">IF(S37="","",((1-Assumptions!$B$4)*Assumptions!$B$2+Assumptions!$B$4*Assumptions!$B$3)/S37)</f>
        <v>1.48499210110585</v>
      </c>
      <c r="V37" s="11" t="n">
        <f aca="false">IF(U37="","",U37*Assumptions!$B$5*365*Assumptions!$B$6)</f>
        <v>108404.423380727</v>
      </c>
      <c r="W37" s="8" t="s">
        <v>117</v>
      </c>
      <c r="X37" s="11" t="n">
        <v>60000</v>
      </c>
      <c r="Y37" s="8" t="s">
        <v>199</v>
      </c>
      <c r="Z37" s="11" t="str">
        <f aca="false">IF(OR(G37&lt;&gt;"battery included",H37="",V37=""),"",H37+X37+V37)</f>
        <v/>
      </c>
      <c r="AA37" s="8" t="n">
        <v>527</v>
      </c>
      <c r="AB37" s="8" t="n">
        <v>205</v>
      </c>
      <c r="AC37" s="8" t="n">
        <v>222</v>
      </c>
      <c r="AD37" s="8" t="n">
        <v>7</v>
      </c>
      <c r="AE37" s="8" t="s">
        <v>119</v>
      </c>
      <c r="AF37" s="8" t="s">
        <v>153</v>
      </c>
      <c r="AG37" s="8" t="s">
        <v>209</v>
      </c>
      <c r="AH37" s="8" t="s">
        <v>200</v>
      </c>
      <c r="AI37" s="8" t="s">
        <v>119</v>
      </c>
      <c r="AJ37" s="8" t="s">
        <v>119</v>
      </c>
      <c r="AK37" s="8" t="n">
        <v>180</v>
      </c>
      <c r="AL37" s="8" t="n">
        <v>142.2</v>
      </c>
      <c r="AM37" s="14" t="n">
        <f aca="false">IF(OR(S37="",AL37=""),"",100/S37/AL37*60)</f>
        <v>6.66573346398171</v>
      </c>
      <c r="AN37" s="8" t="n">
        <v>11.7</v>
      </c>
      <c r="AO37" s="8" t="n">
        <v>11</v>
      </c>
      <c r="AP37" s="8" t="s">
        <v>122</v>
      </c>
      <c r="AQ37" s="8" t="s">
        <v>201</v>
      </c>
      <c r="AR37" s="8"/>
      <c r="AS37" s="8"/>
      <c r="AT37" s="8"/>
      <c r="AU37" s="8"/>
      <c r="AV37" s="8" t="s">
        <v>236</v>
      </c>
    </row>
    <row r="38" customFormat="false" ht="15" hidden="false" customHeight="false" outlineLevel="0" collapsed="false">
      <c r="A38" s="8" t="s">
        <v>253</v>
      </c>
      <c r="B38" s="8" t="s">
        <v>254</v>
      </c>
      <c r="C38" s="8" t="s">
        <v>107</v>
      </c>
      <c r="D38" s="8" t="s">
        <v>255</v>
      </c>
      <c r="E38" s="8" t="s">
        <v>256</v>
      </c>
      <c r="F38" s="8" t="s">
        <v>257</v>
      </c>
      <c r="G38" s="8" t="s">
        <v>111</v>
      </c>
      <c r="H38" s="11" t="n">
        <v>2190000</v>
      </c>
      <c r="I38" s="8" t="s">
        <v>112</v>
      </c>
      <c r="J38" s="8" t="n">
        <v>59</v>
      </c>
      <c r="K38" s="8" t="s">
        <v>113</v>
      </c>
      <c r="L38" s="8" t="n">
        <v>5</v>
      </c>
      <c r="M38" s="8" t="s">
        <v>114</v>
      </c>
      <c r="N38" s="8" t="n">
        <v>522</v>
      </c>
      <c r="O38" s="8" t="s">
        <v>115</v>
      </c>
      <c r="P38" s="8" t="n">
        <v>400</v>
      </c>
      <c r="Q38" s="8"/>
      <c r="R38" s="8"/>
      <c r="S38" s="12" t="n">
        <v>6.78</v>
      </c>
      <c r="T38" s="8" t="s">
        <v>116</v>
      </c>
      <c r="U38" s="13" t="n">
        <f aca="false">IF(S38="","",((1-Assumptions!$B$4)*Assumptions!$B$2+Assumptions!$B$4*Assumptions!$B$3)/S38)</f>
        <v>1.38643067846608</v>
      </c>
      <c r="V38" s="11" t="n">
        <f aca="false">IF(U38="","",U38*Assumptions!$B$5*365*Assumptions!$B$6)</f>
        <v>101209.439528024</v>
      </c>
      <c r="W38" s="8" t="s">
        <v>117</v>
      </c>
      <c r="X38" s="11" t="n">
        <v>60000</v>
      </c>
      <c r="Y38" s="8" t="s">
        <v>199</v>
      </c>
      <c r="Z38" s="11" t="n">
        <f aca="false">IF(OR(G38&lt;&gt;"battery included",H38="",V38=""),"",H38+X38+V38)</f>
        <v>2351209.43952802</v>
      </c>
      <c r="AA38" s="8" t="n">
        <v>663</v>
      </c>
      <c r="AB38" s="8" t="n">
        <v>207</v>
      </c>
      <c r="AC38" s="8" t="n">
        <v>218</v>
      </c>
      <c r="AD38" s="8" t="n">
        <v>6</v>
      </c>
      <c r="AE38" s="8" t="s">
        <v>119</v>
      </c>
      <c r="AF38" s="8" t="s">
        <v>120</v>
      </c>
      <c r="AG38" s="8" t="s">
        <v>121</v>
      </c>
      <c r="AH38" s="8" t="s">
        <v>157</v>
      </c>
      <c r="AI38" s="8" t="s">
        <v>117</v>
      </c>
      <c r="AJ38" s="8" t="s">
        <v>117</v>
      </c>
      <c r="AK38" s="8" t="n">
        <v>140</v>
      </c>
      <c r="AL38" s="8" t="n">
        <v>106.2</v>
      </c>
      <c r="AM38" s="14" t="n">
        <f aca="false">IF(OR(S38="",AL38=""),"",100/S38/AL38*60)</f>
        <v>8.33291668749896</v>
      </c>
      <c r="AN38" s="8" t="n">
        <v>8.7</v>
      </c>
      <c r="AO38" s="8" t="n">
        <v>11</v>
      </c>
      <c r="AP38" s="8" t="s">
        <v>122</v>
      </c>
      <c r="AQ38" s="8" t="s">
        <v>258</v>
      </c>
      <c r="AR38" s="8" t="n">
        <v>32</v>
      </c>
      <c r="AS38" s="8" t="n">
        <v>45</v>
      </c>
      <c r="AT38" s="8"/>
      <c r="AU38" s="8"/>
      <c r="AV38" s="8" t="s">
        <v>259</v>
      </c>
    </row>
    <row r="39" customFormat="false" ht="15" hidden="false" customHeight="false" outlineLevel="0" collapsed="false">
      <c r="A39" s="8" t="s">
        <v>260</v>
      </c>
      <c r="B39" s="8" t="s">
        <v>261</v>
      </c>
      <c r="C39" s="8" t="s">
        <v>107</v>
      </c>
      <c r="D39" s="8" t="s">
        <v>255</v>
      </c>
      <c r="E39" s="8" t="s">
        <v>256</v>
      </c>
      <c r="F39" s="8" t="s">
        <v>262</v>
      </c>
      <c r="G39" s="8" t="s">
        <v>111</v>
      </c>
      <c r="H39" s="11" t="n">
        <v>2490000</v>
      </c>
      <c r="I39" s="8" t="s">
        <v>112</v>
      </c>
      <c r="J39" s="8" t="n">
        <v>59</v>
      </c>
      <c r="K39" s="8" t="s">
        <v>113</v>
      </c>
      <c r="L39" s="8" t="n">
        <v>5</v>
      </c>
      <c r="M39" s="8" t="s">
        <v>114</v>
      </c>
      <c r="N39" s="8" t="n">
        <v>522</v>
      </c>
      <c r="O39" s="8" t="s">
        <v>115</v>
      </c>
      <c r="P39" s="8" t="n">
        <v>400</v>
      </c>
      <c r="Q39" s="8"/>
      <c r="R39" s="8"/>
      <c r="S39" s="12" t="n">
        <v>6.78</v>
      </c>
      <c r="T39" s="8" t="s">
        <v>116</v>
      </c>
      <c r="U39" s="13" t="n">
        <f aca="false">IF(S39="","",((1-Assumptions!$B$4)*Assumptions!$B$2+Assumptions!$B$4*Assumptions!$B$3)/S39)</f>
        <v>1.38643067846608</v>
      </c>
      <c r="V39" s="11" t="n">
        <f aca="false">IF(U39="","",U39*Assumptions!$B$5*365*Assumptions!$B$6)</f>
        <v>101209.439528024</v>
      </c>
      <c r="W39" s="8" t="s">
        <v>117</v>
      </c>
      <c r="X39" s="11" t="n">
        <v>60000</v>
      </c>
      <c r="Y39" s="8" t="s">
        <v>199</v>
      </c>
      <c r="Z39" s="11" t="n">
        <f aca="false">IF(OR(G39&lt;&gt;"battery included",H39="",V39=""),"",H39+X39+V39)</f>
        <v>2651209.43952802</v>
      </c>
      <c r="AA39" s="8" t="n">
        <v>663</v>
      </c>
      <c r="AB39" s="8" t="n">
        <v>207</v>
      </c>
      <c r="AC39" s="8" t="n">
        <v>218</v>
      </c>
      <c r="AD39" s="8" t="n">
        <v>6</v>
      </c>
      <c r="AE39" s="8" t="s">
        <v>119</v>
      </c>
      <c r="AF39" s="8" t="s">
        <v>141</v>
      </c>
      <c r="AG39" s="8" t="s">
        <v>121</v>
      </c>
      <c r="AH39" s="8" t="s">
        <v>157</v>
      </c>
      <c r="AI39" s="8" t="s">
        <v>117</v>
      </c>
      <c r="AJ39" s="8" t="s">
        <v>117</v>
      </c>
      <c r="AK39" s="8" t="n">
        <v>140</v>
      </c>
      <c r="AL39" s="8" t="n">
        <v>106.2</v>
      </c>
      <c r="AM39" s="14" t="n">
        <f aca="false">IF(OR(S39="",AL39=""),"",100/S39/AL39*60)</f>
        <v>8.33291668749896</v>
      </c>
      <c r="AN39" s="8" t="n">
        <v>8.7</v>
      </c>
      <c r="AO39" s="8" t="n">
        <v>11</v>
      </c>
      <c r="AP39" s="8" t="s">
        <v>122</v>
      </c>
      <c r="AQ39" s="8" t="s">
        <v>258</v>
      </c>
      <c r="AR39" s="8" t="n">
        <v>32</v>
      </c>
      <c r="AS39" s="8" t="n">
        <v>45</v>
      </c>
      <c r="AT39" s="8"/>
      <c r="AU39" s="8"/>
      <c r="AV39" s="8" t="s">
        <v>259</v>
      </c>
    </row>
    <row r="40" customFormat="false" ht="15" hidden="false" customHeight="false" outlineLevel="0" collapsed="false">
      <c r="A40" s="8" t="s">
        <v>263</v>
      </c>
      <c r="B40" s="8" t="s">
        <v>264</v>
      </c>
      <c r="C40" s="8" t="s">
        <v>107</v>
      </c>
      <c r="D40" s="8" t="s">
        <v>255</v>
      </c>
      <c r="E40" s="8" t="s">
        <v>256</v>
      </c>
      <c r="F40" s="8" t="s">
        <v>265</v>
      </c>
      <c r="G40" s="8" t="s">
        <v>111</v>
      </c>
      <c r="H40" s="11" t="n">
        <v>2650000</v>
      </c>
      <c r="I40" s="8" t="s">
        <v>128</v>
      </c>
      <c r="J40" s="8" t="n">
        <v>79</v>
      </c>
      <c r="K40" s="8" t="s">
        <v>113</v>
      </c>
      <c r="L40" s="8" t="n">
        <v>5</v>
      </c>
      <c r="M40" s="8" t="s">
        <v>114</v>
      </c>
      <c r="N40" s="8" t="n">
        <v>656</v>
      </c>
      <c r="O40" s="8" t="s">
        <v>115</v>
      </c>
      <c r="P40" s="8" t="n">
        <v>500</v>
      </c>
      <c r="Q40" s="8" t="n">
        <v>456</v>
      </c>
      <c r="R40" s="8" t="n">
        <v>70</v>
      </c>
      <c r="S40" s="12" t="n">
        <v>6.33</v>
      </c>
      <c r="T40" s="8" t="s">
        <v>116</v>
      </c>
      <c r="U40" s="13" t="n">
        <f aca="false">IF(S40="","",((1-Assumptions!$B$4)*Assumptions!$B$2+Assumptions!$B$4*Assumptions!$B$3)/S40)</f>
        <v>1.48499210110585</v>
      </c>
      <c r="V40" s="11" t="n">
        <f aca="false">IF(U40="","",U40*Assumptions!$B$5*365*Assumptions!$B$6)</f>
        <v>108404.423380727</v>
      </c>
      <c r="W40" s="8" t="s">
        <v>117</v>
      </c>
      <c r="X40" s="11" t="n">
        <v>60000</v>
      </c>
      <c r="Y40" s="8" t="s">
        <v>199</v>
      </c>
      <c r="Z40" s="11" t="n">
        <f aca="false">IF(OR(G40&lt;&gt;"battery included",H40="",V40=""),"",H40+X40+V40)</f>
        <v>2818404.42338073</v>
      </c>
      <c r="AA40" s="8" t="n">
        <v>663</v>
      </c>
      <c r="AB40" s="8" t="n">
        <v>207</v>
      </c>
      <c r="AC40" s="8" t="n">
        <v>218</v>
      </c>
      <c r="AD40" s="8" t="n">
        <v>6</v>
      </c>
      <c r="AE40" s="8" t="s">
        <v>119</v>
      </c>
      <c r="AF40" s="8" t="s">
        <v>141</v>
      </c>
      <c r="AG40" s="8" t="s">
        <v>121</v>
      </c>
      <c r="AH40" s="8" t="s">
        <v>157</v>
      </c>
      <c r="AI40" s="8" t="s">
        <v>117</v>
      </c>
      <c r="AJ40" s="8" t="s">
        <v>117</v>
      </c>
      <c r="AK40" s="8" t="n">
        <v>180</v>
      </c>
      <c r="AL40" s="8" t="n">
        <v>142.2</v>
      </c>
      <c r="AM40" s="14" t="n">
        <f aca="false">IF(OR(S40="",AL40=""),"",100/S40/AL40*60)</f>
        <v>6.66573346398171</v>
      </c>
      <c r="AN40" s="8" t="n">
        <v>11.7</v>
      </c>
      <c r="AO40" s="8" t="n">
        <v>11</v>
      </c>
      <c r="AP40" s="8" t="s">
        <v>122</v>
      </c>
      <c r="AQ40" s="8" t="s">
        <v>258</v>
      </c>
      <c r="AR40" s="8" t="n">
        <v>32</v>
      </c>
      <c r="AS40" s="8" t="n">
        <v>45</v>
      </c>
      <c r="AT40" s="8"/>
      <c r="AU40" s="8"/>
      <c r="AV40" s="8" t="s">
        <v>266</v>
      </c>
    </row>
    <row r="41" customFormat="false" ht="15" hidden="false" customHeight="false" outlineLevel="0" collapsed="false">
      <c r="A41" s="8" t="s">
        <v>267</v>
      </c>
      <c r="B41" s="8" t="s">
        <v>268</v>
      </c>
      <c r="C41" s="8" t="s">
        <v>107</v>
      </c>
      <c r="D41" s="8" t="s">
        <v>255</v>
      </c>
      <c r="E41" s="8" t="s">
        <v>256</v>
      </c>
      <c r="F41" s="8" t="s">
        <v>269</v>
      </c>
      <c r="G41" s="8" t="s">
        <v>111</v>
      </c>
      <c r="H41" s="11" t="n">
        <v>2790000</v>
      </c>
      <c r="I41" s="8" t="s">
        <v>112</v>
      </c>
      <c r="J41" s="8" t="n">
        <v>59</v>
      </c>
      <c r="K41" s="8" t="s">
        <v>113</v>
      </c>
      <c r="L41" s="8" t="n">
        <v>5</v>
      </c>
      <c r="M41" s="8" t="s">
        <v>114</v>
      </c>
      <c r="N41" s="8" t="n">
        <v>522</v>
      </c>
      <c r="O41" s="8" t="s">
        <v>115</v>
      </c>
      <c r="P41" s="8" t="n">
        <v>400</v>
      </c>
      <c r="Q41" s="8"/>
      <c r="R41" s="8"/>
      <c r="S41" s="12" t="n">
        <v>6.78</v>
      </c>
      <c r="T41" s="8" t="s">
        <v>116</v>
      </c>
      <c r="U41" s="13" t="n">
        <f aca="false">IF(S41="","",((1-Assumptions!$B$4)*Assumptions!$B$2+Assumptions!$B$4*Assumptions!$B$3)/S41)</f>
        <v>1.38643067846608</v>
      </c>
      <c r="V41" s="11" t="n">
        <f aca="false">IF(U41="","",U41*Assumptions!$B$5*365*Assumptions!$B$6)</f>
        <v>101209.439528024</v>
      </c>
      <c r="W41" s="8" t="s">
        <v>117</v>
      </c>
      <c r="X41" s="11" t="n">
        <v>60000</v>
      </c>
      <c r="Y41" s="8" t="s">
        <v>199</v>
      </c>
      <c r="Z41" s="11" t="n">
        <f aca="false">IF(OR(G41&lt;&gt;"battery included",H41="",V41=""),"",H41+X41+V41)</f>
        <v>2951209.43952802</v>
      </c>
      <c r="AA41" s="8" t="n">
        <v>663</v>
      </c>
      <c r="AB41" s="8" t="n">
        <v>207</v>
      </c>
      <c r="AC41" s="8" t="n">
        <v>218</v>
      </c>
      <c r="AD41" s="8" t="n">
        <v>7</v>
      </c>
      <c r="AE41" s="8" t="s">
        <v>119</v>
      </c>
      <c r="AF41" s="8" t="s">
        <v>141</v>
      </c>
      <c r="AG41" s="8" t="s">
        <v>209</v>
      </c>
      <c r="AH41" s="8" t="s">
        <v>157</v>
      </c>
      <c r="AI41" s="8" t="s">
        <v>119</v>
      </c>
      <c r="AJ41" s="8" t="s">
        <v>119</v>
      </c>
      <c r="AK41" s="8" t="n">
        <v>140</v>
      </c>
      <c r="AL41" s="8" t="n">
        <v>106.2</v>
      </c>
      <c r="AM41" s="14" t="n">
        <f aca="false">IF(OR(S41="",AL41=""),"",100/S41/AL41*60)</f>
        <v>8.33291668749896</v>
      </c>
      <c r="AN41" s="8" t="n">
        <v>8.7</v>
      </c>
      <c r="AO41" s="8" t="n">
        <v>11</v>
      </c>
      <c r="AP41" s="8" t="s">
        <v>122</v>
      </c>
      <c r="AQ41" s="8" t="s">
        <v>258</v>
      </c>
      <c r="AR41" s="8" t="n">
        <v>32</v>
      </c>
      <c r="AS41" s="8" t="n">
        <v>45</v>
      </c>
      <c r="AT41" s="8"/>
      <c r="AU41" s="8"/>
      <c r="AV41" s="8" t="s">
        <v>259</v>
      </c>
    </row>
    <row r="42" customFormat="false" ht="15" hidden="false" customHeight="false" outlineLevel="0" collapsed="false">
      <c r="A42" s="8" t="s">
        <v>270</v>
      </c>
      <c r="B42" s="8" t="s">
        <v>271</v>
      </c>
      <c r="C42" s="8" t="s">
        <v>107</v>
      </c>
      <c r="D42" s="8" t="s">
        <v>255</v>
      </c>
      <c r="E42" s="8" t="s">
        <v>256</v>
      </c>
      <c r="F42" s="8" t="s">
        <v>272</v>
      </c>
      <c r="G42" s="8" t="s">
        <v>111</v>
      </c>
      <c r="H42" s="11" t="n">
        <v>2935000</v>
      </c>
      <c r="I42" s="8" t="s">
        <v>112</v>
      </c>
      <c r="J42" s="8" t="n">
        <v>79</v>
      </c>
      <c r="K42" s="8" t="s">
        <v>113</v>
      </c>
      <c r="L42" s="8" t="n">
        <v>5</v>
      </c>
      <c r="M42" s="8" t="s">
        <v>114</v>
      </c>
      <c r="N42" s="8" t="n">
        <v>656</v>
      </c>
      <c r="O42" s="8" t="s">
        <v>115</v>
      </c>
      <c r="P42" s="8" t="n">
        <v>500</v>
      </c>
      <c r="Q42" s="8" t="n">
        <v>456</v>
      </c>
      <c r="R42" s="8" t="n">
        <v>70</v>
      </c>
      <c r="S42" s="12" t="n">
        <v>6.33</v>
      </c>
      <c r="T42" s="8" t="s">
        <v>116</v>
      </c>
      <c r="U42" s="13" t="n">
        <f aca="false">IF(S42="","",((1-Assumptions!$B$4)*Assumptions!$B$2+Assumptions!$B$4*Assumptions!$B$3)/S42)</f>
        <v>1.48499210110585</v>
      </c>
      <c r="V42" s="11" t="n">
        <f aca="false">IF(U42="","",U42*Assumptions!$B$5*365*Assumptions!$B$6)</f>
        <v>108404.423380727</v>
      </c>
      <c r="W42" s="8" t="s">
        <v>117</v>
      </c>
      <c r="X42" s="11" t="n">
        <v>60000</v>
      </c>
      <c r="Y42" s="8" t="s">
        <v>199</v>
      </c>
      <c r="Z42" s="11" t="n">
        <f aca="false">IF(OR(G42&lt;&gt;"battery included",H42="",V42=""),"",H42+X42+V42)</f>
        <v>3103404.42338073</v>
      </c>
      <c r="AA42" s="8"/>
      <c r="AB42" s="8"/>
      <c r="AC42" s="8" t="n">
        <v>218</v>
      </c>
      <c r="AD42" s="8"/>
      <c r="AE42" s="8" t="s">
        <v>157</v>
      </c>
      <c r="AF42" s="8" t="s">
        <v>157</v>
      </c>
      <c r="AG42" s="8" t="s">
        <v>157</v>
      </c>
      <c r="AH42" s="8" t="s">
        <v>157</v>
      </c>
      <c r="AI42" s="8" t="s">
        <v>157</v>
      </c>
      <c r="AJ42" s="8" t="s">
        <v>119</v>
      </c>
      <c r="AK42" s="8" t="n">
        <v>180</v>
      </c>
      <c r="AL42" s="8" t="n">
        <v>142.2</v>
      </c>
      <c r="AM42" s="14" t="n">
        <f aca="false">IF(OR(S42="",AL42=""),"",100/S42/AL42*60)</f>
        <v>6.66573346398171</v>
      </c>
      <c r="AN42" s="8"/>
      <c r="AO42" s="8"/>
      <c r="AP42" s="8" t="s">
        <v>122</v>
      </c>
      <c r="AQ42" s="8" t="s">
        <v>258</v>
      </c>
      <c r="AR42" s="8" t="n">
        <v>32</v>
      </c>
      <c r="AS42" s="8" t="n">
        <v>45</v>
      </c>
      <c r="AT42" s="8"/>
      <c r="AU42" s="8"/>
      <c r="AV42" s="8" t="s">
        <v>273</v>
      </c>
    </row>
    <row r="43" customFormat="false" ht="15" hidden="false" customHeight="false" outlineLevel="0" collapsed="false">
      <c r="A43" s="8" t="s">
        <v>274</v>
      </c>
      <c r="B43" s="8" t="s">
        <v>275</v>
      </c>
      <c r="C43" s="8" t="s">
        <v>107</v>
      </c>
      <c r="D43" s="8" t="s">
        <v>255</v>
      </c>
      <c r="E43" s="8" t="s">
        <v>256</v>
      </c>
      <c r="F43" s="8" t="s">
        <v>276</v>
      </c>
      <c r="G43" s="8" t="s">
        <v>111</v>
      </c>
      <c r="H43" s="11" t="n">
        <v>3050000</v>
      </c>
      <c r="I43" s="8" t="s">
        <v>112</v>
      </c>
      <c r="J43" s="8" t="n">
        <v>79</v>
      </c>
      <c r="K43" s="8" t="s">
        <v>113</v>
      </c>
      <c r="L43" s="8" t="n">
        <v>5</v>
      </c>
      <c r="M43" s="8" t="s">
        <v>114</v>
      </c>
      <c r="N43" s="8" t="n">
        <v>656</v>
      </c>
      <c r="O43" s="8" t="s">
        <v>115</v>
      </c>
      <c r="P43" s="8" t="n">
        <v>500</v>
      </c>
      <c r="Q43" s="8" t="n">
        <v>456</v>
      </c>
      <c r="R43" s="8" t="n">
        <v>70</v>
      </c>
      <c r="S43" s="12" t="n">
        <v>6.33</v>
      </c>
      <c r="T43" s="8" t="s">
        <v>116</v>
      </c>
      <c r="U43" s="13" t="n">
        <f aca="false">IF(S43="","",((1-Assumptions!$B$4)*Assumptions!$B$2+Assumptions!$B$4*Assumptions!$B$3)/S43)</f>
        <v>1.48499210110585</v>
      </c>
      <c r="V43" s="11" t="n">
        <f aca="false">IF(U43="","",U43*Assumptions!$B$5*365*Assumptions!$B$6)</f>
        <v>108404.423380727</v>
      </c>
      <c r="W43" s="8" t="s">
        <v>117</v>
      </c>
      <c r="X43" s="11" t="n">
        <v>60000</v>
      </c>
      <c r="Y43" s="8" t="s">
        <v>199</v>
      </c>
      <c r="Z43" s="11" t="n">
        <f aca="false">IF(OR(G43&lt;&gt;"battery included",H43="",V43=""),"",H43+X43+V43)</f>
        <v>3218404.42338073</v>
      </c>
      <c r="AA43" s="8" t="n">
        <v>663</v>
      </c>
      <c r="AB43" s="8" t="n">
        <v>207</v>
      </c>
      <c r="AC43" s="8" t="n">
        <v>218</v>
      </c>
      <c r="AD43" s="8" t="n">
        <v>7</v>
      </c>
      <c r="AE43" s="8" t="s">
        <v>119</v>
      </c>
      <c r="AF43" s="8" t="s">
        <v>153</v>
      </c>
      <c r="AG43" s="8" t="s">
        <v>209</v>
      </c>
      <c r="AH43" s="8" t="s">
        <v>157</v>
      </c>
      <c r="AI43" s="8" t="s">
        <v>119</v>
      </c>
      <c r="AJ43" s="8" t="s">
        <v>119</v>
      </c>
      <c r="AK43" s="8" t="n">
        <v>180</v>
      </c>
      <c r="AL43" s="8" t="n">
        <v>142.2</v>
      </c>
      <c r="AM43" s="14" t="n">
        <f aca="false">IF(OR(S43="",AL43=""),"",100/S43/AL43*60)</f>
        <v>6.66573346398171</v>
      </c>
      <c r="AN43" s="8" t="n">
        <v>11.7</v>
      </c>
      <c r="AO43" s="8" t="n">
        <v>11</v>
      </c>
      <c r="AP43" s="8" t="s">
        <v>122</v>
      </c>
      <c r="AQ43" s="8" t="s">
        <v>258</v>
      </c>
      <c r="AR43" s="8" t="n">
        <v>32</v>
      </c>
      <c r="AS43" s="8" t="n">
        <v>45</v>
      </c>
      <c r="AT43" s="8"/>
      <c r="AU43" s="8"/>
      <c r="AV43" s="8" t="s">
        <v>259</v>
      </c>
    </row>
    <row r="44" customFormat="false" ht="15" hidden="false" customHeight="false" outlineLevel="0" collapsed="false">
      <c r="A44" s="8" t="s">
        <v>277</v>
      </c>
      <c r="B44" s="8" t="s">
        <v>278</v>
      </c>
      <c r="C44" s="8" t="s">
        <v>107</v>
      </c>
      <c r="D44" s="8" t="s">
        <v>255</v>
      </c>
      <c r="E44" s="8" t="s">
        <v>256</v>
      </c>
      <c r="F44" s="8" t="s">
        <v>279</v>
      </c>
      <c r="G44" s="8" t="s">
        <v>164</v>
      </c>
      <c r="H44" s="11" t="n">
        <v>1390000</v>
      </c>
      <c r="I44" s="8" t="s">
        <v>112</v>
      </c>
      <c r="J44" s="8" t="n">
        <v>59</v>
      </c>
      <c r="K44" s="8" t="s">
        <v>113</v>
      </c>
      <c r="L44" s="8" t="n">
        <v>5</v>
      </c>
      <c r="M44" s="8" t="s">
        <v>114</v>
      </c>
      <c r="N44" s="8" t="n">
        <v>522</v>
      </c>
      <c r="O44" s="8" t="s">
        <v>115</v>
      </c>
      <c r="P44" s="8" t="n">
        <v>400</v>
      </c>
      <c r="Q44" s="8"/>
      <c r="R44" s="8"/>
      <c r="S44" s="12" t="n">
        <v>6.78</v>
      </c>
      <c r="T44" s="8" t="s">
        <v>116</v>
      </c>
      <c r="U44" s="13" t="n">
        <f aca="false">IF(S44="","",((1-Assumptions!$B$4)*Assumptions!$B$2+Assumptions!$B$4*Assumptions!$B$3)/S44)</f>
        <v>1.38643067846608</v>
      </c>
      <c r="V44" s="11" t="n">
        <f aca="false">IF(U44="","",U44*Assumptions!$B$5*365*Assumptions!$B$6)</f>
        <v>101209.439528024</v>
      </c>
      <c r="W44" s="8" t="s">
        <v>117</v>
      </c>
      <c r="X44" s="11" t="n">
        <v>60000</v>
      </c>
      <c r="Y44" s="8" t="s">
        <v>199</v>
      </c>
      <c r="Z44" s="11" t="str">
        <f aca="false">IF(OR(G44&lt;&gt;"battery included",H44="",V44=""),"",H44+X44+V44)</f>
        <v/>
      </c>
      <c r="AA44" s="8" t="n">
        <v>663</v>
      </c>
      <c r="AB44" s="8" t="n">
        <v>207</v>
      </c>
      <c r="AC44" s="8" t="n">
        <v>218</v>
      </c>
      <c r="AD44" s="8" t="n">
        <v>6</v>
      </c>
      <c r="AE44" s="8" t="s">
        <v>119</v>
      </c>
      <c r="AF44" s="8" t="s">
        <v>120</v>
      </c>
      <c r="AG44" s="8" t="s">
        <v>121</v>
      </c>
      <c r="AH44" s="8" t="s">
        <v>157</v>
      </c>
      <c r="AI44" s="8" t="s">
        <v>117</v>
      </c>
      <c r="AJ44" s="8" t="s">
        <v>117</v>
      </c>
      <c r="AK44" s="8" t="n">
        <v>140</v>
      </c>
      <c r="AL44" s="8" t="n">
        <v>106.2</v>
      </c>
      <c r="AM44" s="14" t="n">
        <f aca="false">IF(OR(S44="",AL44=""),"",100/S44/AL44*60)</f>
        <v>8.33291668749896</v>
      </c>
      <c r="AN44" s="8" t="n">
        <v>8.7</v>
      </c>
      <c r="AO44" s="8" t="n">
        <v>11</v>
      </c>
      <c r="AP44" s="8" t="s">
        <v>122</v>
      </c>
      <c r="AQ44" s="8" t="s">
        <v>258</v>
      </c>
      <c r="AR44" s="8" t="n">
        <v>32</v>
      </c>
      <c r="AS44" s="8" t="n">
        <v>45</v>
      </c>
      <c r="AT44" s="8"/>
      <c r="AU44" s="8"/>
      <c r="AV44" s="8" t="s">
        <v>280</v>
      </c>
    </row>
    <row r="45" customFormat="false" ht="15" hidden="false" customHeight="false" outlineLevel="0" collapsed="false">
      <c r="A45" s="8" t="s">
        <v>281</v>
      </c>
      <c r="B45" s="8" t="s">
        <v>282</v>
      </c>
      <c r="C45" s="8" t="s">
        <v>107</v>
      </c>
      <c r="D45" s="8" t="s">
        <v>255</v>
      </c>
      <c r="E45" s="8" t="s">
        <v>256</v>
      </c>
      <c r="F45" s="8" t="s">
        <v>283</v>
      </c>
      <c r="G45" s="8" t="s">
        <v>164</v>
      </c>
      <c r="H45" s="11" t="n">
        <v>1650000</v>
      </c>
      <c r="I45" s="8" t="s">
        <v>112</v>
      </c>
      <c r="J45" s="8" t="n">
        <v>79</v>
      </c>
      <c r="K45" s="8" t="s">
        <v>113</v>
      </c>
      <c r="L45" s="8" t="n">
        <v>5</v>
      </c>
      <c r="M45" s="8" t="s">
        <v>114</v>
      </c>
      <c r="N45" s="8" t="n">
        <v>656</v>
      </c>
      <c r="O45" s="8" t="s">
        <v>115</v>
      </c>
      <c r="P45" s="8" t="n">
        <v>500</v>
      </c>
      <c r="Q45" s="8" t="n">
        <v>456</v>
      </c>
      <c r="R45" s="8" t="n">
        <v>70</v>
      </c>
      <c r="S45" s="12" t="n">
        <v>6.33</v>
      </c>
      <c r="T45" s="8" t="s">
        <v>116</v>
      </c>
      <c r="U45" s="13" t="n">
        <f aca="false">IF(S45="","",((1-Assumptions!$B$4)*Assumptions!$B$2+Assumptions!$B$4*Assumptions!$B$3)/S45)</f>
        <v>1.48499210110585</v>
      </c>
      <c r="V45" s="11" t="n">
        <f aca="false">IF(U45="","",U45*Assumptions!$B$5*365*Assumptions!$B$6)</f>
        <v>108404.423380727</v>
      </c>
      <c r="W45" s="8" t="s">
        <v>117</v>
      </c>
      <c r="X45" s="11" t="n">
        <v>60000</v>
      </c>
      <c r="Y45" s="8" t="s">
        <v>199</v>
      </c>
      <c r="Z45" s="11" t="str">
        <f aca="false">IF(OR(G45&lt;&gt;"battery included",H45="",V45=""),"",H45+X45+V45)</f>
        <v/>
      </c>
      <c r="AA45" s="8" t="n">
        <v>663</v>
      </c>
      <c r="AB45" s="8" t="n">
        <v>207</v>
      </c>
      <c r="AC45" s="8" t="n">
        <v>218</v>
      </c>
      <c r="AD45" s="8" t="n">
        <v>6</v>
      </c>
      <c r="AE45" s="8" t="s">
        <v>119</v>
      </c>
      <c r="AF45" s="8" t="s">
        <v>141</v>
      </c>
      <c r="AG45" s="8" t="s">
        <v>121</v>
      </c>
      <c r="AH45" s="8" t="s">
        <v>157</v>
      </c>
      <c r="AI45" s="8" t="s">
        <v>117</v>
      </c>
      <c r="AJ45" s="8" t="s">
        <v>117</v>
      </c>
      <c r="AK45" s="8" t="n">
        <v>180</v>
      </c>
      <c r="AL45" s="8" t="n">
        <v>142.2</v>
      </c>
      <c r="AM45" s="14" t="n">
        <f aca="false">IF(OR(S45="",AL45=""),"",100/S45/AL45*60)</f>
        <v>6.66573346398171</v>
      </c>
      <c r="AN45" s="8" t="n">
        <v>11.7</v>
      </c>
      <c r="AO45" s="8" t="n">
        <v>11</v>
      </c>
      <c r="AP45" s="8" t="s">
        <v>122</v>
      </c>
      <c r="AQ45" s="8" t="s">
        <v>258</v>
      </c>
      <c r="AR45" s="8" t="n">
        <v>32</v>
      </c>
      <c r="AS45" s="8" t="n">
        <v>45</v>
      </c>
      <c r="AT45" s="8"/>
      <c r="AU45" s="8"/>
      <c r="AV45" s="8" t="s">
        <v>280</v>
      </c>
    </row>
    <row r="46" customFormat="false" ht="15" hidden="false" customHeight="false" outlineLevel="0" collapsed="false">
      <c r="A46" s="8" t="s">
        <v>284</v>
      </c>
      <c r="B46" s="8" t="s">
        <v>285</v>
      </c>
      <c r="C46" s="8" t="s">
        <v>107</v>
      </c>
      <c r="D46" s="8" t="s">
        <v>255</v>
      </c>
      <c r="E46" s="8" t="s">
        <v>256</v>
      </c>
      <c r="F46" s="8" t="s">
        <v>286</v>
      </c>
      <c r="G46" s="8" t="s">
        <v>164</v>
      </c>
      <c r="H46" s="11" t="n">
        <v>1935000</v>
      </c>
      <c r="I46" s="8" t="s">
        <v>112</v>
      </c>
      <c r="J46" s="8" t="n">
        <v>79</v>
      </c>
      <c r="K46" s="8" t="s">
        <v>113</v>
      </c>
      <c r="L46" s="8" t="n">
        <v>5</v>
      </c>
      <c r="M46" s="8" t="s">
        <v>114</v>
      </c>
      <c r="N46" s="8" t="n">
        <v>656</v>
      </c>
      <c r="O46" s="8" t="s">
        <v>115</v>
      </c>
      <c r="P46" s="8" t="n">
        <v>500</v>
      </c>
      <c r="Q46" s="8" t="n">
        <v>456</v>
      </c>
      <c r="R46" s="8" t="n">
        <v>70</v>
      </c>
      <c r="S46" s="12" t="n">
        <v>6.33</v>
      </c>
      <c r="T46" s="8" t="s">
        <v>116</v>
      </c>
      <c r="U46" s="13" t="n">
        <f aca="false">IF(S46="","",((1-Assumptions!$B$4)*Assumptions!$B$2+Assumptions!$B$4*Assumptions!$B$3)/S46)</f>
        <v>1.48499210110585</v>
      </c>
      <c r="V46" s="11" t="n">
        <f aca="false">IF(U46="","",U46*Assumptions!$B$5*365*Assumptions!$B$6)</f>
        <v>108404.423380727</v>
      </c>
      <c r="W46" s="8" t="s">
        <v>117</v>
      </c>
      <c r="X46" s="11" t="n">
        <v>60000</v>
      </c>
      <c r="Y46" s="8" t="s">
        <v>199</v>
      </c>
      <c r="Z46" s="11" t="str">
        <f aca="false">IF(OR(G46&lt;&gt;"battery included",H46="",V46=""),"",H46+X46+V46)</f>
        <v/>
      </c>
      <c r="AA46" s="8"/>
      <c r="AB46" s="8"/>
      <c r="AC46" s="8" t="n">
        <v>218</v>
      </c>
      <c r="AD46" s="8"/>
      <c r="AE46" s="8" t="s">
        <v>157</v>
      </c>
      <c r="AF46" s="8" t="s">
        <v>157</v>
      </c>
      <c r="AG46" s="8" t="s">
        <v>157</v>
      </c>
      <c r="AH46" s="8" t="s">
        <v>157</v>
      </c>
      <c r="AI46" s="8" t="s">
        <v>157</v>
      </c>
      <c r="AJ46" s="8" t="s">
        <v>119</v>
      </c>
      <c r="AK46" s="8" t="n">
        <v>180</v>
      </c>
      <c r="AL46" s="8" t="n">
        <v>142.2</v>
      </c>
      <c r="AM46" s="14" t="n">
        <f aca="false">IF(OR(S46="",AL46=""),"",100/S46/AL46*60)</f>
        <v>6.66573346398171</v>
      </c>
      <c r="AN46" s="8"/>
      <c r="AO46" s="8"/>
      <c r="AP46" s="8" t="s">
        <v>122</v>
      </c>
      <c r="AQ46" s="8" t="s">
        <v>258</v>
      </c>
      <c r="AR46" s="8" t="n">
        <v>32</v>
      </c>
      <c r="AS46" s="8" t="n">
        <v>45</v>
      </c>
      <c r="AT46" s="8"/>
      <c r="AU46" s="8"/>
      <c r="AV46" s="8" t="s">
        <v>287</v>
      </c>
    </row>
    <row r="47" customFormat="false" ht="15" hidden="false" customHeight="false" outlineLevel="0" collapsed="false">
      <c r="A47" s="8" t="s">
        <v>288</v>
      </c>
      <c r="B47" s="8" t="s">
        <v>289</v>
      </c>
      <c r="C47" s="8" t="s">
        <v>107</v>
      </c>
      <c r="D47" s="8" t="s">
        <v>255</v>
      </c>
      <c r="E47" s="8" t="s">
        <v>256</v>
      </c>
      <c r="F47" s="8" t="s">
        <v>249</v>
      </c>
      <c r="G47" s="8" t="s">
        <v>164</v>
      </c>
      <c r="H47" s="11" t="n">
        <v>2050000</v>
      </c>
      <c r="I47" s="8" t="s">
        <v>112</v>
      </c>
      <c r="J47" s="8" t="n">
        <v>79</v>
      </c>
      <c r="K47" s="8" t="s">
        <v>113</v>
      </c>
      <c r="L47" s="8" t="n">
        <v>5</v>
      </c>
      <c r="M47" s="8" t="s">
        <v>114</v>
      </c>
      <c r="N47" s="8" t="n">
        <v>656</v>
      </c>
      <c r="O47" s="8" t="s">
        <v>115</v>
      </c>
      <c r="P47" s="8" t="n">
        <v>500</v>
      </c>
      <c r="Q47" s="8" t="n">
        <v>456</v>
      </c>
      <c r="R47" s="8" t="n">
        <v>70</v>
      </c>
      <c r="S47" s="12" t="n">
        <v>6.33</v>
      </c>
      <c r="T47" s="8" t="s">
        <v>116</v>
      </c>
      <c r="U47" s="13" t="n">
        <f aca="false">IF(S47="","",((1-Assumptions!$B$4)*Assumptions!$B$2+Assumptions!$B$4*Assumptions!$B$3)/S47)</f>
        <v>1.48499210110585</v>
      </c>
      <c r="V47" s="11" t="n">
        <f aca="false">IF(U47="","",U47*Assumptions!$B$5*365*Assumptions!$B$6)</f>
        <v>108404.423380727</v>
      </c>
      <c r="W47" s="8" t="s">
        <v>117</v>
      </c>
      <c r="X47" s="11" t="n">
        <v>60000</v>
      </c>
      <c r="Y47" s="8" t="s">
        <v>199</v>
      </c>
      <c r="Z47" s="11" t="str">
        <f aca="false">IF(OR(G47&lt;&gt;"battery included",H47="",V47=""),"",H47+X47+V47)</f>
        <v/>
      </c>
      <c r="AA47" s="8" t="n">
        <v>663</v>
      </c>
      <c r="AB47" s="8" t="n">
        <v>207</v>
      </c>
      <c r="AC47" s="8" t="n">
        <v>218</v>
      </c>
      <c r="AD47" s="8" t="n">
        <v>7</v>
      </c>
      <c r="AE47" s="8" t="s">
        <v>119</v>
      </c>
      <c r="AF47" s="8" t="s">
        <v>153</v>
      </c>
      <c r="AG47" s="8" t="s">
        <v>209</v>
      </c>
      <c r="AH47" s="8" t="s">
        <v>157</v>
      </c>
      <c r="AI47" s="8" t="s">
        <v>119</v>
      </c>
      <c r="AJ47" s="8" t="s">
        <v>119</v>
      </c>
      <c r="AK47" s="8" t="n">
        <v>180</v>
      </c>
      <c r="AL47" s="8" t="n">
        <v>142.2</v>
      </c>
      <c r="AM47" s="14" t="n">
        <f aca="false">IF(OR(S47="",AL47=""),"",100/S47/AL47*60)</f>
        <v>6.66573346398171</v>
      </c>
      <c r="AN47" s="8" t="n">
        <v>11.7</v>
      </c>
      <c r="AO47" s="8" t="n">
        <v>11</v>
      </c>
      <c r="AP47" s="8" t="s">
        <v>122</v>
      </c>
      <c r="AQ47" s="8" t="s">
        <v>258</v>
      </c>
      <c r="AR47" s="8" t="n">
        <v>32</v>
      </c>
      <c r="AS47" s="8" t="n">
        <v>45</v>
      </c>
      <c r="AT47" s="8"/>
      <c r="AU47" s="8"/>
      <c r="AV47" s="8" t="s">
        <v>280</v>
      </c>
    </row>
    <row r="48" customFormat="false" ht="15" hidden="false" customHeight="false" outlineLevel="0" collapsed="false">
      <c r="A48" s="8" t="s">
        <v>290</v>
      </c>
      <c r="B48" s="8" t="s">
        <v>291</v>
      </c>
      <c r="C48" s="8" t="s">
        <v>107</v>
      </c>
      <c r="D48" s="8" t="s">
        <v>255</v>
      </c>
      <c r="E48" s="8" t="s">
        <v>256</v>
      </c>
      <c r="F48" s="8" t="s">
        <v>292</v>
      </c>
      <c r="G48" s="8" t="s">
        <v>164</v>
      </c>
      <c r="H48" s="11"/>
      <c r="I48" s="8" t="s">
        <v>293</v>
      </c>
      <c r="J48" s="8" t="n">
        <v>59</v>
      </c>
      <c r="K48" s="8" t="s">
        <v>113</v>
      </c>
      <c r="L48" s="8" t="n">
        <v>5</v>
      </c>
      <c r="M48" s="8" t="s">
        <v>114</v>
      </c>
      <c r="N48" s="8" t="n">
        <v>522</v>
      </c>
      <c r="O48" s="8" t="s">
        <v>115</v>
      </c>
      <c r="P48" s="8" t="n">
        <v>400</v>
      </c>
      <c r="Q48" s="8"/>
      <c r="R48" s="8"/>
      <c r="S48" s="12" t="n">
        <v>6.78</v>
      </c>
      <c r="T48" s="8" t="s">
        <v>116</v>
      </c>
      <c r="U48" s="13" t="n">
        <f aca="false">IF(S48="","",((1-Assumptions!$B$4)*Assumptions!$B$2+Assumptions!$B$4*Assumptions!$B$3)/S48)</f>
        <v>1.38643067846608</v>
      </c>
      <c r="V48" s="11" t="n">
        <f aca="false">IF(U48="","",U48*Assumptions!$B$5*365*Assumptions!$B$6)</f>
        <v>101209.439528024</v>
      </c>
      <c r="W48" s="8" t="s">
        <v>117</v>
      </c>
      <c r="X48" s="11" t="n">
        <v>60000</v>
      </c>
      <c r="Y48" s="8" t="s">
        <v>199</v>
      </c>
      <c r="Z48" s="11" t="str">
        <f aca="false">IF(OR(G48&lt;&gt;"battery included",H48="",V48=""),"",H48+X48+V48)</f>
        <v/>
      </c>
      <c r="AA48" s="8" t="n">
        <v>663</v>
      </c>
      <c r="AB48" s="8" t="n">
        <v>207</v>
      </c>
      <c r="AC48" s="8" t="n">
        <v>218</v>
      </c>
      <c r="AD48" s="8" t="n">
        <v>6</v>
      </c>
      <c r="AE48" s="8" t="s">
        <v>119</v>
      </c>
      <c r="AF48" s="8" t="s">
        <v>141</v>
      </c>
      <c r="AG48" s="8" t="s">
        <v>121</v>
      </c>
      <c r="AH48" s="8" t="s">
        <v>157</v>
      </c>
      <c r="AI48" s="8" t="s">
        <v>117</v>
      </c>
      <c r="AJ48" s="8" t="s">
        <v>117</v>
      </c>
      <c r="AK48" s="8" t="n">
        <v>140</v>
      </c>
      <c r="AL48" s="8" t="n">
        <v>106.2</v>
      </c>
      <c r="AM48" s="14" t="n">
        <f aca="false">IF(OR(S48="",AL48=""),"",100/S48/AL48*60)</f>
        <v>8.33291668749896</v>
      </c>
      <c r="AN48" s="8" t="n">
        <v>8.7</v>
      </c>
      <c r="AO48" s="8" t="n">
        <v>11</v>
      </c>
      <c r="AP48" s="8" t="s">
        <v>122</v>
      </c>
      <c r="AQ48" s="8" t="s">
        <v>258</v>
      </c>
      <c r="AR48" s="8" t="n">
        <v>32</v>
      </c>
      <c r="AS48" s="8" t="n">
        <v>45</v>
      </c>
      <c r="AT48" s="8"/>
      <c r="AU48" s="8"/>
      <c r="AV48" s="8" t="s">
        <v>294</v>
      </c>
    </row>
    <row r="49" customFormat="false" ht="15" hidden="false" customHeight="false" outlineLevel="0" collapsed="false">
      <c r="A49" s="8" t="s">
        <v>295</v>
      </c>
      <c r="B49" s="8" t="s">
        <v>296</v>
      </c>
      <c r="C49" s="8" t="s">
        <v>107</v>
      </c>
      <c r="D49" s="8" t="s">
        <v>255</v>
      </c>
      <c r="E49" s="8" t="s">
        <v>256</v>
      </c>
      <c r="F49" s="8" t="s">
        <v>297</v>
      </c>
      <c r="G49" s="8" t="s">
        <v>164</v>
      </c>
      <c r="H49" s="11"/>
      <c r="I49" s="8" t="s">
        <v>293</v>
      </c>
      <c r="J49" s="8" t="n">
        <v>59</v>
      </c>
      <c r="K49" s="8" t="s">
        <v>113</v>
      </c>
      <c r="L49" s="8" t="n">
        <v>5</v>
      </c>
      <c r="M49" s="8" t="s">
        <v>114</v>
      </c>
      <c r="N49" s="8" t="n">
        <v>522</v>
      </c>
      <c r="O49" s="8" t="s">
        <v>115</v>
      </c>
      <c r="P49" s="8" t="n">
        <v>400</v>
      </c>
      <c r="Q49" s="8"/>
      <c r="R49" s="8"/>
      <c r="S49" s="12" t="n">
        <v>6.78</v>
      </c>
      <c r="T49" s="8" t="s">
        <v>116</v>
      </c>
      <c r="U49" s="13" t="n">
        <f aca="false">IF(S49="","",((1-Assumptions!$B$4)*Assumptions!$B$2+Assumptions!$B$4*Assumptions!$B$3)/S49)</f>
        <v>1.38643067846608</v>
      </c>
      <c r="V49" s="11" t="n">
        <f aca="false">IF(U49="","",U49*Assumptions!$B$5*365*Assumptions!$B$6)</f>
        <v>101209.439528024</v>
      </c>
      <c r="W49" s="8" t="s">
        <v>117</v>
      </c>
      <c r="X49" s="11" t="n">
        <v>60000</v>
      </c>
      <c r="Y49" s="8" t="s">
        <v>199</v>
      </c>
      <c r="Z49" s="11" t="str">
        <f aca="false">IF(OR(G49&lt;&gt;"battery included",H49="",V49=""),"",H49+X49+V49)</f>
        <v/>
      </c>
      <c r="AA49" s="8" t="n">
        <v>663</v>
      </c>
      <c r="AB49" s="8" t="n">
        <v>207</v>
      </c>
      <c r="AC49" s="8" t="n">
        <v>218</v>
      </c>
      <c r="AD49" s="8" t="n">
        <v>7</v>
      </c>
      <c r="AE49" s="8" t="s">
        <v>119</v>
      </c>
      <c r="AF49" s="8" t="s">
        <v>141</v>
      </c>
      <c r="AG49" s="8" t="s">
        <v>209</v>
      </c>
      <c r="AH49" s="8" t="s">
        <v>157</v>
      </c>
      <c r="AI49" s="8" t="s">
        <v>119</v>
      </c>
      <c r="AJ49" s="8" t="s">
        <v>119</v>
      </c>
      <c r="AK49" s="8" t="n">
        <v>140</v>
      </c>
      <c r="AL49" s="8" t="n">
        <v>106.2</v>
      </c>
      <c r="AM49" s="14" t="n">
        <f aca="false">IF(OR(S49="",AL49=""),"",100/S49/AL49*60)</f>
        <v>8.33291668749896</v>
      </c>
      <c r="AN49" s="8" t="n">
        <v>8.7</v>
      </c>
      <c r="AO49" s="8" t="n">
        <v>11</v>
      </c>
      <c r="AP49" s="8" t="s">
        <v>122</v>
      </c>
      <c r="AQ49" s="8" t="s">
        <v>258</v>
      </c>
      <c r="AR49" s="8" t="n">
        <v>32</v>
      </c>
      <c r="AS49" s="8" t="n">
        <v>45</v>
      </c>
      <c r="AT49" s="8"/>
      <c r="AU49" s="8"/>
      <c r="AV49" s="8" t="s">
        <v>294</v>
      </c>
    </row>
    <row r="50" customFormat="false" ht="15" hidden="false" customHeight="false" outlineLevel="0" collapsed="false">
      <c r="A50" s="8" t="s">
        <v>298</v>
      </c>
      <c r="B50" s="8" t="s">
        <v>299</v>
      </c>
      <c r="C50" s="8" t="s">
        <v>107</v>
      </c>
      <c r="D50" s="8" t="s">
        <v>300</v>
      </c>
      <c r="E50" s="8" t="s">
        <v>109</v>
      </c>
      <c r="F50" s="8" t="s">
        <v>301</v>
      </c>
      <c r="G50" s="8" t="s">
        <v>111</v>
      </c>
      <c r="H50" s="11" t="n">
        <v>1389000</v>
      </c>
      <c r="I50" s="8" t="s">
        <v>112</v>
      </c>
      <c r="J50" s="8" t="n">
        <v>39.4</v>
      </c>
      <c r="K50" s="8" t="s">
        <v>302</v>
      </c>
      <c r="L50" s="8" t="n">
        <v>5</v>
      </c>
      <c r="M50" s="8" t="s">
        <v>114</v>
      </c>
      <c r="N50" s="8" t="n">
        <v>351</v>
      </c>
      <c r="O50" s="8" t="s">
        <v>115</v>
      </c>
      <c r="P50" s="8" t="n">
        <v>285</v>
      </c>
      <c r="Q50" s="8"/>
      <c r="R50" s="8"/>
      <c r="S50" s="12" t="n">
        <v>7.23</v>
      </c>
      <c r="T50" s="8" t="s">
        <v>116</v>
      </c>
      <c r="U50" s="13" t="n">
        <f aca="false">IF(S50="","",((1-Assumptions!$B$4)*Assumptions!$B$2+Assumptions!$B$4*Assumptions!$B$3)/S50)</f>
        <v>1.30013831258645</v>
      </c>
      <c r="V50" s="11" t="n">
        <f aca="false">IF(U50="","",U50*Assumptions!$B$5*365*Assumptions!$B$6)</f>
        <v>94910.0968188105</v>
      </c>
      <c r="W50" s="8" t="s">
        <v>117</v>
      </c>
      <c r="X50" s="11" t="n">
        <v>60000</v>
      </c>
      <c r="Y50" s="8" t="s">
        <v>303</v>
      </c>
      <c r="Z50" s="11" t="n">
        <f aca="false">IF(OR(G50&lt;&gt;"battery included",H50="",V50=""),"",H50+X50+V50)</f>
        <v>1543910.09681881</v>
      </c>
      <c r="AA50" s="8" t="n">
        <v>364</v>
      </c>
      <c r="AB50" s="8" t="n">
        <v>190</v>
      </c>
      <c r="AC50" s="8"/>
      <c r="AD50" s="8" t="n">
        <v>6</v>
      </c>
      <c r="AE50" s="8" t="s">
        <v>119</v>
      </c>
      <c r="AF50" s="8" t="s">
        <v>120</v>
      </c>
      <c r="AG50" s="8" t="s">
        <v>121</v>
      </c>
      <c r="AH50" s="8" t="s">
        <v>304</v>
      </c>
      <c r="AI50" s="8" t="s">
        <v>157</v>
      </c>
      <c r="AJ50" s="8" t="s">
        <v>157</v>
      </c>
      <c r="AK50" s="8" t="n">
        <v>50</v>
      </c>
      <c r="AL50" s="8" t="n">
        <v>37.8</v>
      </c>
      <c r="AM50" s="14" t="n">
        <f aca="false">IF(OR(S50="",AL50=""),"",100/S50/AL50*60)</f>
        <v>21.9543788008518</v>
      </c>
      <c r="AN50" s="8" t="n">
        <v>6.5</v>
      </c>
      <c r="AO50" s="8" t="n">
        <v>6.6</v>
      </c>
      <c r="AP50" s="8" t="s">
        <v>122</v>
      </c>
      <c r="AQ50" s="8" t="s">
        <v>201</v>
      </c>
      <c r="AR50" s="8"/>
      <c r="AS50" s="8"/>
      <c r="AT50" s="8"/>
      <c r="AU50" s="8"/>
      <c r="AV50" s="8" t="s">
        <v>305</v>
      </c>
    </row>
    <row r="51" customFormat="false" ht="15" hidden="false" customHeight="false" outlineLevel="0" collapsed="false">
      <c r="A51" s="8" t="s">
        <v>306</v>
      </c>
      <c r="B51" s="8" t="s">
        <v>307</v>
      </c>
      <c r="C51" s="8" t="s">
        <v>107</v>
      </c>
      <c r="D51" s="8" t="s">
        <v>300</v>
      </c>
      <c r="E51" s="8" t="s">
        <v>109</v>
      </c>
      <c r="F51" s="8" t="s">
        <v>308</v>
      </c>
      <c r="G51" s="8" t="s">
        <v>111</v>
      </c>
      <c r="H51" s="11" t="n">
        <v>1496000</v>
      </c>
      <c r="I51" s="8" t="s">
        <v>128</v>
      </c>
      <c r="J51" s="8" t="n">
        <v>39.4</v>
      </c>
      <c r="K51" s="8" t="s">
        <v>302</v>
      </c>
      <c r="L51" s="8" t="n">
        <v>5</v>
      </c>
      <c r="M51" s="8" t="s">
        <v>114</v>
      </c>
      <c r="N51" s="8" t="n">
        <v>351</v>
      </c>
      <c r="O51" s="8" t="s">
        <v>115</v>
      </c>
      <c r="P51" s="8" t="n">
        <v>285</v>
      </c>
      <c r="Q51" s="8"/>
      <c r="R51" s="8"/>
      <c r="S51" s="12" t="n">
        <v>7.23</v>
      </c>
      <c r="T51" s="8" t="s">
        <v>116</v>
      </c>
      <c r="U51" s="13" t="n">
        <f aca="false">IF(S51="","",((1-Assumptions!$B$4)*Assumptions!$B$2+Assumptions!$B$4*Assumptions!$B$3)/S51)</f>
        <v>1.30013831258645</v>
      </c>
      <c r="V51" s="11" t="n">
        <f aca="false">IF(U51="","",U51*Assumptions!$B$5*365*Assumptions!$B$6)</f>
        <v>94910.0968188105</v>
      </c>
      <c r="W51" s="8" t="s">
        <v>117</v>
      </c>
      <c r="X51" s="11" t="n">
        <v>60000</v>
      </c>
      <c r="Y51" s="8" t="s">
        <v>303</v>
      </c>
      <c r="Z51" s="11" t="n">
        <f aca="false">IF(OR(G51&lt;&gt;"battery included",H51="",V51=""),"",H51+X51+V51)</f>
        <v>1650910.09681881</v>
      </c>
      <c r="AA51" s="8" t="n">
        <v>364</v>
      </c>
      <c r="AB51" s="8" t="n">
        <v>190</v>
      </c>
      <c r="AC51" s="8"/>
      <c r="AD51" s="8" t="n">
        <v>6</v>
      </c>
      <c r="AE51" s="8" t="s">
        <v>119</v>
      </c>
      <c r="AF51" s="8" t="s">
        <v>141</v>
      </c>
      <c r="AG51" s="8" t="s">
        <v>209</v>
      </c>
      <c r="AH51" s="8" t="s">
        <v>134</v>
      </c>
      <c r="AI51" s="8" t="s">
        <v>157</v>
      </c>
      <c r="AJ51" s="8" t="s">
        <v>157</v>
      </c>
      <c r="AK51" s="8" t="n">
        <v>50</v>
      </c>
      <c r="AL51" s="8" t="n">
        <v>37.8</v>
      </c>
      <c r="AM51" s="14" t="n">
        <f aca="false">IF(OR(S51="",AL51=""),"",100/S51/AL51*60)</f>
        <v>21.9543788008518</v>
      </c>
      <c r="AN51" s="8" t="n">
        <v>6.5</v>
      </c>
      <c r="AO51" s="8" t="n">
        <v>6.6</v>
      </c>
      <c r="AP51" s="8" t="s">
        <v>122</v>
      </c>
      <c r="AQ51" s="8" t="s">
        <v>201</v>
      </c>
      <c r="AR51" s="8"/>
      <c r="AS51" s="8"/>
      <c r="AT51" s="8"/>
      <c r="AU51" s="8"/>
      <c r="AV51" s="8" t="s">
        <v>309</v>
      </c>
    </row>
    <row r="52" customFormat="false" ht="15" hidden="false" customHeight="false" outlineLevel="0" collapsed="false">
      <c r="A52" s="8" t="s">
        <v>310</v>
      </c>
      <c r="B52" s="8" t="s">
        <v>311</v>
      </c>
      <c r="C52" s="8" t="s">
        <v>312</v>
      </c>
      <c r="D52" s="8" t="s">
        <v>313</v>
      </c>
      <c r="E52" s="8" t="s">
        <v>256</v>
      </c>
      <c r="F52" s="8" t="s">
        <v>314</v>
      </c>
      <c r="G52" s="8" t="s">
        <v>111</v>
      </c>
      <c r="H52" s="11" t="n">
        <v>1719000</v>
      </c>
      <c r="I52" s="8" t="s">
        <v>112</v>
      </c>
      <c r="J52" s="8" t="n">
        <v>55</v>
      </c>
      <c r="K52" s="8" t="s">
        <v>302</v>
      </c>
      <c r="L52" s="8" t="n">
        <v>5</v>
      </c>
      <c r="M52" s="8" t="s">
        <v>114</v>
      </c>
      <c r="N52" s="8" t="n">
        <v>502</v>
      </c>
      <c r="O52" s="8" t="s">
        <v>115</v>
      </c>
      <c r="P52" s="8" t="n">
        <v>400</v>
      </c>
      <c r="Q52" s="8" t="n">
        <v>365</v>
      </c>
      <c r="R52" s="8" t="n">
        <v>73</v>
      </c>
      <c r="S52" s="12" t="n">
        <v>6.64</v>
      </c>
      <c r="T52" s="8" t="s">
        <v>145</v>
      </c>
      <c r="U52" s="13" t="n">
        <f aca="false">IF(S52="","",((1-Assumptions!$B$4)*Assumptions!$B$2+Assumptions!$B$4*Assumptions!$B$3)/S52)</f>
        <v>1.41566265060241</v>
      </c>
      <c r="V52" s="11" t="n">
        <f aca="false">IF(U52="","",U52*Assumptions!$B$5*365*Assumptions!$B$6)</f>
        <v>103343.373493976</v>
      </c>
      <c r="W52" s="8" t="s">
        <v>315</v>
      </c>
      <c r="X52" s="11" t="n">
        <v>50000</v>
      </c>
      <c r="Y52" s="8" t="s">
        <v>316</v>
      </c>
      <c r="Z52" s="11" t="n">
        <f aca="false">IF(OR(G52&lt;&gt;"battery included",H52="",V52=""),"",H52+X52+V52)</f>
        <v>1872343.37349398</v>
      </c>
      <c r="AA52" s="8" t="n">
        <v>500</v>
      </c>
      <c r="AB52" s="8" t="n">
        <v>186</v>
      </c>
      <c r="AC52" s="8"/>
      <c r="AD52" s="8" t="n">
        <v>6</v>
      </c>
      <c r="AE52" s="8" t="s">
        <v>119</v>
      </c>
      <c r="AF52" s="8" t="s">
        <v>120</v>
      </c>
      <c r="AG52" s="8" t="s">
        <v>209</v>
      </c>
      <c r="AH52" s="8" t="s">
        <v>134</v>
      </c>
      <c r="AI52" s="8" t="s">
        <v>317</v>
      </c>
      <c r="AJ52" s="8" t="s">
        <v>157</v>
      </c>
      <c r="AK52" s="8" t="n">
        <v>70</v>
      </c>
      <c r="AL52" s="8" t="n">
        <v>57.8</v>
      </c>
      <c r="AM52" s="14" t="n">
        <f aca="false">IF(OR(S52="",AL52=""),"",100/S52/AL52*60)</f>
        <v>15.6334681285696</v>
      </c>
      <c r="AN52" s="8" t="n">
        <v>8.4</v>
      </c>
      <c r="AO52" s="8"/>
      <c r="AP52" s="8" t="s">
        <v>122</v>
      </c>
      <c r="AQ52" s="8" t="s">
        <v>258</v>
      </c>
      <c r="AR52" s="8" t="n">
        <v>30.81</v>
      </c>
      <c r="AS52" s="8" t="n">
        <v>44.83</v>
      </c>
      <c r="AT52" s="8"/>
      <c r="AU52" s="8"/>
      <c r="AV52" s="8" t="s">
        <v>318</v>
      </c>
    </row>
    <row r="53" customFormat="false" ht="15" hidden="false" customHeight="false" outlineLevel="0" collapsed="false">
      <c r="A53" s="8" t="s">
        <v>319</v>
      </c>
      <c r="B53" s="8" t="s">
        <v>320</v>
      </c>
      <c r="C53" s="8" t="s">
        <v>312</v>
      </c>
      <c r="D53" s="8" t="s">
        <v>313</v>
      </c>
      <c r="E53" s="8" t="s">
        <v>256</v>
      </c>
      <c r="F53" s="8" t="s">
        <v>321</v>
      </c>
      <c r="G53" s="8" t="s">
        <v>111</v>
      </c>
      <c r="H53" s="11" t="n">
        <v>1939000</v>
      </c>
      <c r="I53" s="8" t="s">
        <v>112</v>
      </c>
      <c r="J53" s="8" t="n">
        <v>55</v>
      </c>
      <c r="K53" s="8" t="s">
        <v>302</v>
      </c>
      <c r="L53" s="8" t="n">
        <v>5</v>
      </c>
      <c r="M53" s="8" t="s">
        <v>114</v>
      </c>
      <c r="N53" s="8" t="n">
        <v>502</v>
      </c>
      <c r="O53" s="8" t="s">
        <v>115</v>
      </c>
      <c r="P53" s="8" t="n">
        <v>400</v>
      </c>
      <c r="Q53" s="8" t="n">
        <v>365</v>
      </c>
      <c r="R53" s="8" t="n">
        <v>73</v>
      </c>
      <c r="S53" s="12" t="n">
        <v>6.64</v>
      </c>
      <c r="T53" s="8" t="s">
        <v>145</v>
      </c>
      <c r="U53" s="13" t="n">
        <f aca="false">IF(S53="","",((1-Assumptions!$B$4)*Assumptions!$B$2+Assumptions!$B$4*Assumptions!$B$3)/S53)</f>
        <v>1.41566265060241</v>
      </c>
      <c r="V53" s="11" t="n">
        <f aca="false">IF(U53="","",U53*Assumptions!$B$5*365*Assumptions!$B$6)</f>
        <v>103343.373493976</v>
      </c>
      <c r="W53" s="8" t="s">
        <v>322</v>
      </c>
      <c r="X53" s="11" t="n">
        <v>0</v>
      </c>
      <c r="Y53" s="8" t="s">
        <v>323</v>
      </c>
      <c r="Z53" s="11" t="n">
        <f aca="false">IF(OR(G53&lt;&gt;"battery included",H53="",V53=""),"",H53+X53+V53)</f>
        <v>2042343.37349398</v>
      </c>
      <c r="AA53" s="8" t="n">
        <v>500</v>
      </c>
      <c r="AB53" s="8" t="n">
        <v>186</v>
      </c>
      <c r="AC53" s="8"/>
      <c r="AD53" s="8" t="n">
        <v>6</v>
      </c>
      <c r="AE53" s="8" t="s">
        <v>119</v>
      </c>
      <c r="AF53" s="8" t="s">
        <v>141</v>
      </c>
      <c r="AG53" s="8" t="s">
        <v>209</v>
      </c>
      <c r="AH53" s="8" t="s">
        <v>134</v>
      </c>
      <c r="AI53" s="8" t="s">
        <v>119</v>
      </c>
      <c r="AJ53" s="8" t="s">
        <v>157</v>
      </c>
      <c r="AK53" s="8" t="n">
        <v>70</v>
      </c>
      <c r="AL53" s="8" t="n">
        <v>57.8</v>
      </c>
      <c r="AM53" s="14" t="n">
        <f aca="false">IF(OR(S53="",AL53=""),"",100/S53/AL53*60)</f>
        <v>15.6334681285696</v>
      </c>
      <c r="AN53" s="8" t="n">
        <v>8.4</v>
      </c>
      <c r="AO53" s="8"/>
      <c r="AP53" s="8" t="s">
        <v>122</v>
      </c>
      <c r="AQ53" s="8" t="s">
        <v>258</v>
      </c>
      <c r="AR53" s="8" t="n">
        <v>30.81</v>
      </c>
      <c r="AS53" s="8" t="n">
        <v>44.83</v>
      </c>
      <c r="AT53" s="8"/>
      <c r="AU53" s="8"/>
      <c r="AV53" s="8" t="s">
        <v>324</v>
      </c>
    </row>
    <row r="54" customFormat="false" ht="15" hidden="false" customHeight="false" outlineLevel="0" collapsed="false">
      <c r="A54" s="8" t="s">
        <v>325</v>
      </c>
      <c r="B54" s="8" t="s">
        <v>326</v>
      </c>
      <c r="C54" s="8" t="s">
        <v>312</v>
      </c>
      <c r="D54" s="8" t="s">
        <v>327</v>
      </c>
      <c r="E54" s="8" t="s">
        <v>109</v>
      </c>
      <c r="F54" s="8" t="s">
        <v>328</v>
      </c>
      <c r="G54" s="8" t="s">
        <v>111</v>
      </c>
      <c r="H54" s="11" t="n">
        <v>2179000</v>
      </c>
      <c r="I54" s="8" t="s">
        <v>112</v>
      </c>
      <c r="J54" s="8" t="n">
        <v>65</v>
      </c>
      <c r="K54" s="8" t="s">
        <v>113</v>
      </c>
      <c r="L54" s="8" t="n">
        <v>5</v>
      </c>
      <c r="M54" s="8" t="s">
        <v>114</v>
      </c>
      <c r="N54" s="8" t="n">
        <v>538</v>
      </c>
      <c r="O54" s="8" t="s">
        <v>115</v>
      </c>
      <c r="P54" s="8" t="n">
        <v>420</v>
      </c>
      <c r="Q54" s="8"/>
      <c r="R54" s="8"/>
      <c r="S54" s="12" t="n">
        <v>6.46</v>
      </c>
      <c r="T54" s="8" t="s">
        <v>116</v>
      </c>
      <c r="U54" s="13" t="n">
        <f aca="false">IF(S54="","",((1-Assumptions!$B$4)*Assumptions!$B$2+Assumptions!$B$4*Assumptions!$B$3)/S54)</f>
        <v>1.45510835913313</v>
      </c>
      <c r="V54" s="11" t="n">
        <f aca="false">IF(U54="","",U54*Assumptions!$B$5*365*Assumptions!$B$6)</f>
        <v>106222.910216718</v>
      </c>
      <c r="W54" s="8" t="s">
        <v>117</v>
      </c>
      <c r="X54" s="11" t="n">
        <v>50000</v>
      </c>
      <c r="Y54" s="8" t="s">
        <v>329</v>
      </c>
      <c r="Z54" s="11" t="n">
        <f aca="false">IF(OR(G54&lt;&gt;"battery included",H54="",V54=""),"",H54+X54+V54)</f>
        <v>2335222.91021672</v>
      </c>
      <c r="AA54" s="8" t="n">
        <v>502</v>
      </c>
      <c r="AB54" s="8"/>
      <c r="AC54" s="8"/>
      <c r="AD54" s="8" t="n">
        <v>6</v>
      </c>
      <c r="AE54" s="8" t="s">
        <v>119</v>
      </c>
      <c r="AF54" s="8" t="s">
        <v>120</v>
      </c>
      <c r="AG54" s="8" t="s">
        <v>157</v>
      </c>
      <c r="AH54" s="8" t="s">
        <v>120</v>
      </c>
      <c r="AI54" s="8" t="s">
        <v>117</v>
      </c>
      <c r="AJ54" s="8" t="s">
        <v>157</v>
      </c>
      <c r="AK54" s="8" t="n">
        <v>100</v>
      </c>
      <c r="AL54" s="8" t="n">
        <v>93.6</v>
      </c>
      <c r="AM54" s="14" t="n">
        <f aca="false">IF(OR(S54="",AL54=""),"",100/S54/AL54*60)</f>
        <v>9.92299753909661</v>
      </c>
      <c r="AN54" s="8" t="n">
        <v>10.3</v>
      </c>
      <c r="AO54" s="8"/>
      <c r="AP54" s="8" t="s">
        <v>122</v>
      </c>
      <c r="AQ54" s="8" t="s">
        <v>201</v>
      </c>
      <c r="AR54" s="8"/>
      <c r="AS54" s="8"/>
      <c r="AT54" s="8" t="n">
        <v>3</v>
      </c>
      <c r="AU54" s="8" t="n">
        <v>600</v>
      </c>
      <c r="AV54" s="8" t="s">
        <v>330</v>
      </c>
    </row>
    <row r="55" customFormat="false" ht="15" hidden="false" customHeight="false" outlineLevel="0" collapsed="false">
      <c r="A55" s="8" t="s">
        <v>331</v>
      </c>
      <c r="B55" s="8" t="s">
        <v>332</v>
      </c>
      <c r="C55" s="8" t="s">
        <v>312</v>
      </c>
      <c r="D55" s="8" t="s">
        <v>327</v>
      </c>
      <c r="E55" s="8" t="s">
        <v>109</v>
      </c>
      <c r="F55" s="8" t="s">
        <v>333</v>
      </c>
      <c r="G55" s="8" t="s">
        <v>111</v>
      </c>
      <c r="H55" s="11" t="n">
        <v>2229000</v>
      </c>
      <c r="I55" s="8" t="s">
        <v>112</v>
      </c>
      <c r="J55" s="8" t="n">
        <v>65</v>
      </c>
      <c r="K55" s="8" t="s">
        <v>113</v>
      </c>
      <c r="L55" s="8" t="n">
        <v>5</v>
      </c>
      <c r="M55" s="8" t="s">
        <v>114</v>
      </c>
      <c r="N55" s="8" t="n">
        <v>538</v>
      </c>
      <c r="O55" s="8" t="s">
        <v>115</v>
      </c>
      <c r="P55" s="8" t="n">
        <v>420</v>
      </c>
      <c r="Q55" s="8"/>
      <c r="R55" s="8"/>
      <c r="S55" s="12" t="n">
        <v>6.46</v>
      </c>
      <c r="T55" s="8" t="s">
        <v>116</v>
      </c>
      <c r="U55" s="13" t="n">
        <f aca="false">IF(S55="","",((1-Assumptions!$B$4)*Assumptions!$B$2+Assumptions!$B$4*Assumptions!$B$3)/S55)</f>
        <v>1.45510835913313</v>
      </c>
      <c r="V55" s="11" t="n">
        <f aca="false">IF(U55="","",U55*Assumptions!$B$5*365*Assumptions!$B$6)</f>
        <v>106222.910216718</v>
      </c>
      <c r="W55" s="8" t="s">
        <v>117</v>
      </c>
      <c r="X55" s="11" t="n">
        <v>50000</v>
      </c>
      <c r="Y55" s="8" t="s">
        <v>329</v>
      </c>
      <c r="Z55" s="11" t="n">
        <f aca="false">IF(OR(G55&lt;&gt;"battery included",H55="",V55=""),"",H55+X55+V55)</f>
        <v>2385222.91021672</v>
      </c>
      <c r="AA55" s="8" t="n">
        <v>502</v>
      </c>
      <c r="AB55" s="8"/>
      <c r="AC55" s="8"/>
      <c r="AD55" s="8" t="n">
        <v>6</v>
      </c>
      <c r="AE55" s="8" t="s">
        <v>119</v>
      </c>
      <c r="AF55" s="8" t="s">
        <v>120</v>
      </c>
      <c r="AG55" s="8" t="s">
        <v>157</v>
      </c>
      <c r="AH55" s="8" t="s">
        <v>134</v>
      </c>
      <c r="AI55" s="8" t="s">
        <v>117</v>
      </c>
      <c r="AJ55" s="8" t="s">
        <v>157</v>
      </c>
      <c r="AK55" s="8" t="n">
        <v>100</v>
      </c>
      <c r="AL55" s="8" t="n">
        <v>93.6</v>
      </c>
      <c r="AM55" s="14" t="n">
        <f aca="false">IF(OR(S55="",AL55=""),"",100/S55/AL55*60)</f>
        <v>9.92299753909661</v>
      </c>
      <c r="AN55" s="8" t="n">
        <v>10.3</v>
      </c>
      <c r="AO55" s="8"/>
      <c r="AP55" s="8" t="s">
        <v>122</v>
      </c>
      <c r="AQ55" s="8" t="s">
        <v>201</v>
      </c>
      <c r="AR55" s="8"/>
      <c r="AS55" s="8"/>
      <c r="AT55" s="8" t="n">
        <v>3</v>
      </c>
      <c r="AU55" s="8" t="n">
        <v>600</v>
      </c>
      <c r="AV55" s="8" t="s">
        <v>330</v>
      </c>
    </row>
    <row r="56" customFormat="false" ht="15" hidden="false" customHeight="false" outlineLevel="0" collapsed="false">
      <c r="A56" s="8" t="s">
        <v>334</v>
      </c>
      <c r="B56" s="8" t="s">
        <v>335</v>
      </c>
      <c r="C56" s="8" t="s">
        <v>312</v>
      </c>
      <c r="D56" s="8" t="s">
        <v>327</v>
      </c>
      <c r="E56" s="8" t="s">
        <v>109</v>
      </c>
      <c r="F56" s="8" t="s">
        <v>336</v>
      </c>
      <c r="G56" s="8" t="s">
        <v>111</v>
      </c>
      <c r="H56" s="11" t="n">
        <v>2429000</v>
      </c>
      <c r="I56" s="8" t="s">
        <v>112</v>
      </c>
      <c r="J56" s="8" t="n">
        <v>65</v>
      </c>
      <c r="K56" s="8" t="s">
        <v>113</v>
      </c>
      <c r="L56" s="8" t="n">
        <v>5</v>
      </c>
      <c r="M56" s="8" t="s">
        <v>114</v>
      </c>
      <c r="N56" s="8" t="n">
        <v>538</v>
      </c>
      <c r="O56" s="8" t="s">
        <v>115</v>
      </c>
      <c r="P56" s="8" t="n">
        <v>420</v>
      </c>
      <c r="Q56" s="8"/>
      <c r="R56" s="8"/>
      <c r="S56" s="12" t="n">
        <v>6.46</v>
      </c>
      <c r="T56" s="8" t="s">
        <v>116</v>
      </c>
      <c r="U56" s="13" t="n">
        <f aca="false">IF(S56="","",((1-Assumptions!$B$4)*Assumptions!$B$2+Assumptions!$B$4*Assumptions!$B$3)/S56)</f>
        <v>1.45510835913313</v>
      </c>
      <c r="V56" s="11" t="n">
        <f aca="false">IF(U56="","",U56*Assumptions!$B$5*365*Assumptions!$B$6)</f>
        <v>106222.910216718</v>
      </c>
      <c r="W56" s="8" t="s">
        <v>117</v>
      </c>
      <c r="X56" s="11" t="n">
        <v>50000</v>
      </c>
      <c r="Y56" s="8" t="s">
        <v>329</v>
      </c>
      <c r="Z56" s="11" t="n">
        <f aca="false">IF(OR(G56&lt;&gt;"battery included",H56="",V56=""),"",H56+X56+V56)</f>
        <v>2585222.91021672</v>
      </c>
      <c r="AA56" s="8" t="n">
        <v>502</v>
      </c>
      <c r="AB56" s="8"/>
      <c r="AC56" s="8"/>
      <c r="AD56" s="8" t="n">
        <v>7</v>
      </c>
      <c r="AE56" s="8" t="s">
        <v>119</v>
      </c>
      <c r="AF56" s="8" t="s">
        <v>120</v>
      </c>
      <c r="AG56" s="8" t="s">
        <v>209</v>
      </c>
      <c r="AH56" s="8" t="s">
        <v>134</v>
      </c>
      <c r="AI56" s="8" t="s">
        <v>119</v>
      </c>
      <c r="AJ56" s="8" t="s">
        <v>157</v>
      </c>
      <c r="AK56" s="8" t="n">
        <v>100</v>
      </c>
      <c r="AL56" s="8" t="n">
        <v>93.6</v>
      </c>
      <c r="AM56" s="14" t="n">
        <f aca="false">IF(OR(S56="",AL56=""),"",100/S56/AL56*60)</f>
        <v>9.92299753909661</v>
      </c>
      <c r="AN56" s="8" t="n">
        <v>10.3</v>
      </c>
      <c r="AO56" s="8"/>
      <c r="AP56" s="8" t="s">
        <v>122</v>
      </c>
      <c r="AQ56" s="8" t="s">
        <v>201</v>
      </c>
      <c r="AR56" s="8"/>
      <c r="AS56" s="8"/>
      <c r="AT56" s="8" t="n">
        <v>3</v>
      </c>
      <c r="AU56" s="8" t="n">
        <v>600</v>
      </c>
      <c r="AV56" s="8" t="s">
        <v>330</v>
      </c>
    </row>
    <row r="57" customFormat="false" ht="15" hidden="false" customHeight="false" outlineLevel="0" collapsed="false">
      <c r="A57" s="8" t="s">
        <v>337</v>
      </c>
      <c r="B57" s="8" t="s">
        <v>338</v>
      </c>
      <c r="C57" s="8" t="s">
        <v>312</v>
      </c>
      <c r="D57" s="8" t="s">
        <v>327</v>
      </c>
      <c r="E57" s="8" t="s">
        <v>109</v>
      </c>
      <c r="F57" s="8" t="s">
        <v>339</v>
      </c>
      <c r="G57" s="8" t="s">
        <v>111</v>
      </c>
      <c r="H57" s="11" t="n">
        <v>2529000</v>
      </c>
      <c r="I57" s="8" t="s">
        <v>112</v>
      </c>
      <c r="J57" s="8" t="n">
        <v>75</v>
      </c>
      <c r="K57" s="8" t="s">
        <v>113</v>
      </c>
      <c r="L57" s="8" t="n">
        <v>5</v>
      </c>
      <c r="M57" s="8" t="s">
        <v>114</v>
      </c>
      <c r="N57" s="8" t="n">
        <v>627</v>
      </c>
      <c r="O57" s="8" t="s">
        <v>115</v>
      </c>
      <c r="P57" s="8" t="n">
        <v>480</v>
      </c>
      <c r="Q57" s="8"/>
      <c r="R57" s="8"/>
      <c r="S57" s="12" t="n">
        <v>6.4</v>
      </c>
      <c r="T57" s="8" t="s">
        <v>116</v>
      </c>
      <c r="U57" s="13" t="n">
        <f aca="false">IF(S57="","",((1-Assumptions!$B$4)*Assumptions!$B$2+Assumptions!$B$4*Assumptions!$B$3)/S57)</f>
        <v>1.46875</v>
      </c>
      <c r="V57" s="11" t="n">
        <f aca="false">IF(U57="","",U57*Assumptions!$B$5*365*Assumptions!$B$6)</f>
        <v>107218.75</v>
      </c>
      <c r="W57" s="8" t="s">
        <v>117</v>
      </c>
      <c r="X57" s="11" t="n">
        <v>50000</v>
      </c>
      <c r="Y57" s="8" t="s">
        <v>329</v>
      </c>
      <c r="Z57" s="11" t="n">
        <f aca="false">IF(OR(G57&lt;&gt;"battery included",H57="",V57=""),"",H57+X57+V57)</f>
        <v>2686218.75</v>
      </c>
      <c r="AA57" s="8" t="n">
        <v>502</v>
      </c>
      <c r="AB57" s="8"/>
      <c r="AC57" s="8"/>
      <c r="AD57" s="8" t="n">
        <v>7</v>
      </c>
      <c r="AE57" s="8" t="s">
        <v>119</v>
      </c>
      <c r="AF57" s="8" t="s">
        <v>120</v>
      </c>
      <c r="AG57" s="8" t="s">
        <v>209</v>
      </c>
      <c r="AH57" s="8" t="s">
        <v>134</v>
      </c>
      <c r="AI57" s="8" t="s">
        <v>119</v>
      </c>
      <c r="AJ57" s="8" t="s">
        <v>157</v>
      </c>
      <c r="AK57" s="8" t="n">
        <v>120</v>
      </c>
      <c r="AL57" s="8" t="n">
        <v>108</v>
      </c>
      <c r="AM57" s="14" t="n">
        <f aca="false">IF(OR(S57="",AL57=""),"",100/S57/AL57*60)</f>
        <v>8.68055555555556</v>
      </c>
      <c r="AN57" s="8" t="n">
        <v>11.9</v>
      </c>
      <c r="AO57" s="8"/>
      <c r="AP57" s="8" t="s">
        <v>122</v>
      </c>
      <c r="AQ57" s="8" t="s">
        <v>201</v>
      </c>
      <c r="AR57" s="8"/>
      <c r="AS57" s="8"/>
      <c r="AT57" s="8" t="n">
        <v>3</v>
      </c>
      <c r="AU57" s="8" t="n">
        <v>600</v>
      </c>
      <c r="AV57" s="8" t="s">
        <v>330</v>
      </c>
    </row>
    <row r="58" customFormat="false" ht="15" hidden="false" customHeight="false" outlineLevel="0" collapsed="false">
      <c r="A58" s="8" t="s">
        <v>340</v>
      </c>
      <c r="B58" s="8" t="s">
        <v>341</v>
      </c>
      <c r="C58" s="8" t="s">
        <v>312</v>
      </c>
      <c r="D58" s="8" t="s">
        <v>327</v>
      </c>
      <c r="E58" s="8" t="s">
        <v>109</v>
      </c>
      <c r="F58" s="8" t="s">
        <v>342</v>
      </c>
      <c r="G58" s="8" t="s">
        <v>111</v>
      </c>
      <c r="H58" s="11" t="n">
        <v>2679000</v>
      </c>
      <c r="I58" s="8" t="s">
        <v>112</v>
      </c>
      <c r="J58" s="8" t="n">
        <v>75</v>
      </c>
      <c r="K58" s="8" t="s">
        <v>343</v>
      </c>
      <c r="L58" s="8" t="n">
        <v>5</v>
      </c>
      <c r="M58" s="8" t="s">
        <v>114</v>
      </c>
      <c r="N58" s="8" t="n">
        <v>622</v>
      </c>
      <c r="O58" s="8" t="s">
        <v>115</v>
      </c>
      <c r="P58" s="8" t="n">
        <v>460</v>
      </c>
      <c r="Q58" s="8" t="n">
        <v>401</v>
      </c>
      <c r="R58" s="8" t="n">
        <v>64</v>
      </c>
      <c r="S58" s="12" t="n">
        <v>5.35</v>
      </c>
      <c r="T58" s="8" t="s">
        <v>145</v>
      </c>
      <c r="U58" s="13" t="n">
        <f aca="false">IF(S58="","",((1-Assumptions!$B$4)*Assumptions!$B$2+Assumptions!$B$4*Assumptions!$B$3)/S58)</f>
        <v>1.75700934579439</v>
      </c>
      <c r="V58" s="11" t="n">
        <f aca="false">IF(U58="","",U58*Assumptions!$B$5*365*Assumptions!$B$6)</f>
        <v>128261.682242991</v>
      </c>
      <c r="W58" s="8" t="s">
        <v>117</v>
      </c>
      <c r="X58" s="11" t="n">
        <v>50000</v>
      </c>
      <c r="Y58" s="8" t="s">
        <v>329</v>
      </c>
      <c r="Z58" s="11" t="n">
        <f aca="false">IF(OR(G58&lt;&gt;"battery included",H58="",V58=""),"",H58+X58+V58)</f>
        <v>2857261.68224299</v>
      </c>
      <c r="AA58" s="8" t="n">
        <v>502</v>
      </c>
      <c r="AB58" s="8"/>
      <c r="AC58" s="8"/>
      <c r="AD58" s="8" t="n">
        <v>7</v>
      </c>
      <c r="AE58" s="8" t="s">
        <v>119</v>
      </c>
      <c r="AF58" s="8" t="s">
        <v>120</v>
      </c>
      <c r="AG58" s="8" t="s">
        <v>209</v>
      </c>
      <c r="AH58" s="8" t="s">
        <v>134</v>
      </c>
      <c r="AI58" s="8" t="s">
        <v>119</v>
      </c>
      <c r="AJ58" s="8" t="s">
        <v>157</v>
      </c>
      <c r="AK58" s="8" t="n">
        <v>120</v>
      </c>
      <c r="AL58" s="8" t="n">
        <v>108</v>
      </c>
      <c r="AM58" s="14" t="n">
        <f aca="false">IF(OR(S58="",AL58=""),"",100/S58/AL58*60)</f>
        <v>10.3842159916926</v>
      </c>
      <c r="AN58" s="8" t="n">
        <v>11.9</v>
      </c>
      <c r="AO58" s="8"/>
      <c r="AP58" s="8" t="s">
        <v>122</v>
      </c>
      <c r="AQ58" s="8" t="s">
        <v>201</v>
      </c>
      <c r="AR58" s="8"/>
      <c r="AS58" s="8"/>
      <c r="AT58" s="8" t="n">
        <v>6</v>
      </c>
      <c r="AU58" s="8" t="n">
        <v>600</v>
      </c>
      <c r="AV58" s="8" t="s">
        <v>344</v>
      </c>
    </row>
    <row r="59" customFormat="false" ht="15" hidden="false" customHeight="false" outlineLevel="0" collapsed="false">
      <c r="A59" s="8" t="s">
        <v>345</v>
      </c>
      <c r="B59" s="8" t="s">
        <v>346</v>
      </c>
      <c r="C59" s="8" t="s">
        <v>312</v>
      </c>
      <c r="D59" s="8" t="s">
        <v>327</v>
      </c>
      <c r="E59" s="8" t="s">
        <v>109</v>
      </c>
      <c r="F59" s="8" t="s">
        <v>347</v>
      </c>
      <c r="G59" s="8" t="s">
        <v>111</v>
      </c>
      <c r="H59" s="11" t="n">
        <v>2779000</v>
      </c>
      <c r="I59" s="8" t="s">
        <v>112</v>
      </c>
      <c r="J59" s="8" t="n">
        <v>75</v>
      </c>
      <c r="K59" s="8" t="s">
        <v>113</v>
      </c>
      <c r="L59" s="8" t="n">
        <v>5</v>
      </c>
      <c r="M59" s="8" t="s">
        <v>114</v>
      </c>
      <c r="N59" s="8" t="n">
        <v>627</v>
      </c>
      <c r="O59" s="8" t="s">
        <v>115</v>
      </c>
      <c r="P59" s="8" t="n">
        <v>480</v>
      </c>
      <c r="Q59" s="8"/>
      <c r="R59" s="8"/>
      <c r="S59" s="12" t="n">
        <v>6.4</v>
      </c>
      <c r="T59" s="8" t="s">
        <v>116</v>
      </c>
      <c r="U59" s="13" t="n">
        <f aca="false">IF(S59="","",((1-Assumptions!$B$4)*Assumptions!$B$2+Assumptions!$B$4*Assumptions!$B$3)/S59)</f>
        <v>1.46875</v>
      </c>
      <c r="V59" s="11" t="n">
        <f aca="false">IF(U59="","",U59*Assumptions!$B$5*365*Assumptions!$B$6)</f>
        <v>107218.75</v>
      </c>
      <c r="W59" s="8" t="s">
        <v>117</v>
      </c>
      <c r="X59" s="11" t="n">
        <v>50000</v>
      </c>
      <c r="Y59" s="8" t="s">
        <v>329</v>
      </c>
      <c r="Z59" s="11" t="n">
        <f aca="false">IF(OR(G59&lt;&gt;"battery included",H59="",V59=""),"",H59+X59+V59)</f>
        <v>2936218.75</v>
      </c>
      <c r="AA59" s="8" t="n">
        <v>502</v>
      </c>
      <c r="AB59" s="8"/>
      <c r="AC59" s="8"/>
      <c r="AD59" s="8" t="n">
        <v>7</v>
      </c>
      <c r="AE59" s="8" t="s">
        <v>119</v>
      </c>
      <c r="AF59" s="8" t="s">
        <v>141</v>
      </c>
      <c r="AG59" s="8" t="s">
        <v>129</v>
      </c>
      <c r="AH59" s="8" t="s">
        <v>134</v>
      </c>
      <c r="AI59" s="8" t="s">
        <v>119</v>
      </c>
      <c r="AJ59" s="8" t="s">
        <v>157</v>
      </c>
      <c r="AK59" s="8" t="n">
        <v>120</v>
      </c>
      <c r="AL59" s="8" t="n">
        <v>108</v>
      </c>
      <c r="AM59" s="14" t="n">
        <f aca="false">IF(OR(S59="",AL59=""),"",100/S59/AL59*60)</f>
        <v>8.68055555555556</v>
      </c>
      <c r="AN59" s="8" t="n">
        <v>11.9</v>
      </c>
      <c r="AO59" s="8"/>
      <c r="AP59" s="8" t="s">
        <v>122</v>
      </c>
      <c r="AQ59" s="8" t="s">
        <v>201</v>
      </c>
      <c r="AR59" s="8"/>
      <c r="AS59" s="8"/>
      <c r="AT59" s="8" t="n">
        <v>4</v>
      </c>
      <c r="AU59" s="8" t="n">
        <v>600</v>
      </c>
      <c r="AV59" s="8" t="s">
        <v>330</v>
      </c>
    </row>
    <row r="60" customFormat="false" ht="15" hidden="false" customHeight="false" outlineLevel="0" collapsed="false">
      <c r="A60" s="8" t="s">
        <v>348</v>
      </c>
      <c r="B60" s="8" t="s">
        <v>349</v>
      </c>
      <c r="C60" s="8" t="s">
        <v>312</v>
      </c>
      <c r="D60" s="8" t="s">
        <v>327</v>
      </c>
      <c r="E60" s="8" t="s">
        <v>109</v>
      </c>
      <c r="F60" s="8" t="s">
        <v>350</v>
      </c>
      <c r="G60" s="8" t="s">
        <v>111</v>
      </c>
      <c r="H60" s="11" t="n">
        <v>2929000</v>
      </c>
      <c r="I60" s="8" t="s">
        <v>112</v>
      </c>
      <c r="J60" s="8" t="n">
        <v>75</v>
      </c>
      <c r="K60" s="8" t="s">
        <v>343</v>
      </c>
      <c r="L60" s="8" t="n">
        <v>5</v>
      </c>
      <c r="M60" s="8" t="s">
        <v>114</v>
      </c>
      <c r="N60" s="8" t="n">
        <v>622</v>
      </c>
      <c r="O60" s="8" t="s">
        <v>115</v>
      </c>
      <c r="P60" s="8" t="n">
        <v>460</v>
      </c>
      <c r="Q60" s="8" t="n">
        <v>401</v>
      </c>
      <c r="R60" s="8" t="n">
        <v>64</v>
      </c>
      <c r="S60" s="12" t="n">
        <v>5.35</v>
      </c>
      <c r="T60" s="8" t="s">
        <v>145</v>
      </c>
      <c r="U60" s="13" t="n">
        <f aca="false">IF(S60="","",((1-Assumptions!$B$4)*Assumptions!$B$2+Assumptions!$B$4*Assumptions!$B$3)/S60)</f>
        <v>1.75700934579439</v>
      </c>
      <c r="V60" s="11" t="n">
        <f aca="false">IF(U60="","",U60*Assumptions!$B$5*365*Assumptions!$B$6)</f>
        <v>128261.682242991</v>
      </c>
      <c r="W60" s="8" t="s">
        <v>117</v>
      </c>
      <c r="X60" s="11" t="n">
        <v>50000</v>
      </c>
      <c r="Y60" s="8" t="s">
        <v>329</v>
      </c>
      <c r="Z60" s="11" t="n">
        <f aca="false">IF(OR(G60&lt;&gt;"battery included",H60="",V60=""),"",H60+X60+V60)</f>
        <v>3107261.68224299</v>
      </c>
      <c r="AA60" s="8" t="n">
        <v>502</v>
      </c>
      <c r="AB60" s="8"/>
      <c r="AC60" s="8"/>
      <c r="AD60" s="8" t="n">
        <v>7</v>
      </c>
      <c r="AE60" s="8" t="s">
        <v>119</v>
      </c>
      <c r="AF60" s="8" t="s">
        <v>141</v>
      </c>
      <c r="AG60" s="8" t="s">
        <v>129</v>
      </c>
      <c r="AH60" s="8" t="s">
        <v>134</v>
      </c>
      <c r="AI60" s="8" t="s">
        <v>119</v>
      </c>
      <c r="AJ60" s="8" t="s">
        <v>157</v>
      </c>
      <c r="AK60" s="8" t="n">
        <v>120</v>
      </c>
      <c r="AL60" s="8" t="n">
        <v>108</v>
      </c>
      <c r="AM60" s="14" t="n">
        <f aca="false">IF(OR(S60="",AL60=""),"",100/S60/AL60*60)</f>
        <v>10.3842159916926</v>
      </c>
      <c r="AN60" s="8" t="n">
        <v>11.9</v>
      </c>
      <c r="AO60" s="8"/>
      <c r="AP60" s="8" t="s">
        <v>122</v>
      </c>
      <c r="AQ60" s="8" t="s">
        <v>201</v>
      </c>
      <c r="AR60" s="8"/>
      <c r="AS60" s="8"/>
      <c r="AT60" s="8" t="n">
        <v>6</v>
      </c>
      <c r="AU60" s="8" t="n">
        <v>600</v>
      </c>
      <c r="AV60" s="8" t="s">
        <v>344</v>
      </c>
    </row>
    <row r="61" customFormat="false" ht="15" hidden="false" customHeight="false" outlineLevel="0" collapsed="false">
      <c r="A61" s="8" t="s">
        <v>351</v>
      </c>
      <c r="B61" s="8" t="s">
        <v>352</v>
      </c>
      <c r="C61" s="8" t="s">
        <v>312</v>
      </c>
      <c r="D61" s="8" t="s">
        <v>353</v>
      </c>
      <c r="E61" s="8" t="s">
        <v>109</v>
      </c>
      <c r="F61" s="8" t="s">
        <v>354</v>
      </c>
      <c r="G61" s="8" t="s">
        <v>111</v>
      </c>
      <c r="H61" s="11" t="n">
        <v>1249000</v>
      </c>
      <c r="I61" s="8" t="s">
        <v>112</v>
      </c>
      <c r="J61" s="8" t="n">
        <v>30</v>
      </c>
      <c r="K61" s="8" t="s">
        <v>302</v>
      </c>
      <c r="L61" s="8" t="n">
        <v>5</v>
      </c>
      <c r="M61" s="8" t="s">
        <v>114</v>
      </c>
      <c r="N61" s="8" t="n">
        <v>275</v>
      </c>
      <c r="O61" s="8" t="s">
        <v>115</v>
      </c>
      <c r="P61" s="8" t="n">
        <v>210</v>
      </c>
      <c r="Q61" s="8"/>
      <c r="R61" s="8"/>
      <c r="S61" s="12" t="n">
        <v>7</v>
      </c>
      <c r="T61" s="8" t="s">
        <v>116</v>
      </c>
      <c r="U61" s="13" t="n">
        <f aca="false">IF(S61="","",((1-Assumptions!$B$4)*Assumptions!$B$2+Assumptions!$B$4*Assumptions!$B$3)/S61)</f>
        <v>1.34285714285714</v>
      </c>
      <c r="V61" s="11" t="n">
        <f aca="false">IF(U61="","",U61*Assumptions!$B$5*365*Assumptions!$B$6)</f>
        <v>98028.5714285715</v>
      </c>
      <c r="W61" s="8" t="s">
        <v>157</v>
      </c>
      <c r="X61" s="11" t="n">
        <v>50000</v>
      </c>
      <c r="Y61" s="8" t="s">
        <v>355</v>
      </c>
      <c r="Z61" s="11" t="n">
        <f aca="false">IF(OR(G61&lt;&gt;"battery included",H61="",V61=""),"",H61+X61+V61)</f>
        <v>1397028.57142857</v>
      </c>
      <c r="AA61" s="8" t="n">
        <v>350</v>
      </c>
      <c r="AB61" s="8" t="n">
        <v>205</v>
      </c>
      <c r="AC61" s="8"/>
      <c r="AD61" s="8" t="n">
        <v>6</v>
      </c>
      <c r="AE61" s="8" t="s">
        <v>119</v>
      </c>
      <c r="AF61" s="8" t="s">
        <v>120</v>
      </c>
      <c r="AG61" s="8" t="s">
        <v>121</v>
      </c>
      <c r="AH61" s="8" t="s">
        <v>120</v>
      </c>
      <c r="AI61" s="8" t="s">
        <v>117</v>
      </c>
      <c r="AJ61" s="8" t="s">
        <v>157</v>
      </c>
      <c r="AK61" s="8" t="n">
        <v>50</v>
      </c>
      <c r="AL61" s="8" t="n">
        <v>22.5</v>
      </c>
      <c r="AM61" s="14" t="n">
        <f aca="false">IF(OR(S61="",AL61=""),"",100/S61/AL61*60)</f>
        <v>38.0952380952381</v>
      </c>
      <c r="AN61" s="8" t="n">
        <v>4.8</v>
      </c>
      <c r="AO61" s="8"/>
      <c r="AP61" s="8" t="s">
        <v>356</v>
      </c>
      <c r="AQ61" s="8" t="s">
        <v>123</v>
      </c>
      <c r="AR61" s="8" t="n">
        <v>29.86</v>
      </c>
      <c r="AS61" s="8" t="n">
        <v>44.95</v>
      </c>
      <c r="AT61" s="8"/>
      <c r="AU61" s="8"/>
      <c r="AV61" s="8" t="s">
        <v>357</v>
      </c>
    </row>
    <row r="62" customFormat="false" ht="15" hidden="false" customHeight="false" outlineLevel="0" collapsed="false">
      <c r="A62" s="8" t="s">
        <v>358</v>
      </c>
      <c r="B62" s="8" t="s">
        <v>359</v>
      </c>
      <c r="C62" s="8" t="s">
        <v>312</v>
      </c>
      <c r="D62" s="8" t="s">
        <v>353</v>
      </c>
      <c r="E62" s="8" t="s">
        <v>109</v>
      </c>
      <c r="F62" s="8" t="s">
        <v>360</v>
      </c>
      <c r="G62" s="8" t="s">
        <v>111</v>
      </c>
      <c r="H62" s="11" t="n">
        <v>1329000</v>
      </c>
      <c r="I62" s="8" t="s">
        <v>112</v>
      </c>
      <c r="J62" s="8" t="n">
        <v>30</v>
      </c>
      <c r="K62" s="8" t="s">
        <v>302</v>
      </c>
      <c r="L62" s="8" t="n">
        <v>5</v>
      </c>
      <c r="M62" s="8" t="s">
        <v>114</v>
      </c>
      <c r="N62" s="8" t="n">
        <v>275</v>
      </c>
      <c r="O62" s="8" t="s">
        <v>115</v>
      </c>
      <c r="P62" s="8" t="n">
        <v>210</v>
      </c>
      <c r="Q62" s="8"/>
      <c r="R62" s="8"/>
      <c r="S62" s="12" t="n">
        <v>7</v>
      </c>
      <c r="T62" s="8" t="s">
        <v>116</v>
      </c>
      <c r="U62" s="13" t="n">
        <f aca="false">IF(S62="","",((1-Assumptions!$B$4)*Assumptions!$B$2+Assumptions!$B$4*Assumptions!$B$3)/S62)</f>
        <v>1.34285714285714</v>
      </c>
      <c r="V62" s="11" t="n">
        <f aca="false">IF(U62="","",U62*Assumptions!$B$5*365*Assumptions!$B$6)</f>
        <v>98028.5714285715</v>
      </c>
      <c r="W62" s="8" t="s">
        <v>157</v>
      </c>
      <c r="X62" s="11" t="n">
        <v>50000</v>
      </c>
      <c r="Y62" s="8" t="s">
        <v>355</v>
      </c>
      <c r="Z62" s="11" t="n">
        <f aca="false">IF(OR(G62&lt;&gt;"battery included",H62="",V62=""),"",H62+X62+V62)</f>
        <v>1477028.57142857</v>
      </c>
      <c r="AA62" s="8" t="n">
        <v>350</v>
      </c>
      <c r="AB62" s="8" t="n">
        <v>205</v>
      </c>
      <c r="AC62" s="8"/>
      <c r="AD62" s="8" t="n">
        <v>6</v>
      </c>
      <c r="AE62" s="8" t="s">
        <v>119</v>
      </c>
      <c r="AF62" s="8" t="s">
        <v>120</v>
      </c>
      <c r="AG62" s="8" t="s">
        <v>121</v>
      </c>
      <c r="AH62" s="8" t="s">
        <v>120</v>
      </c>
      <c r="AI62" s="8" t="s">
        <v>117</v>
      </c>
      <c r="AJ62" s="8" t="s">
        <v>157</v>
      </c>
      <c r="AK62" s="8" t="n">
        <v>50</v>
      </c>
      <c r="AL62" s="8" t="n">
        <v>22.5</v>
      </c>
      <c r="AM62" s="14" t="n">
        <f aca="false">IF(OR(S62="",AL62=""),"",100/S62/AL62*60)</f>
        <v>38.0952380952381</v>
      </c>
      <c r="AN62" s="8" t="n">
        <v>4.8</v>
      </c>
      <c r="AO62" s="8"/>
      <c r="AP62" s="8" t="s">
        <v>356</v>
      </c>
      <c r="AQ62" s="8" t="s">
        <v>123</v>
      </c>
      <c r="AR62" s="8" t="n">
        <v>29.86</v>
      </c>
      <c r="AS62" s="8" t="n">
        <v>44.95</v>
      </c>
      <c r="AT62" s="8"/>
      <c r="AU62" s="8"/>
      <c r="AV62" s="8" t="s">
        <v>357</v>
      </c>
    </row>
    <row r="63" customFormat="false" ht="15" hidden="false" customHeight="false" outlineLevel="0" collapsed="false">
      <c r="A63" s="8" t="s">
        <v>361</v>
      </c>
      <c r="B63" s="8" t="s">
        <v>362</v>
      </c>
      <c r="C63" s="8" t="s">
        <v>312</v>
      </c>
      <c r="D63" s="8" t="s">
        <v>353</v>
      </c>
      <c r="E63" s="8" t="s">
        <v>109</v>
      </c>
      <c r="F63" s="8" t="s">
        <v>363</v>
      </c>
      <c r="G63" s="8" t="s">
        <v>111</v>
      </c>
      <c r="H63" s="11" t="n">
        <v>1434000</v>
      </c>
      <c r="I63" s="8" t="s">
        <v>112</v>
      </c>
      <c r="J63" s="8" t="n">
        <v>45</v>
      </c>
      <c r="K63" s="8" t="s">
        <v>302</v>
      </c>
      <c r="L63" s="8" t="n">
        <v>5</v>
      </c>
      <c r="M63" s="8" t="s">
        <v>114</v>
      </c>
      <c r="N63" s="8" t="n">
        <v>489</v>
      </c>
      <c r="O63" s="8" t="s">
        <v>115</v>
      </c>
      <c r="P63" s="8" t="n">
        <v>350</v>
      </c>
      <c r="Q63" s="8" t="n">
        <v>350</v>
      </c>
      <c r="R63" s="8" t="n">
        <v>72</v>
      </c>
      <c r="S63" s="12" t="n">
        <v>7.79</v>
      </c>
      <c r="T63" s="8" t="s">
        <v>145</v>
      </c>
      <c r="U63" s="13" t="n">
        <f aca="false">IF(S63="","",((1-Assumptions!$B$4)*Assumptions!$B$2+Assumptions!$B$4*Assumptions!$B$3)/S63)</f>
        <v>1.20667522464698</v>
      </c>
      <c r="V63" s="11" t="n">
        <f aca="false">IF(U63="","",U63*Assumptions!$B$5*365*Assumptions!$B$6)</f>
        <v>88087.2913992298</v>
      </c>
      <c r="W63" s="8" t="s">
        <v>157</v>
      </c>
      <c r="X63" s="11" t="n">
        <v>50000</v>
      </c>
      <c r="Y63" s="8" t="s">
        <v>355</v>
      </c>
      <c r="Z63" s="11" t="n">
        <f aca="false">IF(OR(G63&lt;&gt;"battery included",H63="",V63=""),"",H63+X63+V63)</f>
        <v>1572087.29139923</v>
      </c>
      <c r="AA63" s="8" t="n">
        <v>350</v>
      </c>
      <c r="AB63" s="8" t="n">
        <v>190</v>
      </c>
      <c r="AC63" s="8"/>
      <c r="AD63" s="8" t="n">
        <v>6</v>
      </c>
      <c r="AE63" s="8" t="s">
        <v>119</v>
      </c>
      <c r="AF63" s="8" t="s">
        <v>120</v>
      </c>
      <c r="AG63" s="8" t="s">
        <v>121</v>
      </c>
      <c r="AH63" s="8" t="s">
        <v>120</v>
      </c>
      <c r="AI63" s="8" t="s">
        <v>117</v>
      </c>
      <c r="AJ63" s="8" t="s">
        <v>157</v>
      </c>
      <c r="AK63" s="8" t="n">
        <v>60</v>
      </c>
      <c r="AL63" s="8" t="n">
        <v>47.2</v>
      </c>
      <c r="AM63" s="14" t="n">
        <f aca="false">IF(OR(S63="",AL63=""),"",100/S63/AL63*60)</f>
        <v>16.3181828071626</v>
      </c>
      <c r="AN63" s="8" t="n">
        <v>7.3</v>
      </c>
      <c r="AO63" s="8"/>
      <c r="AP63" s="8" t="s">
        <v>122</v>
      </c>
      <c r="AQ63" s="8" t="s">
        <v>258</v>
      </c>
      <c r="AR63" s="8" t="n">
        <v>29.86</v>
      </c>
      <c r="AS63" s="8" t="n">
        <v>44.95</v>
      </c>
      <c r="AT63" s="8"/>
      <c r="AU63" s="8"/>
      <c r="AV63" s="8" t="s">
        <v>318</v>
      </c>
    </row>
    <row r="64" customFormat="false" ht="15" hidden="false" customHeight="false" outlineLevel="0" collapsed="false">
      <c r="A64" s="8" t="s">
        <v>364</v>
      </c>
      <c r="B64" s="8" t="s">
        <v>365</v>
      </c>
      <c r="C64" s="8" t="s">
        <v>312</v>
      </c>
      <c r="D64" s="8" t="s">
        <v>353</v>
      </c>
      <c r="E64" s="8" t="s">
        <v>109</v>
      </c>
      <c r="F64" s="8" t="s">
        <v>366</v>
      </c>
      <c r="G64" s="8" t="s">
        <v>111</v>
      </c>
      <c r="H64" s="11" t="n">
        <v>1534000</v>
      </c>
      <c r="I64" s="8" t="s">
        <v>112</v>
      </c>
      <c r="J64" s="8" t="n">
        <v>45</v>
      </c>
      <c r="K64" s="8" t="s">
        <v>302</v>
      </c>
      <c r="L64" s="8" t="n">
        <v>5</v>
      </c>
      <c r="M64" s="8" t="s">
        <v>114</v>
      </c>
      <c r="N64" s="8" t="n">
        <v>489</v>
      </c>
      <c r="O64" s="8" t="s">
        <v>115</v>
      </c>
      <c r="P64" s="8" t="n">
        <v>350</v>
      </c>
      <c r="Q64" s="8" t="n">
        <v>350</v>
      </c>
      <c r="R64" s="8" t="n">
        <v>72</v>
      </c>
      <c r="S64" s="12" t="n">
        <v>7.79</v>
      </c>
      <c r="T64" s="8" t="s">
        <v>145</v>
      </c>
      <c r="U64" s="13" t="n">
        <f aca="false">IF(S64="","",((1-Assumptions!$B$4)*Assumptions!$B$2+Assumptions!$B$4*Assumptions!$B$3)/S64)</f>
        <v>1.20667522464698</v>
      </c>
      <c r="V64" s="11" t="n">
        <f aca="false">IF(U64="","",U64*Assumptions!$B$5*365*Assumptions!$B$6)</f>
        <v>88087.2913992298</v>
      </c>
      <c r="W64" s="8" t="s">
        <v>157</v>
      </c>
      <c r="X64" s="11" t="n">
        <v>50000</v>
      </c>
      <c r="Y64" s="8" t="s">
        <v>355</v>
      </c>
      <c r="Z64" s="11" t="n">
        <f aca="false">IF(OR(G64&lt;&gt;"battery included",H64="",V64=""),"",H64+X64+V64)</f>
        <v>1672087.29139923</v>
      </c>
      <c r="AA64" s="8" t="n">
        <v>350</v>
      </c>
      <c r="AB64" s="8" t="n">
        <v>190</v>
      </c>
      <c r="AC64" s="8"/>
      <c r="AD64" s="8" t="n">
        <v>6</v>
      </c>
      <c r="AE64" s="8" t="s">
        <v>119</v>
      </c>
      <c r="AF64" s="8" t="s">
        <v>120</v>
      </c>
      <c r="AG64" s="8" t="s">
        <v>121</v>
      </c>
      <c r="AH64" s="8" t="s">
        <v>120</v>
      </c>
      <c r="AI64" s="8" t="s">
        <v>117</v>
      </c>
      <c r="AJ64" s="8" t="s">
        <v>157</v>
      </c>
      <c r="AK64" s="8" t="n">
        <v>60</v>
      </c>
      <c r="AL64" s="8" t="n">
        <v>47.2</v>
      </c>
      <c r="AM64" s="14" t="n">
        <f aca="false">IF(OR(S64="",AL64=""),"",100/S64/AL64*60)</f>
        <v>16.3181828071626</v>
      </c>
      <c r="AN64" s="8" t="n">
        <v>7.3</v>
      </c>
      <c r="AO64" s="8"/>
      <c r="AP64" s="8" t="s">
        <v>122</v>
      </c>
      <c r="AQ64" s="8" t="s">
        <v>258</v>
      </c>
      <c r="AR64" s="8" t="n">
        <v>29.86</v>
      </c>
      <c r="AS64" s="8" t="n">
        <v>44.95</v>
      </c>
      <c r="AT64" s="8"/>
      <c r="AU64" s="8"/>
      <c r="AV64" s="8" t="s">
        <v>318</v>
      </c>
    </row>
    <row r="65" customFormat="false" ht="15" hidden="false" customHeight="false" outlineLevel="0" collapsed="false">
      <c r="A65" s="8" t="s">
        <v>367</v>
      </c>
      <c r="B65" s="8" t="s">
        <v>368</v>
      </c>
      <c r="C65" s="8" t="s">
        <v>312</v>
      </c>
      <c r="D65" s="8" t="s">
        <v>353</v>
      </c>
      <c r="E65" s="8" t="s">
        <v>109</v>
      </c>
      <c r="F65" s="8" t="s">
        <v>369</v>
      </c>
      <c r="G65" s="8" t="s">
        <v>111</v>
      </c>
      <c r="H65" s="11" t="n">
        <v>1634000</v>
      </c>
      <c r="I65" s="8" t="s">
        <v>112</v>
      </c>
      <c r="J65" s="8" t="n">
        <v>45</v>
      </c>
      <c r="K65" s="8" t="s">
        <v>302</v>
      </c>
      <c r="L65" s="8" t="n">
        <v>5</v>
      </c>
      <c r="M65" s="8" t="s">
        <v>114</v>
      </c>
      <c r="N65" s="8" t="n">
        <v>489</v>
      </c>
      <c r="O65" s="8" t="s">
        <v>115</v>
      </c>
      <c r="P65" s="8" t="n">
        <v>350</v>
      </c>
      <c r="Q65" s="8" t="n">
        <v>350</v>
      </c>
      <c r="R65" s="8" t="n">
        <v>72</v>
      </c>
      <c r="S65" s="12" t="n">
        <v>7.79</v>
      </c>
      <c r="T65" s="8" t="s">
        <v>145</v>
      </c>
      <c r="U65" s="13" t="n">
        <f aca="false">IF(S65="","",((1-Assumptions!$B$4)*Assumptions!$B$2+Assumptions!$B$4*Assumptions!$B$3)/S65)</f>
        <v>1.20667522464698</v>
      </c>
      <c r="V65" s="11" t="n">
        <f aca="false">IF(U65="","",U65*Assumptions!$B$5*365*Assumptions!$B$6)</f>
        <v>88087.2913992298</v>
      </c>
      <c r="W65" s="8" t="s">
        <v>157</v>
      </c>
      <c r="X65" s="11" t="n">
        <v>50000</v>
      </c>
      <c r="Y65" s="8" t="s">
        <v>355</v>
      </c>
      <c r="Z65" s="11" t="n">
        <f aca="false">IF(OR(G65&lt;&gt;"battery included",H65="",V65=""),"",H65+X65+V65)</f>
        <v>1772087.29139923</v>
      </c>
      <c r="AA65" s="8" t="n">
        <v>350</v>
      </c>
      <c r="AB65" s="8" t="n">
        <v>190</v>
      </c>
      <c r="AC65" s="8"/>
      <c r="AD65" s="8" t="n">
        <v>6</v>
      </c>
      <c r="AE65" s="8" t="s">
        <v>119</v>
      </c>
      <c r="AF65" s="8" t="s">
        <v>120</v>
      </c>
      <c r="AG65" s="8" t="s">
        <v>209</v>
      </c>
      <c r="AH65" s="8" t="s">
        <v>304</v>
      </c>
      <c r="AI65" s="8" t="s">
        <v>117</v>
      </c>
      <c r="AJ65" s="8" t="s">
        <v>157</v>
      </c>
      <c r="AK65" s="8" t="n">
        <v>60</v>
      </c>
      <c r="AL65" s="8" t="n">
        <v>47.2</v>
      </c>
      <c r="AM65" s="14" t="n">
        <f aca="false">IF(OR(S65="",AL65=""),"",100/S65/AL65*60)</f>
        <v>16.3181828071626</v>
      </c>
      <c r="AN65" s="8" t="n">
        <v>7.3</v>
      </c>
      <c r="AO65" s="8"/>
      <c r="AP65" s="8" t="s">
        <v>122</v>
      </c>
      <c r="AQ65" s="8" t="s">
        <v>258</v>
      </c>
      <c r="AR65" s="8" t="n">
        <v>29.86</v>
      </c>
      <c r="AS65" s="8" t="n">
        <v>44.95</v>
      </c>
      <c r="AT65" s="8"/>
      <c r="AU65" s="8"/>
      <c r="AV65" s="8" t="s">
        <v>318</v>
      </c>
    </row>
    <row r="66" customFormat="false" ht="15" hidden="false" customHeight="false" outlineLevel="0" collapsed="false">
      <c r="A66" s="8" t="s">
        <v>370</v>
      </c>
      <c r="B66" s="8" t="s">
        <v>371</v>
      </c>
      <c r="C66" s="8" t="s">
        <v>312</v>
      </c>
      <c r="D66" s="8" t="s">
        <v>353</v>
      </c>
      <c r="E66" s="8" t="s">
        <v>109</v>
      </c>
      <c r="F66" s="8" t="s">
        <v>372</v>
      </c>
      <c r="G66" s="8" t="s">
        <v>111</v>
      </c>
      <c r="H66" s="11" t="n">
        <v>1769000</v>
      </c>
      <c r="I66" s="8" t="s">
        <v>112</v>
      </c>
      <c r="J66" s="8" t="n">
        <v>45</v>
      </c>
      <c r="K66" s="8" t="s">
        <v>302</v>
      </c>
      <c r="L66" s="8" t="n">
        <v>5</v>
      </c>
      <c r="M66" s="8" t="s">
        <v>114</v>
      </c>
      <c r="N66" s="8" t="n">
        <v>489</v>
      </c>
      <c r="O66" s="8" t="s">
        <v>115</v>
      </c>
      <c r="P66" s="8" t="n">
        <v>350</v>
      </c>
      <c r="Q66" s="8" t="n">
        <v>350</v>
      </c>
      <c r="R66" s="8" t="n">
        <v>72</v>
      </c>
      <c r="S66" s="12" t="n">
        <v>7.79</v>
      </c>
      <c r="T66" s="8" t="s">
        <v>145</v>
      </c>
      <c r="U66" s="13" t="n">
        <f aca="false">IF(S66="","",((1-Assumptions!$B$4)*Assumptions!$B$2+Assumptions!$B$4*Assumptions!$B$3)/S66)</f>
        <v>1.20667522464698</v>
      </c>
      <c r="V66" s="11" t="n">
        <f aca="false">IF(U66="","",U66*Assumptions!$B$5*365*Assumptions!$B$6)</f>
        <v>88087.2913992298</v>
      </c>
      <c r="W66" s="8" t="s">
        <v>322</v>
      </c>
      <c r="X66" s="11" t="n">
        <v>0</v>
      </c>
      <c r="Y66" s="8" t="s">
        <v>323</v>
      </c>
      <c r="Z66" s="11" t="n">
        <f aca="false">IF(OR(G66&lt;&gt;"battery included",H66="",V66=""),"",H66+X66+V66)</f>
        <v>1857087.29139923</v>
      </c>
      <c r="AA66" s="8" t="n">
        <v>350</v>
      </c>
      <c r="AB66" s="8" t="n">
        <v>190</v>
      </c>
      <c r="AC66" s="8"/>
      <c r="AD66" s="8" t="n">
        <v>6</v>
      </c>
      <c r="AE66" s="8" t="s">
        <v>119</v>
      </c>
      <c r="AF66" s="8" t="s">
        <v>141</v>
      </c>
      <c r="AG66" s="8" t="s">
        <v>209</v>
      </c>
      <c r="AH66" s="8" t="s">
        <v>134</v>
      </c>
      <c r="AI66" s="8" t="s">
        <v>119</v>
      </c>
      <c r="AJ66" s="8" t="s">
        <v>157</v>
      </c>
      <c r="AK66" s="8" t="n">
        <v>60</v>
      </c>
      <c r="AL66" s="8" t="n">
        <v>47.2</v>
      </c>
      <c r="AM66" s="14" t="n">
        <f aca="false">IF(OR(S66="",AL66=""),"",100/S66/AL66*60)</f>
        <v>16.3181828071626</v>
      </c>
      <c r="AN66" s="8" t="n">
        <v>7.3</v>
      </c>
      <c r="AO66" s="8"/>
      <c r="AP66" s="8" t="s">
        <v>122</v>
      </c>
      <c r="AQ66" s="8" t="s">
        <v>258</v>
      </c>
      <c r="AR66" s="8" t="n">
        <v>29.86</v>
      </c>
      <c r="AS66" s="8" t="n">
        <v>44.95</v>
      </c>
      <c r="AT66" s="8"/>
      <c r="AU66" s="8"/>
      <c r="AV66" s="8" t="s">
        <v>324</v>
      </c>
    </row>
    <row r="67" customFormat="false" ht="15" hidden="false" customHeight="false" outlineLevel="0" collapsed="false">
      <c r="A67" s="8" t="s">
        <v>373</v>
      </c>
      <c r="B67" s="8" t="s">
        <v>374</v>
      </c>
      <c r="C67" s="8" t="s">
        <v>312</v>
      </c>
      <c r="D67" s="8" t="s">
        <v>375</v>
      </c>
      <c r="E67" s="8" t="s">
        <v>109</v>
      </c>
      <c r="F67" s="8" t="s">
        <v>376</v>
      </c>
      <c r="G67" s="8" t="s">
        <v>111</v>
      </c>
      <c r="H67" s="11" t="n">
        <v>979000</v>
      </c>
      <c r="I67" s="8" t="s">
        <v>112</v>
      </c>
      <c r="J67" s="8" t="n">
        <v>30</v>
      </c>
      <c r="K67" s="8" t="s">
        <v>302</v>
      </c>
      <c r="L67" s="8" t="n">
        <v>5</v>
      </c>
      <c r="M67" s="8" t="s">
        <v>114</v>
      </c>
      <c r="N67" s="8" t="n">
        <v>365</v>
      </c>
      <c r="O67" s="8" t="s">
        <v>115</v>
      </c>
      <c r="P67" s="8" t="n">
        <v>260</v>
      </c>
      <c r="Q67" s="8"/>
      <c r="R67" s="8"/>
      <c r="S67" s="12" t="n">
        <v>8.67</v>
      </c>
      <c r="T67" s="8" t="s">
        <v>116</v>
      </c>
      <c r="U67" s="13" t="n">
        <f aca="false">IF(S67="","",((1-Assumptions!$B$4)*Assumptions!$B$2+Assumptions!$B$4*Assumptions!$B$3)/S67)</f>
        <v>1.08419838523645</v>
      </c>
      <c r="V67" s="11" t="n">
        <f aca="false">IF(U67="","",U67*Assumptions!$B$5*365*Assumptions!$B$6)</f>
        <v>79146.4821222607</v>
      </c>
      <c r="W67" s="8" t="s">
        <v>377</v>
      </c>
      <c r="X67" s="11" t="n">
        <v>0</v>
      </c>
      <c r="Y67" s="8" t="s">
        <v>378</v>
      </c>
      <c r="Z67" s="11" t="n">
        <f aca="false">IF(OR(G67&lt;&gt;"battery included",H67="",V67=""),"",H67+X67+V67)</f>
        <v>1058146.48212226</v>
      </c>
      <c r="AA67" s="8" t="n">
        <v>366</v>
      </c>
      <c r="AB67" s="8" t="n">
        <v>195</v>
      </c>
      <c r="AC67" s="8"/>
      <c r="AD67" s="8" t="n">
        <v>6</v>
      </c>
      <c r="AE67" s="8" t="s">
        <v>119</v>
      </c>
      <c r="AF67" s="8" t="s">
        <v>120</v>
      </c>
      <c r="AG67" s="8" t="s">
        <v>379</v>
      </c>
      <c r="AH67" s="8" t="s">
        <v>120</v>
      </c>
      <c r="AI67" s="8" t="s">
        <v>117</v>
      </c>
      <c r="AJ67" s="8" t="s">
        <v>157</v>
      </c>
      <c r="AK67" s="8" t="n">
        <v>65</v>
      </c>
      <c r="AL67" s="8" t="n">
        <v>42</v>
      </c>
      <c r="AM67" s="14" t="n">
        <f aca="false">IF(OR(S67="",AL67=""),"",100/S67/AL67*60)</f>
        <v>16.4771791069369</v>
      </c>
      <c r="AN67" s="8" t="n">
        <v>5</v>
      </c>
      <c r="AO67" s="8"/>
      <c r="AP67" s="8" t="s">
        <v>356</v>
      </c>
      <c r="AQ67" s="8" t="s">
        <v>258</v>
      </c>
      <c r="AR67" s="8" t="n">
        <v>31.09</v>
      </c>
      <c r="AS67" s="8" t="n">
        <v>45</v>
      </c>
      <c r="AT67" s="8"/>
      <c r="AU67" s="8"/>
      <c r="AV67" s="8" t="s">
        <v>380</v>
      </c>
    </row>
    <row r="68" customFormat="false" ht="15" hidden="false" customHeight="false" outlineLevel="0" collapsed="false">
      <c r="A68" s="8" t="s">
        <v>381</v>
      </c>
      <c r="B68" s="8" t="s">
        <v>382</v>
      </c>
      <c r="C68" s="8" t="s">
        <v>312</v>
      </c>
      <c r="D68" s="8" t="s">
        <v>375</v>
      </c>
      <c r="E68" s="8" t="s">
        <v>109</v>
      </c>
      <c r="F68" s="8" t="s">
        <v>383</v>
      </c>
      <c r="G68" s="8" t="s">
        <v>111</v>
      </c>
      <c r="H68" s="11" t="n">
        <v>1039000</v>
      </c>
      <c r="I68" s="8" t="s">
        <v>112</v>
      </c>
      <c r="J68" s="8" t="n">
        <v>30</v>
      </c>
      <c r="K68" s="8" t="s">
        <v>302</v>
      </c>
      <c r="L68" s="8" t="n">
        <v>5</v>
      </c>
      <c r="M68" s="8" t="s">
        <v>114</v>
      </c>
      <c r="N68" s="8" t="n">
        <v>365</v>
      </c>
      <c r="O68" s="8" t="s">
        <v>115</v>
      </c>
      <c r="P68" s="8" t="n">
        <v>260</v>
      </c>
      <c r="Q68" s="8"/>
      <c r="R68" s="8"/>
      <c r="S68" s="12" t="n">
        <v>8.67</v>
      </c>
      <c r="T68" s="8" t="s">
        <v>116</v>
      </c>
      <c r="U68" s="13" t="n">
        <f aca="false">IF(S68="","",((1-Assumptions!$B$4)*Assumptions!$B$2+Assumptions!$B$4*Assumptions!$B$3)/S68)</f>
        <v>1.08419838523645</v>
      </c>
      <c r="V68" s="11" t="n">
        <f aca="false">IF(U68="","",U68*Assumptions!$B$5*365*Assumptions!$B$6)</f>
        <v>79146.4821222607</v>
      </c>
      <c r="W68" s="8" t="s">
        <v>377</v>
      </c>
      <c r="X68" s="11" t="n">
        <v>0</v>
      </c>
      <c r="Y68" s="8" t="s">
        <v>378</v>
      </c>
      <c r="Z68" s="11" t="n">
        <f aca="false">IF(OR(G68&lt;&gt;"battery included",H68="",V68=""),"",H68+X68+V68)</f>
        <v>1118146.48212226</v>
      </c>
      <c r="AA68" s="8" t="n">
        <v>366</v>
      </c>
      <c r="AB68" s="8" t="n">
        <v>195</v>
      </c>
      <c r="AC68" s="8"/>
      <c r="AD68" s="8" t="n">
        <v>6</v>
      </c>
      <c r="AE68" s="8" t="s">
        <v>119</v>
      </c>
      <c r="AF68" s="8" t="s">
        <v>120</v>
      </c>
      <c r="AG68" s="8" t="s">
        <v>379</v>
      </c>
      <c r="AH68" s="8" t="s">
        <v>120</v>
      </c>
      <c r="AI68" s="8" t="s">
        <v>117</v>
      </c>
      <c r="AJ68" s="8" t="s">
        <v>157</v>
      </c>
      <c r="AK68" s="8" t="n">
        <v>65</v>
      </c>
      <c r="AL68" s="8" t="n">
        <v>42</v>
      </c>
      <c r="AM68" s="14" t="n">
        <f aca="false">IF(OR(S68="",AL68=""),"",100/S68/AL68*60)</f>
        <v>16.4771791069369</v>
      </c>
      <c r="AN68" s="8" t="n">
        <v>5</v>
      </c>
      <c r="AO68" s="8"/>
      <c r="AP68" s="8" t="s">
        <v>356</v>
      </c>
      <c r="AQ68" s="8" t="s">
        <v>258</v>
      </c>
      <c r="AR68" s="8" t="n">
        <v>31.09</v>
      </c>
      <c r="AS68" s="8" t="n">
        <v>45</v>
      </c>
      <c r="AT68" s="8"/>
      <c r="AU68" s="8"/>
      <c r="AV68" s="8" t="s">
        <v>380</v>
      </c>
    </row>
    <row r="69" customFormat="false" ht="15" hidden="false" customHeight="false" outlineLevel="0" collapsed="false">
      <c r="A69" s="8" t="s">
        <v>384</v>
      </c>
      <c r="B69" s="8" t="s">
        <v>385</v>
      </c>
      <c r="C69" s="8" t="s">
        <v>312</v>
      </c>
      <c r="D69" s="8" t="s">
        <v>375</v>
      </c>
      <c r="E69" s="8" t="s">
        <v>109</v>
      </c>
      <c r="F69" s="8" t="s">
        <v>386</v>
      </c>
      <c r="G69" s="8" t="s">
        <v>111</v>
      </c>
      <c r="H69" s="11" t="n">
        <v>1119000</v>
      </c>
      <c r="I69" s="8" t="s">
        <v>112</v>
      </c>
      <c r="J69" s="8" t="n">
        <v>40</v>
      </c>
      <c r="K69" s="8" t="s">
        <v>302</v>
      </c>
      <c r="L69" s="8" t="n">
        <v>5</v>
      </c>
      <c r="M69" s="8" t="s">
        <v>114</v>
      </c>
      <c r="N69" s="8" t="n">
        <v>468</v>
      </c>
      <c r="O69" s="8" t="s">
        <v>115</v>
      </c>
      <c r="P69" s="8" t="n">
        <v>335</v>
      </c>
      <c r="Q69" s="8" t="n">
        <v>304</v>
      </c>
      <c r="R69" s="8" t="n">
        <v>65</v>
      </c>
      <c r="S69" s="12" t="n">
        <v>7.61</v>
      </c>
      <c r="T69" s="8" t="s">
        <v>145</v>
      </c>
      <c r="U69" s="13" t="n">
        <f aca="false">IF(S69="","",((1-Assumptions!$B$4)*Assumptions!$B$2+Assumptions!$B$4*Assumptions!$B$3)/S69)</f>
        <v>1.23521681997372</v>
      </c>
      <c r="V69" s="11" t="n">
        <f aca="false">IF(U69="","",U69*Assumptions!$B$5*365*Assumptions!$B$6)</f>
        <v>90170.8278580815</v>
      </c>
      <c r="W69" s="8" t="s">
        <v>377</v>
      </c>
      <c r="X69" s="11" t="n">
        <v>0</v>
      </c>
      <c r="Y69" s="8" t="s">
        <v>378</v>
      </c>
      <c r="Z69" s="11" t="n">
        <f aca="false">IF(OR(G69&lt;&gt;"battery included",H69="",V69=""),"",H69+X69+V69)</f>
        <v>1209170.82785808</v>
      </c>
      <c r="AA69" s="8" t="n">
        <v>366</v>
      </c>
      <c r="AB69" s="8" t="n">
        <v>195</v>
      </c>
      <c r="AC69" s="8"/>
      <c r="AD69" s="8" t="n">
        <v>6</v>
      </c>
      <c r="AE69" s="8" t="s">
        <v>119</v>
      </c>
      <c r="AF69" s="8" t="s">
        <v>120</v>
      </c>
      <c r="AG69" s="8" t="s">
        <v>121</v>
      </c>
      <c r="AH69" s="8" t="s">
        <v>120</v>
      </c>
      <c r="AI69" s="8" t="s">
        <v>117</v>
      </c>
      <c r="AJ69" s="8" t="s">
        <v>157</v>
      </c>
      <c r="AK69" s="8" t="n">
        <v>65</v>
      </c>
      <c r="AL69" s="8" t="n">
        <v>56</v>
      </c>
      <c r="AM69" s="14" t="n">
        <f aca="false">IF(OR(S69="",AL69=""),"",100/S69/AL69*60)</f>
        <v>14.0792190726488</v>
      </c>
      <c r="AN69" s="8" t="n">
        <v>5.9</v>
      </c>
      <c r="AO69" s="8"/>
      <c r="AP69" s="8" t="s">
        <v>122</v>
      </c>
      <c r="AQ69" s="8" t="s">
        <v>258</v>
      </c>
      <c r="AR69" s="8" t="n">
        <v>31.09</v>
      </c>
      <c r="AS69" s="8" t="n">
        <v>45</v>
      </c>
      <c r="AT69" s="8"/>
      <c r="AU69" s="8"/>
      <c r="AV69" s="8" t="s">
        <v>387</v>
      </c>
    </row>
    <row r="70" customFormat="false" ht="15" hidden="false" customHeight="false" outlineLevel="0" collapsed="false">
      <c r="A70" s="8" t="s">
        <v>388</v>
      </c>
      <c r="B70" s="8" t="s">
        <v>389</v>
      </c>
      <c r="C70" s="8" t="s">
        <v>312</v>
      </c>
      <c r="D70" s="8" t="s">
        <v>375</v>
      </c>
      <c r="E70" s="8" t="s">
        <v>109</v>
      </c>
      <c r="F70" s="8" t="s">
        <v>390</v>
      </c>
      <c r="G70" s="8" t="s">
        <v>111</v>
      </c>
      <c r="H70" s="11" t="n">
        <v>1194000</v>
      </c>
      <c r="I70" s="8" t="s">
        <v>112</v>
      </c>
      <c r="J70" s="8" t="n">
        <v>40</v>
      </c>
      <c r="K70" s="8" t="s">
        <v>302</v>
      </c>
      <c r="L70" s="8" t="n">
        <v>5</v>
      </c>
      <c r="M70" s="8" t="s">
        <v>114</v>
      </c>
      <c r="N70" s="8" t="n">
        <v>468</v>
      </c>
      <c r="O70" s="8" t="s">
        <v>115</v>
      </c>
      <c r="P70" s="8" t="n">
        <v>335</v>
      </c>
      <c r="Q70" s="8" t="n">
        <v>304</v>
      </c>
      <c r="R70" s="8" t="n">
        <v>65</v>
      </c>
      <c r="S70" s="12" t="n">
        <v>7.61</v>
      </c>
      <c r="T70" s="8" t="s">
        <v>145</v>
      </c>
      <c r="U70" s="13" t="n">
        <f aca="false">IF(S70="","",((1-Assumptions!$B$4)*Assumptions!$B$2+Assumptions!$B$4*Assumptions!$B$3)/S70)</f>
        <v>1.23521681997372</v>
      </c>
      <c r="V70" s="11" t="n">
        <f aca="false">IF(U70="","",U70*Assumptions!$B$5*365*Assumptions!$B$6)</f>
        <v>90170.8278580815</v>
      </c>
      <c r="W70" s="8" t="s">
        <v>377</v>
      </c>
      <c r="X70" s="11" t="n">
        <v>0</v>
      </c>
      <c r="Y70" s="8" t="s">
        <v>378</v>
      </c>
      <c r="Z70" s="11" t="n">
        <f aca="false">IF(OR(G70&lt;&gt;"battery included",H70="",V70=""),"",H70+X70+V70)</f>
        <v>1284170.82785808</v>
      </c>
      <c r="AA70" s="8" t="n">
        <v>366</v>
      </c>
      <c r="AB70" s="8" t="n">
        <v>195</v>
      </c>
      <c r="AC70" s="8"/>
      <c r="AD70" s="8" t="n">
        <v>6</v>
      </c>
      <c r="AE70" s="8" t="s">
        <v>119</v>
      </c>
      <c r="AF70" s="8" t="s">
        <v>120</v>
      </c>
      <c r="AG70" s="8" t="s">
        <v>121</v>
      </c>
      <c r="AH70" s="8" t="s">
        <v>120</v>
      </c>
      <c r="AI70" s="8" t="s">
        <v>117</v>
      </c>
      <c r="AJ70" s="8" t="s">
        <v>157</v>
      </c>
      <c r="AK70" s="8" t="n">
        <v>65</v>
      </c>
      <c r="AL70" s="8" t="n">
        <v>56</v>
      </c>
      <c r="AM70" s="14" t="n">
        <f aca="false">IF(OR(S70="",AL70=""),"",100/S70/AL70*60)</f>
        <v>14.0792190726488</v>
      </c>
      <c r="AN70" s="8" t="n">
        <v>5.9</v>
      </c>
      <c r="AO70" s="8"/>
      <c r="AP70" s="8" t="s">
        <v>122</v>
      </c>
      <c r="AQ70" s="8" t="s">
        <v>258</v>
      </c>
      <c r="AR70" s="8" t="n">
        <v>31.09</v>
      </c>
      <c r="AS70" s="8" t="n">
        <v>45</v>
      </c>
      <c r="AT70" s="8"/>
      <c r="AU70" s="8"/>
      <c r="AV70" s="8" t="s">
        <v>387</v>
      </c>
    </row>
    <row r="71" customFormat="false" ht="15" hidden="false" customHeight="false" outlineLevel="0" collapsed="false">
      <c r="A71" s="8" t="s">
        <v>391</v>
      </c>
      <c r="B71" s="8" t="s">
        <v>392</v>
      </c>
      <c r="C71" s="8" t="s">
        <v>312</v>
      </c>
      <c r="D71" s="8" t="s">
        <v>375</v>
      </c>
      <c r="E71" s="8" t="s">
        <v>109</v>
      </c>
      <c r="F71" s="8" t="s">
        <v>393</v>
      </c>
      <c r="G71" s="8" t="s">
        <v>111</v>
      </c>
      <c r="H71" s="11" t="n">
        <v>1269000</v>
      </c>
      <c r="I71" s="8" t="s">
        <v>112</v>
      </c>
      <c r="J71" s="8" t="n">
        <v>40</v>
      </c>
      <c r="K71" s="8" t="s">
        <v>302</v>
      </c>
      <c r="L71" s="8" t="n">
        <v>5</v>
      </c>
      <c r="M71" s="8" t="s">
        <v>114</v>
      </c>
      <c r="N71" s="8" t="n">
        <v>468</v>
      </c>
      <c r="O71" s="8" t="s">
        <v>115</v>
      </c>
      <c r="P71" s="8" t="n">
        <v>335</v>
      </c>
      <c r="Q71" s="8" t="n">
        <v>304</v>
      </c>
      <c r="R71" s="8" t="n">
        <v>65</v>
      </c>
      <c r="S71" s="12" t="n">
        <v>7.61</v>
      </c>
      <c r="T71" s="8" t="s">
        <v>145</v>
      </c>
      <c r="U71" s="13" t="n">
        <f aca="false">IF(S71="","",((1-Assumptions!$B$4)*Assumptions!$B$2+Assumptions!$B$4*Assumptions!$B$3)/S71)</f>
        <v>1.23521681997372</v>
      </c>
      <c r="V71" s="11" t="n">
        <f aca="false">IF(U71="","",U71*Assumptions!$B$5*365*Assumptions!$B$6)</f>
        <v>90170.8278580815</v>
      </c>
      <c r="W71" s="8" t="s">
        <v>377</v>
      </c>
      <c r="X71" s="11" t="n">
        <v>0</v>
      </c>
      <c r="Y71" s="8" t="s">
        <v>378</v>
      </c>
      <c r="Z71" s="11" t="n">
        <f aca="false">IF(OR(G71&lt;&gt;"battery included",H71="",V71=""),"",H71+X71+V71)</f>
        <v>1359170.82785808</v>
      </c>
      <c r="AA71" s="8" t="n">
        <v>366</v>
      </c>
      <c r="AB71" s="8" t="n">
        <v>195</v>
      </c>
      <c r="AC71" s="8"/>
      <c r="AD71" s="8" t="n">
        <v>6</v>
      </c>
      <c r="AE71" s="8" t="s">
        <v>119</v>
      </c>
      <c r="AF71" s="8" t="s">
        <v>120</v>
      </c>
      <c r="AG71" s="8" t="s">
        <v>209</v>
      </c>
      <c r="AH71" s="8" t="s">
        <v>120</v>
      </c>
      <c r="AI71" s="8" t="s">
        <v>117</v>
      </c>
      <c r="AJ71" s="8" t="s">
        <v>157</v>
      </c>
      <c r="AK71" s="8" t="n">
        <v>65</v>
      </c>
      <c r="AL71" s="8" t="n">
        <v>56</v>
      </c>
      <c r="AM71" s="14" t="n">
        <f aca="false">IF(OR(S71="",AL71=""),"",100/S71/AL71*60)</f>
        <v>14.0792190726488</v>
      </c>
      <c r="AN71" s="8" t="n">
        <v>5.9</v>
      </c>
      <c r="AO71" s="8"/>
      <c r="AP71" s="8" t="s">
        <v>122</v>
      </c>
      <c r="AQ71" s="8" t="s">
        <v>258</v>
      </c>
      <c r="AR71" s="8" t="n">
        <v>31.09</v>
      </c>
      <c r="AS71" s="8" t="n">
        <v>45</v>
      </c>
      <c r="AT71" s="8"/>
      <c r="AU71" s="8"/>
      <c r="AV71" s="8" t="s">
        <v>387</v>
      </c>
    </row>
    <row r="72" customFormat="false" ht="15" hidden="false" customHeight="false" outlineLevel="0" collapsed="false">
      <c r="A72" s="8" t="s">
        <v>394</v>
      </c>
      <c r="B72" s="8" t="s">
        <v>395</v>
      </c>
      <c r="C72" s="8" t="s">
        <v>312</v>
      </c>
      <c r="D72" s="8" t="s">
        <v>375</v>
      </c>
      <c r="E72" s="8" t="s">
        <v>109</v>
      </c>
      <c r="F72" s="8" t="s">
        <v>396</v>
      </c>
      <c r="G72" s="8" t="s">
        <v>111</v>
      </c>
      <c r="H72" s="11" t="n">
        <v>1299000</v>
      </c>
      <c r="I72" s="8" t="s">
        <v>112</v>
      </c>
      <c r="J72" s="8" t="n">
        <v>40</v>
      </c>
      <c r="K72" s="8" t="s">
        <v>302</v>
      </c>
      <c r="L72" s="8" t="n">
        <v>5</v>
      </c>
      <c r="M72" s="8" t="s">
        <v>114</v>
      </c>
      <c r="N72" s="8" t="n">
        <v>468</v>
      </c>
      <c r="O72" s="8" t="s">
        <v>115</v>
      </c>
      <c r="P72" s="8" t="n">
        <v>335</v>
      </c>
      <c r="Q72" s="8" t="n">
        <v>304</v>
      </c>
      <c r="R72" s="8" t="n">
        <v>65</v>
      </c>
      <c r="S72" s="12" t="n">
        <v>7.61</v>
      </c>
      <c r="T72" s="8" t="s">
        <v>145</v>
      </c>
      <c r="U72" s="13" t="n">
        <f aca="false">IF(S72="","",((1-Assumptions!$B$4)*Assumptions!$B$2+Assumptions!$B$4*Assumptions!$B$3)/S72)</f>
        <v>1.23521681997372</v>
      </c>
      <c r="V72" s="11" t="n">
        <f aca="false">IF(U72="","",U72*Assumptions!$B$5*365*Assumptions!$B$6)</f>
        <v>90170.8278580815</v>
      </c>
      <c r="W72" s="8" t="s">
        <v>377</v>
      </c>
      <c r="X72" s="11" t="n">
        <v>0</v>
      </c>
      <c r="Y72" s="8" t="s">
        <v>378</v>
      </c>
      <c r="Z72" s="11" t="n">
        <f aca="false">IF(OR(G72&lt;&gt;"battery included",H72="",V72=""),"",H72+X72+V72)</f>
        <v>1389170.82785808</v>
      </c>
      <c r="AA72" s="8" t="n">
        <v>366</v>
      </c>
      <c r="AB72" s="8" t="n">
        <v>195</v>
      </c>
      <c r="AC72" s="8"/>
      <c r="AD72" s="8" t="n">
        <v>6</v>
      </c>
      <c r="AE72" s="8" t="s">
        <v>119</v>
      </c>
      <c r="AF72" s="8" t="s">
        <v>120</v>
      </c>
      <c r="AG72" s="8" t="s">
        <v>209</v>
      </c>
      <c r="AH72" s="8" t="s">
        <v>304</v>
      </c>
      <c r="AI72" s="8" t="s">
        <v>119</v>
      </c>
      <c r="AJ72" s="8" t="s">
        <v>157</v>
      </c>
      <c r="AK72" s="8" t="n">
        <v>65</v>
      </c>
      <c r="AL72" s="8" t="n">
        <v>56</v>
      </c>
      <c r="AM72" s="14" t="n">
        <f aca="false">IF(OR(S72="",AL72=""),"",100/S72/AL72*60)</f>
        <v>14.0792190726488</v>
      </c>
      <c r="AN72" s="8" t="n">
        <v>5.9</v>
      </c>
      <c r="AO72" s="8"/>
      <c r="AP72" s="8" t="s">
        <v>122</v>
      </c>
      <c r="AQ72" s="8" t="s">
        <v>258</v>
      </c>
      <c r="AR72" s="8" t="n">
        <v>31.09</v>
      </c>
      <c r="AS72" s="8" t="n">
        <v>45</v>
      </c>
      <c r="AT72" s="8"/>
      <c r="AU72" s="8"/>
      <c r="AV72" s="8" t="s">
        <v>387</v>
      </c>
    </row>
    <row r="73" customFormat="false" ht="15" hidden="false" customHeight="false" outlineLevel="0" collapsed="false">
      <c r="A73" s="8" t="s">
        <v>397</v>
      </c>
      <c r="B73" s="8" t="s">
        <v>398</v>
      </c>
      <c r="C73" s="8" t="s">
        <v>312</v>
      </c>
      <c r="D73" s="8" t="s">
        <v>399</v>
      </c>
      <c r="E73" s="8" t="s">
        <v>109</v>
      </c>
      <c r="F73" s="8" t="s">
        <v>400</v>
      </c>
      <c r="G73" s="8" t="s">
        <v>111</v>
      </c>
      <c r="H73" s="11" t="n">
        <v>1879000</v>
      </c>
      <c r="I73" s="8" t="s">
        <v>112</v>
      </c>
      <c r="J73" s="8" t="n">
        <v>63</v>
      </c>
      <c r="K73" s="8" t="s">
        <v>113</v>
      </c>
      <c r="L73" s="8" t="n">
        <v>5</v>
      </c>
      <c r="M73" s="8" t="s">
        <v>114</v>
      </c>
      <c r="N73" s="8" t="n">
        <v>566</v>
      </c>
      <c r="O73" s="8" t="s">
        <v>115</v>
      </c>
      <c r="P73" s="8" t="n">
        <v>440</v>
      </c>
      <c r="Q73" s="8"/>
      <c r="R73" s="8"/>
      <c r="S73" s="12" t="n">
        <v>6.98</v>
      </c>
      <c r="T73" s="8" t="s">
        <v>116</v>
      </c>
      <c r="U73" s="13" t="n">
        <f aca="false">IF(S73="","",((1-Assumptions!$B$4)*Assumptions!$B$2+Assumptions!$B$4*Assumptions!$B$3)/S73)</f>
        <v>1.34670487106017</v>
      </c>
      <c r="V73" s="11" t="n">
        <f aca="false">IF(U73="","",U73*Assumptions!$B$5*365*Assumptions!$B$6)</f>
        <v>98309.4555873926</v>
      </c>
      <c r="W73" s="8" t="s">
        <v>117</v>
      </c>
      <c r="X73" s="11" t="n">
        <v>49000</v>
      </c>
      <c r="Y73" s="8" t="s">
        <v>329</v>
      </c>
      <c r="Z73" s="11" t="n">
        <f aca="false">IF(OR(G73&lt;&gt;"battery included",H73="",V73=""),"",H73+X73+V73)</f>
        <v>2026309.45558739</v>
      </c>
      <c r="AA73" s="8" t="n">
        <v>622</v>
      </c>
      <c r="AB73" s="8" t="n">
        <v>205</v>
      </c>
      <c r="AC73" s="8"/>
      <c r="AD73" s="8" t="n">
        <v>6</v>
      </c>
      <c r="AE73" s="8" t="s">
        <v>119</v>
      </c>
      <c r="AF73" s="8" t="s">
        <v>120</v>
      </c>
      <c r="AG73" s="8" t="s">
        <v>121</v>
      </c>
      <c r="AH73" s="8" t="s">
        <v>120</v>
      </c>
      <c r="AI73" s="8" t="s">
        <v>117</v>
      </c>
      <c r="AJ73" s="8" t="s">
        <v>157</v>
      </c>
      <c r="AK73" s="8" t="n">
        <v>110</v>
      </c>
      <c r="AL73" s="8" t="n">
        <v>90.7</v>
      </c>
      <c r="AM73" s="14" t="n">
        <f aca="false">IF(OR(S73="",AL73=""),"",100/S73/AL73*60)</f>
        <v>9.47738537892166</v>
      </c>
      <c r="AN73" s="8" t="n">
        <v>9.9</v>
      </c>
      <c r="AO73" s="8"/>
      <c r="AP73" s="8" t="s">
        <v>122</v>
      </c>
      <c r="AQ73" s="8" t="s">
        <v>201</v>
      </c>
      <c r="AR73" s="8"/>
      <c r="AS73" s="8"/>
      <c r="AT73" s="8"/>
      <c r="AU73" s="8"/>
      <c r="AV73" s="8" t="s">
        <v>401</v>
      </c>
    </row>
    <row r="74" customFormat="false" ht="15" hidden="false" customHeight="false" outlineLevel="0" collapsed="false">
      <c r="A74" s="8" t="s">
        <v>402</v>
      </c>
      <c r="B74" s="8" t="s">
        <v>403</v>
      </c>
      <c r="C74" s="8" t="s">
        <v>312</v>
      </c>
      <c r="D74" s="8" t="s">
        <v>399</v>
      </c>
      <c r="E74" s="8" t="s">
        <v>109</v>
      </c>
      <c r="F74" s="8" t="s">
        <v>404</v>
      </c>
      <c r="G74" s="8" t="s">
        <v>111</v>
      </c>
      <c r="H74" s="11" t="n">
        <v>1999000</v>
      </c>
      <c r="I74" s="8" t="s">
        <v>112</v>
      </c>
      <c r="J74" s="8" t="n">
        <v>63</v>
      </c>
      <c r="K74" s="8" t="s">
        <v>113</v>
      </c>
      <c r="L74" s="8" t="n">
        <v>5</v>
      </c>
      <c r="M74" s="8" t="s">
        <v>114</v>
      </c>
      <c r="N74" s="8" t="n">
        <v>566</v>
      </c>
      <c r="O74" s="8" t="s">
        <v>115</v>
      </c>
      <c r="P74" s="8" t="n">
        <v>440</v>
      </c>
      <c r="Q74" s="8"/>
      <c r="R74" s="8"/>
      <c r="S74" s="12" t="n">
        <v>6.98</v>
      </c>
      <c r="T74" s="8" t="s">
        <v>116</v>
      </c>
      <c r="U74" s="13" t="n">
        <f aca="false">IF(S74="","",((1-Assumptions!$B$4)*Assumptions!$B$2+Assumptions!$B$4*Assumptions!$B$3)/S74)</f>
        <v>1.34670487106017</v>
      </c>
      <c r="V74" s="11" t="n">
        <f aca="false">IF(U74="","",U74*Assumptions!$B$5*365*Assumptions!$B$6)</f>
        <v>98309.4555873926</v>
      </c>
      <c r="W74" s="8" t="s">
        <v>117</v>
      </c>
      <c r="X74" s="11" t="n">
        <v>49000</v>
      </c>
      <c r="Y74" s="8" t="s">
        <v>329</v>
      </c>
      <c r="Z74" s="11" t="n">
        <f aca="false">IF(OR(G74&lt;&gt;"battery included",H74="",V74=""),"",H74+X74+V74)</f>
        <v>2146309.45558739</v>
      </c>
      <c r="AA74" s="8" t="n">
        <v>622</v>
      </c>
      <c r="AB74" s="8" t="n">
        <v>205</v>
      </c>
      <c r="AC74" s="8"/>
      <c r="AD74" s="8" t="n">
        <v>6</v>
      </c>
      <c r="AE74" s="8" t="s">
        <v>119</v>
      </c>
      <c r="AF74" s="8" t="s">
        <v>120</v>
      </c>
      <c r="AG74" s="8" t="s">
        <v>121</v>
      </c>
      <c r="AH74" s="8" t="s">
        <v>134</v>
      </c>
      <c r="AI74" s="8" t="s">
        <v>117</v>
      </c>
      <c r="AJ74" s="8" t="s">
        <v>157</v>
      </c>
      <c r="AK74" s="8" t="n">
        <v>110</v>
      </c>
      <c r="AL74" s="8" t="n">
        <v>90.7</v>
      </c>
      <c r="AM74" s="14" t="n">
        <f aca="false">IF(OR(S74="",AL74=""),"",100/S74/AL74*60)</f>
        <v>9.47738537892166</v>
      </c>
      <c r="AN74" s="8" t="n">
        <v>9.9</v>
      </c>
      <c r="AO74" s="8"/>
      <c r="AP74" s="8" t="s">
        <v>122</v>
      </c>
      <c r="AQ74" s="8" t="s">
        <v>201</v>
      </c>
      <c r="AR74" s="8"/>
      <c r="AS74" s="8"/>
      <c r="AT74" s="8"/>
      <c r="AU74" s="8"/>
      <c r="AV74" s="8" t="s">
        <v>401</v>
      </c>
    </row>
    <row r="75" customFormat="false" ht="15" hidden="false" customHeight="false" outlineLevel="0" collapsed="false">
      <c r="A75" s="8" t="s">
        <v>405</v>
      </c>
      <c r="B75" s="8" t="s">
        <v>406</v>
      </c>
      <c r="C75" s="8" t="s">
        <v>312</v>
      </c>
      <c r="D75" s="8" t="s">
        <v>399</v>
      </c>
      <c r="E75" s="8" t="s">
        <v>109</v>
      </c>
      <c r="F75" s="8" t="s">
        <v>407</v>
      </c>
      <c r="G75" s="8" t="s">
        <v>111</v>
      </c>
      <c r="H75" s="11" t="n">
        <v>2099000</v>
      </c>
      <c r="I75" s="8" t="s">
        <v>112</v>
      </c>
      <c r="J75" s="8" t="n">
        <v>63</v>
      </c>
      <c r="K75" s="8" t="s">
        <v>113</v>
      </c>
      <c r="L75" s="8" t="n">
        <v>5</v>
      </c>
      <c r="M75" s="8" t="s">
        <v>114</v>
      </c>
      <c r="N75" s="8" t="n">
        <v>566</v>
      </c>
      <c r="O75" s="8" t="s">
        <v>115</v>
      </c>
      <c r="P75" s="8" t="n">
        <v>440</v>
      </c>
      <c r="Q75" s="8"/>
      <c r="R75" s="8"/>
      <c r="S75" s="12" t="n">
        <v>6.98</v>
      </c>
      <c r="T75" s="8" t="s">
        <v>116</v>
      </c>
      <c r="U75" s="13" t="n">
        <f aca="false">IF(S75="","",((1-Assumptions!$B$4)*Assumptions!$B$2+Assumptions!$B$4*Assumptions!$B$3)/S75)</f>
        <v>1.34670487106017</v>
      </c>
      <c r="V75" s="11" t="n">
        <f aca="false">IF(U75="","",U75*Assumptions!$B$5*365*Assumptions!$B$6)</f>
        <v>98309.4555873926</v>
      </c>
      <c r="W75" s="8" t="s">
        <v>117</v>
      </c>
      <c r="X75" s="11" t="n">
        <v>49000</v>
      </c>
      <c r="Y75" s="8" t="s">
        <v>329</v>
      </c>
      <c r="Z75" s="11" t="n">
        <f aca="false">IF(OR(G75&lt;&gt;"battery included",H75="",V75=""),"",H75+X75+V75)</f>
        <v>2246309.45558739</v>
      </c>
      <c r="AA75" s="8" t="n">
        <v>622</v>
      </c>
      <c r="AB75" s="8" t="n">
        <v>205</v>
      </c>
      <c r="AC75" s="8"/>
      <c r="AD75" s="8" t="n">
        <v>6</v>
      </c>
      <c r="AE75" s="8" t="s">
        <v>119</v>
      </c>
      <c r="AF75" s="8" t="s">
        <v>120</v>
      </c>
      <c r="AG75" s="8" t="s">
        <v>209</v>
      </c>
      <c r="AH75" s="8" t="s">
        <v>134</v>
      </c>
      <c r="AI75" s="8" t="s">
        <v>117</v>
      </c>
      <c r="AJ75" s="8" t="s">
        <v>157</v>
      </c>
      <c r="AK75" s="8" t="n">
        <v>110</v>
      </c>
      <c r="AL75" s="8" t="n">
        <v>90.7</v>
      </c>
      <c r="AM75" s="14" t="n">
        <f aca="false">IF(OR(S75="",AL75=""),"",100/S75/AL75*60)</f>
        <v>9.47738537892166</v>
      </c>
      <c r="AN75" s="8" t="n">
        <v>9.9</v>
      </c>
      <c r="AO75" s="8"/>
      <c r="AP75" s="8" t="s">
        <v>122</v>
      </c>
      <c r="AQ75" s="8" t="s">
        <v>201</v>
      </c>
      <c r="AR75" s="8"/>
      <c r="AS75" s="8"/>
      <c r="AT75" s="8" t="n">
        <v>4</v>
      </c>
      <c r="AU75" s="8"/>
      <c r="AV75" s="8" t="s">
        <v>401</v>
      </c>
    </row>
    <row r="76" customFormat="false" ht="15" hidden="false" customHeight="false" outlineLevel="0" collapsed="false">
      <c r="A76" s="8" t="s">
        <v>408</v>
      </c>
      <c r="B76" s="8" t="s">
        <v>409</v>
      </c>
      <c r="C76" s="8" t="s">
        <v>312</v>
      </c>
      <c r="D76" s="8" t="s">
        <v>399</v>
      </c>
      <c r="E76" s="8" t="s">
        <v>109</v>
      </c>
      <c r="F76" s="8" t="s">
        <v>410</v>
      </c>
      <c r="G76" s="8" t="s">
        <v>111</v>
      </c>
      <c r="H76" s="11" t="n">
        <v>2219000</v>
      </c>
      <c r="I76" s="8" t="s">
        <v>112</v>
      </c>
      <c r="J76" s="8" t="n">
        <v>75</v>
      </c>
      <c r="K76" s="8" t="s">
        <v>113</v>
      </c>
      <c r="L76" s="8" t="n">
        <v>5</v>
      </c>
      <c r="M76" s="8" t="s">
        <v>114</v>
      </c>
      <c r="N76" s="8" t="n">
        <v>665</v>
      </c>
      <c r="O76" s="8" t="s">
        <v>115</v>
      </c>
      <c r="P76" s="8" t="n">
        <v>510</v>
      </c>
      <c r="Q76" s="8"/>
      <c r="R76" s="8"/>
      <c r="S76" s="12" t="n">
        <v>6.8</v>
      </c>
      <c r="T76" s="8" t="s">
        <v>116</v>
      </c>
      <c r="U76" s="13" t="n">
        <f aca="false">IF(S76="","",((1-Assumptions!$B$4)*Assumptions!$B$2+Assumptions!$B$4*Assumptions!$B$3)/S76)</f>
        <v>1.38235294117647</v>
      </c>
      <c r="V76" s="11" t="n">
        <f aca="false">IF(U76="","",U76*Assumptions!$B$5*365*Assumptions!$B$6)</f>
        <v>100911.764705882</v>
      </c>
      <c r="W76" s="8" t="s">
        <v>117</v>
      </c>
      <c r="X76" s="11" t="n">
        <v>49000</v>
      </c>
      <c r="Y76" s="8" t="s">
        <v>329</v>
      </c>
      <c r="Z76" s="11" t="n">
        <f aca="false">IF(OR(G76&lt;&gt;"battery included",H76="",V76=""),"",H76+X76+V76)</f>
        <v>2368911.76470588</v>
      </c>
      <c r="AA76" s="8" t="n">
        <v>622</v>
      </c>
      <c r="AB76" s="8" t="n">
        <v>205</v>
      </c>
      <c r="AC76" s="8"/>
      <c r="AD76" s="8" t="n">
        <v>6</v>
      </c>
      <c r="AE76" s="8" t="s">
        <v>119</v>
      </c>
      <c r="AF76" s="8" t="s">
        <v>120</v>
      </c>
      <c r="AG76" s="8" t="s">
        <v>209</v>
      </c>
      <c r="AH76" s="8" t="s">
        <v>134</v>
      </c>
      <c r="AI76" s="8" t="s">
        <v>117</v>
      </c>
      <c r="AJ76" s="8" t="s">
        <v>157</v>
      </c>
      <c r="AK76" s="8" t="n">
        <v>120</v>
      </c>
      <c r="AL76" s="8" t="n">
        <v>103.8</v>
      </c>
      <c r="AM76" s="14" t="n">
        <f aca="false">IF(OR(S76="",AL76=""),"",100/S76/AL76*60)</f>
        <v>8.50051003060184</v>
      </c>
      <c r="AN76" s="8" t="n">
        <v>11.7</v>
      </c>
      <c r="AO76" s="8"/>
      <c r="AP76" s="8" t="s">
        <v>122</v>
      </c>
      <c r="AQ76" s="8" t="s">
        <v>201</v>
      </c>
      <c r="AR76" s="8"/>
      <c r="AS76" s="8"/>
      <c r="AT76" s="8" t="n">
        <v>4</v>
      </c>
      <c r="AU76" s="8"/>
      <c r="AV76" s="8" t="s">
        <v>401</v>
      </c>
    </row>
    <row r="77" customFormat="false" ht="15" hidden="false" customHeight="false" outlineLevel="0" collapsed="false">
      <c r="A77" s="8" t="s">
        <v>411</v>
      </c>
      <c r="B77" s="8" t="s">
        <v>412</v>
      </c>
      <c r="C77" s="8" t="s">
        <v>312</v>
      </c>
      <c r="D77" s="8" t="s">
        <v>399</v>
      </c>
      <c r="E77" s="8" t="s">
        <v>109</v>
      </c>
      <c r="F77" s="8" t="s">
        <v>413</v>
      </c>
      <c r="G77" s="8" t="s">
        <v>111</v>
      </c>
      <c r="H77" s="11" t="n">
        <v>2279000</v>
      </c>
      <c r="I77" s="8" t="s">
        <v>112</v>
      </c>
      <c r="J77" s="8" t="n">
        <v>63</v>
      </c>
      <c r="K77" s="8" t="s">
        <v>113</v>
      </c>
      <c r="L77" s="8" t="n">
        <v>5</v>
      </c>
      <c r="M77" s="8" t="s">
        <v>114</v>
      </c>
      <c r="N77" s="8" t="n">
        <v>566</v>
      </c>
      <c r="O77" s="8" t="s">
        <v>115</v>
      </c>
      <c r="P77" s="8" t="n">
        <v>440</v>
      </c>
      <c r="Q77" s="8"/>
      <c r="R77" s="8"/>
      <c r="S77" s="12" t="n">
        <v>6.98</v>
      </c>
      <c r="T77" s="8" t="s">
        <v>116</v>
      </c>
      <c r="U77" s="13" t="n">
        <f aca="false">IF(S77="","",((1-Assumptions!$B$4)*Assumptions!$B$2+Assumptions!$B$4*Assumptions!$B$3)/S77)</f>
        <v>1.34670487106017</v>
      </c>
      <c r="V77" s="11" t="n">
        <f aca="false">IF(U77="","",U77*Assumptions!$B$5*365*Assumptions!$B$6)</f>
        <v>98309.4555873926</v>
      </c>
      <c r="W77" s="8" t="s">
        <v>117</v>
      </c>
      <c r="X77" s="11" t="n">
        <v>49000</v>
      </c>
      <c r="Y77" s="8" t="s">
        <v>329</v>
      </c>
      <c r="Z77" s="11" t="n">
        <f aca="false">IF(OR(G77&lt;&gt;"battery included",H77="",V77=""),"",H77+X77+V77)</f>
        <v>2426309.45558739</v>
      </c>
      <c r="AA77" s="8" t="n">
        <v>622</v>
      </c>
      <c r="AB77" s="8" t="n">
        <v>205</v>
      </c>
      <c r="AC77" s="8"/>
      <c r="AD77" s="8" t="n">
        <v>6</v>
      </c>
      <c r="AE77" s="8" t="s">
        <v>119</v>
      </c>
      <c r="AF77" s="8" t="s">
        <v>120</v>
      </c>
      <c r="AG77" s="8" t="s">
        <v>209</v>
      </c>
      <c r="AH77" s="8" t="s">
        <v>134</v>
      </c>
      <c r="AI77" s="8" t="s">
        <v>119</v>
      </c>
      <c r="AJ77" s="8" t="s">
        <v>157</v>
      </c>
      <c r="AK77" s="8" t="n">
        <v>110</v>
      </c>
      <c r="AL77" s="8" t="n">
        <v>90.7</v>
      </c>
      <c r="AM77" s="14" t="n">
        <f aca="false">IF(OR(S77="",AL77=""),"",100/S77/AL77*60)</f>
        <v>9.47738537892166</v>
      </c>
      <c r="AN77" s="8" t="n">
        <v>9.9</v>
      </c>
      <c r="AO77" s="8"/>
      <c r="AP77" s="8" t="s">
        <v>122</v>
      </c>
      <c r="AQ77" s="8" t="s">
        <v>201</v>
      </c>
      <c r="AR77" s="8"/>
      <c r="AS77" s="8"/>
      <c r="AT77" s="8" t="n">
        <v>4</v>
      </c>
      <c r="AU77" s="8"/>
      <c r="AV77" s="8" t="s">
        <v>401</v>
      </c>
    </row>
    <row r="78" customFormat="false" ht="15" hidden="false" customHeight="false" outlineLevel="0" collapsed="false">
      <c r="A78" s="8" t="s">
        <v>414</v>
      </c>
      <c r="B78" s="8" t="s">
        <v>415</v>
      </c>
      <c r="C78" s="8" t="s">
        <v>312</v>
      </c>
      <c r="D78" s="8" t="s">
        <v>399</v>
      </c>
      <c r="E78" s="8" t="s">
        <v>109</v>
      </c>
      <c r="F78" s="8" t="s">
        <v>347</v>
      </c>
      <c r="G78" s="8" t="s">
        <v>111</v>
      </c>
      <c r="H78" s="11" t="n">
        <v>2379000</v>
      </c>
      <c r="I78" s="8" t="s">
        <v>112</v>
      </c>
      <c r="J78" s="8" t="n">
        <v>75</v>
      </c>
      <c r="K78" s="8" t="s">
        <v>113</v>
      </c>
      <c r="L78" s="8" t="n">
        <v>5</v>
      </c>
      <c r="M78" s="8" t="s">
        <v>114</v>
      </c>
      <c r="N78" s="8" t="n">
        <v>665</v>
      </c>
      <c r="O78" s="8" t="s">
        <v>115</v>
      </c>
      <c r="P78" s="8" t="n">
        <v>510</v>
      </c>
      <c r="Q78" s="8"/>
      <c r="R78" s="8"/>
      <c r="S78" s="12" t="n">
        <v>6.8</v>
      </c>
      <c r="T78" s="8" t="s">
        <v>116</v>
      </c>
      <c r="U78" s="13" t="n">
        <f aca="false">IF(S78="","",((1-Assumptions!$B$4)*Assumptions!$B$2+Assumptions!$B$4*Assumptions!$B$3)/S78)</f>
        <v>1.38235294117647</v>
      </c>
      <c r="V78" s="11" t="n">
        <f aca="false">IF(U78="","",U78*Assumptions!$B$5*365*Assumptions!$B$6)</f>
        <v>100911.764705882</v>
      </c>
      <c r="W78" s="8" t="s">
        <v>117</v>
      </c>
      <c r="X78" s="11" t="n">
        <v>49000</v>
      </c>
      <c r="Y78" s="8" t="s">
        <v>329</v>
      </c>
      <c r="Z78" s="11" t="n">
        <f aca="false">IF(OR(G78&lt;&gt;"battery included",H78="",V78=""),"",H78+X78+V78)</f>
        <v>2528911.76470588</v>
      </c>
      <c r="AA78" s="8" t="n">
        <v>622</v>
      </c>
      <c r="AB78" s="8" t="n">
        <v>205</v>
      </c>
      <c r="AC78" s="8"/>
      <c r="AD78" s="8" t="n">
        <v>6</v>
      </c>
      <c r="AE78" s="8" t="s">
        <v>119</v>
      </c>
      <c r="AF78" s="8" t="s">
        <v>120</v>
      </c>
      <c r="AG78" s="8" t="s">
        <v>209</v>
      </c>
      <c r="AH78" s="8" t="s">
        <v>134</v>
      </c>
      <c r="AI78" s="8" t="s">
        <v>119</v>
      </c>
      <c r="AJ78" s="8" t="s">
        <v>157</v>
      </c>
      <c r="AK78" s="8" t="n">
        <v>120</v>
      </c>
      <c r="AL78" s="8" t="n">
        <v>103.8</v>
      </c>
      <c r="AM78" s="14" t="n">
        <f aca="false">IF(OR(S78="",AL78=""),"",100/S78/AL78*60)</f>
        <v>8.50051003060184</v>
      </c>
      <c r="AN78" s="8" t="n">
        <v>11.7</v>
      </c>
      <c r="AO78" s="8"/>
      <c r="AP78" s="8" t="s">
        <v>122</v>
      </c>
      <c r="AQ78" s="8" t="s">
        <v>201</v>
      </c>
      <c r="AR78" s="8"/>
      <c r="AS78" s="8"/>
      <c r="AT78" s="8" t="n">
        <v>4</v>
      </c>
      <c r="AU78" s="8"/>
      <c r="AV78" s="8" t="s">
        <v>401</v>
      </c>
    </row>
    <row r="79" customFormat="false" ht="15" hidden="false" customHeight="false" outlineLevel="0" collapsed="false">
      <c r="A79" s="8" t="s">
        <v>416</v>
      </c>
      <c r="B79" s="8" t="s">
        <v>417</v>
      </c>
      <c r="C79" s="8" t="s">
        <v>312</v>
      </c>
      <c r="D79" s="8" t="s">
        <v>399</v>
      </c>
      <c r="E79" s="8" t="s">
        <v>109</v>
      </c>
      <c r="F79" s="8" t="s">
        <v>418</v>
      </c>
      <c r="G79" s="8" t="s">
        <v>111</v>
      </c>
      <c r="H79" s="11" t="n">
        <v>2479000</v>
      </c>
      <c r="I79" s="8" t="s">
        <v>112</v>
      </c>
      <c r="J79" s="8" t="n">
        <v>75</v>
      </c>
      <c r="K79" s="8" t="s">
        <v>113</v>
      </c>
      <c r="L79" s="8" t="n">
        <v>5</v>
      </c>
      <c r="M79" s="8" t="s">
        <v>114</v>
      </c>
      <c r="N79" s="8" t="n">
        <v>665</v>
      </c>
      <c r="O79" s="8" t="s">
        <v>115</v>
      </c>
      <c r="P79" s="8" t="n">
        <v>510</v>
      </c>
      <c r="Q79" s="8"/>
      <c r="R79" s="8"/>
      <c r="S79" s="12" t="n">
        <v>6.8</v>
      </c>
      <c r="T79" s="8" t="s">
        <v>116</v>
      </c>
      <c r="U79" s="13" t="n">
        <f aca="false">IF(S79="","",((1-Assumptions!$B$4)*Assumptions!$B$2+Assumptions!$B$4*Assumptions!$B$3)/S79)</f>
        <v>1.38235294117647</v>
      </c>
      <c r="V79" s="11" t="n">
        <f aca="false">IF(U79="","",U79*Assumptions!$B$5*365*Assumptions!$B$6)</f>
        <v>100911.764705882</v>
      </c>
      <c r="W79" s="8" t="s">
        <v>117</v>
      </c>
      <c r="X79" s="11" t="n">
        <v>49000</v>
      </c>
      <c r="Y79" s="8" t="s">
        <v>329</v>
      </c>
      <c r="Z79" s="11" t="n">
        <f aca="false">IF(OR(G79&lt;&gt;"battery included",H79="",V79=""),"",H79+X79+V79)</f>
        <v>2628911.76470588</v>
      </c>
      <c r="AA79" s="8" t="n">
        <v>622</v>
      </c>
      <c r="AB79" s="8" t="n">
        <v>205</v>
      </c>
      <c r="AC79" s="8"/>
      <c r="AD79" s="8" t="n">
        <v>6</v>
      </c>
      <c r="AE79" s="8" t="s">
        <v>119</v>
      </c>
      <c r="AF79" s="8" t="s">
        <v>153</v>
      </c>
      <c r="AG79" s="8" t="s">
        <v>129</v>
      </c>
      <c r="AH79" s="8" t="s">
        <v>134</v>
      </c>
      <c r="AI79" s="8" t="s">
        <v>119</v>
      </c>
      <c r="AJ79" s="8" t="s">
        <v>157</v>
      </c>
      <c r="AK79" s="8" t="n">
        <v>120</v>
      </c>
      <c r="AL79" s="8" t="n">
        <v>103.8</v>
      </c>
      <c r="AM79" s="14" t="n">
        <f aca="false">IF(OR(S79="",AL79=""),"",100/S79/AL79*60)</f>
        <v>8.50051003060184</v>
      </c>
      <c r="AN79" s="8" t="n">
        <v>11.7</v>
      </c>
      <c r="AO79" s="8"/>
      <c r="AP79" s="8" t="s">
        <v>122</v>
      </c>
      <c r="AQ79" s="8" t="s">
        <v>201</v>
      </c>
      <c r="AR79" s="8"/>
      <c r="AS79" s="8"/>
      <c r="AT79" s="8" t="n">
        <v>4</v>
      </c>
      <c r="AU79" s="8"/>
      <c r="AV79" s="8" t="s">
        <v>401</v>
      </c>
    </row>
    <row r="80" customFormat="false" ht="15" hidden="false" customHeight="false" outlineLevel="0" collapsed="false">
      <c r="A80" s="8" t="s">
        <v>419</v>
      </c>
      <c r="B80" s="8" t="s">
        <v>420</v>
      </c>
      <c r="C80" s="8" t="s">
        <v>312</v>
      </c>
      <c r="D80" s="8" t="s">
        <v>399</v>
      </c>
      <c r="E80" s="8" t="s">
        <v>109</v>
      </c>
      <c r="F80" s="8" t="s">
        <v>421</v>
      </c>
      <c r="G80" s="8" t="s">
        <v>111</v>
      </c>
      <c r="H80" s="11" t="n">
        <v>2599000</v>
      </c>
      <c r="I80" s="8" t="s">
        <v>112</v>
      </c>
      <c r="J80" s="8" t="n">
        <v>75</v>
      </c>
      <c r="K80" s="8" t="s">
        <v>343</v>
      </c>
      <c r="L80" s="8" t="n">
        <v>5</v>
      </c>
      <c r="M80" s="8" t="s">
        <v>114</v>
      </c>
      <c r="N80" s="8" t="n">
        <v>624</v>
      </c>
      <c r="O80" s="8" t="s">
        <v>115</v>
      </c>
      <c r="P80" s="8" t="n">
        <v>480</v>
      </c>
      <c r="Q80" s="8"/>
      <c r="R80" s="8"/>
      <c r="S80" s="12" t="n">
        <v>6.4</v>
      </c>
      <c r="T80" s="8" t="s">
        <v>116</v>
      </c>
      <c r="U80" s="13" t="n">
        <f aca="false">IF(S80="","",((1-Assumptions!$B$4)*Assumptions!$B$2+Assumptions!$B$4*Assumptions!$B$3)/S80)</f>
        <v>1.46875</v>
      </c>
      <c r="V80" s="11" t="n">
        <f aca="false">IF(U80="","",U80*Assumptions!$B$5*365*Assumptions!$B$6)</f>
        <v>107218.75</v>
      </c>
      <c r="W80" s="8" t="s">
        <v>117</v>
      </c>
      <c r="X80" s="11" t="n">
        <v>49000</v>
      </c>
      <c r="Y80" s="8" t="s">
        <v>329</v>
      </c>
      <c r="Z80" s="11" t="n">
        <f aca="false">IF(OR(G80&lt;&gt;"battery included",H80="",V80=""),"",H80+X80+V80)</f>
        <v>2755218.75</v>
      </c>
      <c r="AA80" s="8" t="n">
        <v>622</v>
      </c>
      <c r="AB80" s="8" t="n">
        <v>205</v>
      </c>
      <c r="AC80" s="8"/>
      <c r="AD80" s="8" t="n">
        <v>6</v>
      </c>
      <c r="AE80" s="8" t="s">
        <v>119</v>
      </c>
      <c r="AF80" s="8" t="s">
        <v>153</v>
      </c>
      <c r="AG80" s="8" t="s">
        <v>129</v>
      </c>
      <c r="AH80" s="8" t="s">
        <v>134</v>
      </c>
      <c r="AI80" s="8" t="s">
        <v>119</v>
      </c>
      <c r="AJ80" s="8" t="s">
        <v>157</v>
      </c>
      <c r="AK80" s="8" t="n">
        <v>120</v>
      </c>
      <c r="AL80" s="8" t="n">
        <v>103.8</v>
      </c>
      <c r="AM80" s="14" t="n">
        <f aca="false">IF(OR(S80="",AL80=""),"",100/S80/AL80*60)</f>
        <v>9.03179190751445</v>
      </c>
      <c r="AN80" s="8" t="n">
        <v>11.7</v>
      </c>
      <c r="AO80" s="8"/>
      <c r="AP80" s="8" t="s">
        <v>122</v>
      </c>
      <c r="AQ80" s="8" t="s">
        <v>201</v>
      </c>
      <c r="AR80" s="8"/>
      <c r="AS80" s="8"/>
      <c r="AT80" s="8" t="n">
        <v>6</v>
      </c>
      <c r="AU80" s="8"/>
      <c r="AV80" s="8" t="s">
        <v>401</v>
      </c>
    </row>
    <row r="81" customFormat="false" ht="15" hidden="false" customHeight="false" outlineLevel="0" collapsed="false">
      <c r="A81" s="8" t="s">
        <v>422</v>
      </c>
      <c r="B81" s="8" t="s">
        <v>423</v>
      </c>
      <c r="C81" s="8" t="s">
        <v>312</v>
      </c>
      <c r="D81" s="8" t="s">
        <v>424</v>
      </c>
      <c r="E81" s="8" t="s">
        <v>425</v>
      </c>
      <c r="F81" s="8" t="s">
        <v>426</v>
      </c>
      <c r="G81" s="8" t="s">
        <v>111</v>
      </c>
      <c r="H81" s="11" t="n">
        <v>699000</v>
      </c>
      <c r="I81" s="8" t="s">
        <v>112</v>
      </c>
      <c r="J81" s="8" t="n">
        <v>19.2</v>
      </c>
      <c r="K81" s="8" t="s">
        <v>157</v>
      </c>
      <c r="L81" s="8" t="n">
        <v>5</v>
      </c>
      <c r="M81" s="8" t="s">
        <v>114</v>
      </c>
      <c r="N81" s="8" t="n">
        <v>226</v>
      </c>
      <c r="O81" s="8" t="s">
        <v>427</v>
      </c>
      <c r="P81" s="8" t="n">
        <v>160</v>
      </c>
      <c r="Q81" s="8"/>
      <c r="R81" s="8"/>
      <c r="S81" s="12" t="n">
        <v>8.33</v>
      </c>
      <c r="T81" s="8" t="s">
        <v>116</v>
      </c>
      <c r="U81" s="13" t="n">
        <f aca="false">IF(S81="","",((1-Assumptions!$B$4)*Assumptions!$B$2+Assumptions!$B$4*Assumptions!$B$3)/S81)</f>
        <v>1.12845138055222</v>
      </c>
      <c r="V81" s="11" t="n">
        <f aca="false">IF(U81="","",U81*Assumptions!$B$5*365*Assumptions!$B$6)</f>
        <v>82376.9507803121</v>
      </c>
      <c r="W81" s="8" t="s">
        <v>377</v>
      </c>
      <c r="X81" s="11" t="n">
        <v>0</v>
      </c>
      <c r="Y81" s="8" t="s">
        <v>428</v>
      </c>
      <c r="Z81" s="11" t="n">
        <f aca="false">IF(OR(G81&lt;&gt;"battery included",H81="",V81=""),"",H81+X81+V81)</f>
        <v>781376.950780312</v>
      </c>
      <c r="AA81" s="8" t="n">
        <v>240</v>
      </c>
      <c r="AB81" s="8"/>
      <c r="AC81" s="8"/>
      <c r="AD81" s="8" t="n">
        <v>6</v>
      </c>
      <c r="AE81" s="8" t="s">
        <v>429</v>
      </c>
      <c r="AF81" s="8" t="s">
        <v>157</v>
      </c>
      <c r="AG81" s="8" t="s">
        <v>379</v>
      </c>
      <c r="AH81" s="8" t="s">
        <v>157</v>
      </c>
      <c r="AI81" s="8" t="s">
        <v>157</v>
      </c>
      <c r="AJ81" s="8" t="s">
        <v>157</v>
      </c>
      <c r="AK81" s="8"/>
      <c r="AL81" s="8" t="n">
        <v>23</v>
      </c>
      <c r="AM81" s="14" t="n">
        <f aca="false">IF(OR(S81="",AL81=""),"",100/S81/AL81*60)</f>
        <v>31.3168745759173</v>
      </c>
      <c r="AN81" s="8" t="n">
        <v>2.9</v>
      </c>
      <c r="AO81" s="8"/>
      <c r="AP81" s="8" t="s">
        <v>356</v>
      </c>
      <c r="AQ81" s="8" t="s">
        <v>201</v>
      </c>
      <c r="AR81" s="8"/>
      <c r="AS81" s="8"/>
      <c r="AT81" s="8"/>
      <c r="AU81" s="8"/>
      <c r="AV81" s="8" t="s">
        <v>430</v>
      </c>
    </row>
    <row r="82" customFormat="false" ht="15" hidden="false" customHeight="false" outlineLevel="0" collapsed="false">
      <c r="A82" s="8" t="s">
        <v>431</v>
      </c>
      <c r="B82" s="8" t="s">
        <v>432</v>
      </c>
      <c r="C82" s="8" t="s">
        <v>312</v>
      </c>
      <c r="D82" s="8" t="s">
        <v>424</v>
      </c>
      <c r="E82" s="8" t="s">
        <v>425</v>
      </c>
      <c r="F82" s="8" t="s">
        <v>433</v>
      </c>
      <c r="G82" s="8" t="s">
        <v>111</v>
      </c>
      <c r="H82" s="11" t="n">
        <v>864000</v>
      </c>
      <c r="I82" s="8" t="s">
        <v>112</v>
      </c>
      <c r="J82" s="8" t="n">
        <v>19.2</v>
      </c>
      <c r="K82" s="8" t="s">
        <v>157</v>
      </c>
      <c r="L82" s="8" t="n">
        <v>5</v>
      </c>
      <c r="M82" s="8" t="s">
        <v>114</v>
      </c>
      <c r="N82" s="8" t="n">
        <v>226</v>
      </c>
      <c r="O82" s="8" t="s">
        <v>427</v>
      </c>
      <c r="P82" s="8" t="n">
        <v>160</v>
      </c>
      <c r="Q82" s="8"/>
      <c r="R82" s="8"/>
      <c r="S82" s="12" t="n">
        <v>8.33</v>
      </c>
      <c r="T82" s="8" t="s">
        <v>116</v>
      </c>
      <c r="U82" s="13" t="n">
        <f aca="false">IF(S82="","",((1-Assumptions!$B$4)*Assumptions!$B$2+Assumptions!$B$4*Assumptions!$B$3)/S82)</f>
        <v>1.12845138055222</v>
      </c>
      <c r="V82" s="11" t="n">
        <f aca="false">IF(U82="","",U82*Assumptions!$B$5*365*Assumptions!$B$6)</f>
        <v>82376.9507803121</v>
      </c>
      <c r="W82" s="8" t="s">
        <v>377</v>
      </c>
      <c r="X82" s="11" t="n">
        <v>0</v>
      </c>
      <c r="Y82" s="8" t="s">
        <v>428</v>
      </c>
      <c r="Z82" s="11" t="n">
        <f aca="false">IF(OR(G82&lt;&gt;"battery included",H82="",V82=""),"",H82+X82+V82)</f>
        <v>946376.950780312</v>
      </c>
      <c r="AA82" s="8" t="n">
        <v>240</v>
      </c>
      <c r="AB82" s="8"/>
      <c r="AC82" s="8"/>
      <c r="AD82" s="8" t="n">
        <v>6</v>
      </c>
      <c r="AE82" s="8" t="s">
        <v>429</v>
      </c>
      <c r="AF82" s="8" t="s">
        <v>157</v>
      </c>
      <c r="AG82" s="8" t="s">
        <v>121</v>
      </c>
      <c r="AH82" s="8" t="s">
        <v>157</v>
      </c>
      <c r="AI82" s="8" t="s">
        <v>157</v>
      </c>
      <c r="AJ82" s="8" t="s">
        <v>157</v>
      </c>
      <c r="AK82" s="8"/>
      <c r="AL82" s="8" t="n">
        <v>23</v>
      </c>
      <c r="AM82" s="14" t="n">
        <f aca="false">IF(OR(S82="",AL82=""),"",100/S82/AL82*60)</f>
        <v>31.3168745759173</v>
      </c>
      <c r="AN82" s="8" t="n">
        <v>2.9</v>
      </c>
      <c r="AO82" s="8"/>
      <c r="AP82" s="8" t="s">
        <v>356</v>
      </c>
      <c r="AQ82" s="8" t="s">
        <v>201</v>
      </c>
      <c r="AR82" s="8"/>
      <c r="AS82" s="8"/>
      <c r="AT82" s="8"/>
      <c r="AU82" s="8"/>
      <c r="AV82" s="8" t="s">
        <v>430</v>
      </c>
    </row>
    <row r="83" customFormat="false" ht="15" hidden="false" customHeight="false" outlineLevel="0" collapsed="false">
      <c r="A83" s="8" t="s">
        <v>434</v>
      </c>
      <c r="B83" s="8" t="s">
        <v>435</v>
      </c>
      <c r="C83" s="8" t="s">
        <v>312</v>
      </c>
      <c r="D83" s="8" t="s">
        <v>424</v>
      </c>
      <c r="E83" s="8" t="s">
        <v>425</v>
      </c>
      <c r="F83" s="8" t="s">
        <v>436</v>
      </c>
      <c r="G83" s="8" t="s">
        <v>111</v>
      </c>
      <c r="H83" s="11" t="n">
        <v>964000</v>
      </c>
      <c r="I83" s="8" t="s">
        <v>112</v>
      </c>
      <c r="J83" s="8" t="n">
        <v>24</v>
      </c>
      <c r="K83" s="8" t="s">
        <v>157</v>
      </c>
      <c r="L83" s="8" t="n">
        <v>5</v>
      </c>
      <c r="M83" s="8" t="s">
        <v>114</v>
      </c>
      <c r="N83" s="8" t="n">
        <v>285</v>
      </c>
      <c r="O83" s="8" t="s">
        <v>427</v>
      </c>
      <c r="P83" s="8" t="n">
        <v>205</v>
      </c>
      <c r="Q83" s="8" t="n">
        <v>187</v>
      </c>
      <c r="R83" s="8" t="n">
        <v>66</v>
      </c>
      <c r="S83" s="12" t="n">
        <v>7.77</v>
      </c>
      <c r="T83" s="8" t="s">
        <v>145</v>
      </c>
      <c r="U83" s="13" t="n">
        <f aca="false">IF(S83="","",((1-Assumptions!$B$4)*Assumptions!$B$2+Assumptions!$B$4*Assumptions!$B$3)/S83)</f>
        <v>1.20978120978121</v>
      </c>
      <c r="V83" s="11" t="n">
        <f aca="false">IF(U83="","",U83*Assumptions!$B$5*365*Assumptions!$B$6)</f>
        <v>88314.0283140283</v>
      </c>
      <c r="W83" s="8" t="s">
        <v>377</v>
      </c>
      <c r="X83" s="11" t="n">
        <v>0</v>
      </c>
      <c r="Y83" s="8" t="s">
        <v>428</v>
      </c>
      <c r="Z83" s="11" t="n">
        <f aca="false">IF(OR(G83&lt;&gt;"battery included",H83="",V83=""),"",H83+X83+V83)</f>
        <v>1052314.02831403</v>
      </c>
      <c r="AA83" s="8" t="n">
        <v>240</v>
      </c>
      <c r="AB83" s="8"/>
      <c r="AC83" s="8"/>
      <c r="AD83" s="8" t="n">
        <v>6</v>
      </c>
      <c r="AE83" s="8" t="s">
        <v>429</v>
      </c>
      <c r="AF83" s="8" t="s">
        <v>157</v>
      </c>
      <c r="AG83" s="8" t="s">
        <v>121</v>
      </c>
      <c r="AH83" s="8" t="s">
        <v>157</v>
      </c>
      <c r="AI83" s="8" t="s">
        <v>157</v>
      </c>
      <c r="AJ83" s="8" t="s">
        <v>157</v>
      </c>
      <c r="AK83" s="8"/>
      <c r="AL83" s="8" t="n">
        <v>28.8</v>
      </c>
      <c r="AM83" s="14" t="n">
        <f aca="false">IF(OR(S83="",AL83=""),"",100/S83/AL83*60)</f>
        <v>26.8125268125268</v>
      </c>
      <c r="AN83" s="8" t="n">
        <v>3.9</v>
      </c>
      <c r="AO83" s="8"/>
      <c r="AP83" s="8" t="s">
        <v>122</v>
      </c>
      <c r="AQ83" s="8" t="s">
        <v>201</v>
      </c>
      <c r="AR83" s="8"/>
      <c r="AS83" s="8"/>
      <c r="AT83" s="8"/>
      <c r="AU83" s="8"/>
      <c r="AV83" s="8" t="s">
        <v>437</v>
      </c>
    </row>
    <row r="84" customFormat="false" ht="15" hidden="false" customHeight="false" outlineLevel="0" collapsed="false">
      <c r="A84" s="8" t="s">
        <v>438</v>
      </c>
      <c r="B84" s="8" t="s">
        <v>439</v>
      </c>
      <c r="C84" s="8" t="s">
        <v>312</v>
      </c>
      <c r="D84" s="8" t="s">
        <v>424</v>
      </c>
      <c r="E84" s="8" t="s">
        <v>425</v>
      </c>
      <c r="F84" s="8" t="s">
        <v>440</v>
      </c>
      <c r="G84" s="8" t="s">
        <v>111</v>
      </c>
      <c r="H84" s="11" t="n">
        <v>1009000</v>
      </c>
      <c r="I84" s="8" t="s">
        <v>112</v>
      </c>
      <c r="J84" s="8" t="n">
        <v>24</v>
      </c>
      <c r="K84" s="8" t="s">
        <v>157</v>
      </c>
      <c r="L84" s="8" t="n">
        <v>5</v>
      </c>
      <c r="M84" s="8" t="s">
        <v>114</v>
      </c>
      <c r="N84" s="8" t="n">
        <v>285</v>
      </c>
      <c r="O84" s="8" t="s">
        <v>427</v>
      </c>
      <c r="P84" s="8" t="n">
        <v>205</v>
      </c>
      <c r="Q84" s="8" t="n">
        <v>187</v>
      </c>
      <c r="R84" s="8" t="n">
        <v>66</v>
      </c>
      <c r="S84" s="12" t="n">
        <v>7.77</v>
      </c>
      <c r="T84" s="8" t="s">
        <v>145</v>
      </c>
      <c r="U84" s="13" t="n">
        <f aca="false">IF(S84="","",((1-Assumptions!$B$4)*Assumptions!$B$2+Assumptions!$B$4*Assumptions!$B$3)/S84)</f>
        <v>1.20978120978121</v>
      </c>
      <c r="V84" s="11" t="n">
        <f aca="false">IF(U84="","",U84*Assumptions!$B$5*365*Assumptions!$B$6)</f>
        <v>88314.0283140283</v>
      </c>
      <c r="W84" s="8" t="s">
        <v>377</v>
      </c>
      <c r="X84" s="11" t="n">
        <v>0</v>
      </c>
      <c r="Y84" s="8" t="s">
        <v>428</v>
      </c>
      <c r="Z84" s="11" t="n">
        <f aca="false">IF(OR(G84&lt;&gt;"battery included",H84="",V84=""),"",H84+X84+V84)</f>
        <v>1097314.02831403</v>
      </c>
      <c r="AA84" s="8" t="n">
        <v>240</v>
      </c>
      <c r="AB84" s="8"/>
      <c r="AC84" s="8"/>
      <c r="AD84" s="8" t="n">
        <v>6</v>
      </c>
      <c r="AE84" s="8" t="s">
        <v>119</v>
      </c>
      <c r="AF84" s="8" t="s">
        <v>157</v>
      </c>
      <c r="AG84" s="8" t="s">
        <v>209</v>
      </c>
      <c r="AH84" s="8" t="s">
        <v>157</v>
      </c>
      <c r="AI84" s="8" t="s">
        <v>157</v>
      </c>
      <c r="AJ84" s="8" t="s">
        <v>157</v>
      </c>
      <c r="AK84" s="8"/>
      <c r="AL84" s="8" t="n">
        <v>28.8</v>
      </c>
      <c r="AM84" s="14" t="n">
        <f aca="false">IF(OR(S84="",AL84=""),"",100/S84/AL84*60)</f>
        <v>26.8125268125268</v>
      </c>
      <c r="AN84" s="8" t="n">
        <v>3.9</v>
      </c>
      <c r="AO84" s="8"/>
      <c r="AP84" s="8" t="s">
        <v>122</v>
      </c>
      <c r="AQ84" s="8" t="s">
        <v>201</v>
      </c>
      <c r="AR84" s="8"/>
      <c r="AS84" s="8"/>
      <c r="AT84" s="8"/>
      <c r="AU84" s="8"/>
      <c r="AV84" s="8" t="s">
        <v>441</v>
      </c>
    </row>
    <row r="85" customFormat="false" ht="15" hidden="false" customHeight="false" outlineLevel="0" collapsed="false">
      <c r="A85" s="8" t="s">
        <v>442</v>
      </c>
      <c r="B85" s="8" t="s">
        <v>443</v>
      </c>
      <c r="C85" s="8" t="s">
        <v>312</v>
      </c>
      <c r="D85" s="8" t="s">
        <v>444</v>
      </c>
      <c r="E85" s="8" t="s">
        <v>445</v>
      </c>
      <c r="F85" s="8" t="s">
        <v>446</v>
      </c>
      <c r="G85" s="8" t="s">
        <v>111</v>
      </c>
      <c r="H85" s="11" t="n">
        <v>1249000</v>
      </c>
      <c r="I85" s="8" t="s">
        <v>112</v>
      </c>
      <c r="J85" s="8" t="n">
        <v>26</v>
      </c>
      <c r="K85" s="8" t="s">
        <v>302</v>
      </c>
      <c r="L85" s="8" t="n">
        <v>5</v>
      </c>
      <c r="M85" s="8" t="s">
        <v>114</v>
      </c>
      <c r="N85" s="8" t="n">
        <v>315</v>
      </c>
      <c r="O85" s="8" t="s">
        <v>427</v>
      </c>
      <c r="P85" s="8"/>
      <c r="Q85" s="8" t="n">
        <v>190</v>
      </c>
      <c r="R85" s="8" t="n">
        <v>60</v>
      </c>
      <c r="S85" s="12" t="n">
        <v>7.29</v>
      </c>
      <c r="T85" s="8" t="s">
        <v>145</v>
      </c>
      <c r="U85" s="13" t="n">
        <f aca="false">IF(S85="","",((1-Assumptions!$B$4)*Assumptions!$B$2+Assumptions!$B$4*Assumptions!$B$3)/S85)</f>
        <v>1.28943758573388</v>
      </c>
      <c r="V85" s="11" t="n">
        <f aca="false">IF(U85="","",U85*Assumptions!$B$5*365*Assumptions!$B$6)</f>
        <v>94128.9437585734</v>
      </c>
      <c r="W85" s="8" t="s">
        <v>377</v>
      </c>
      <c r="X85" s="11" t="n">
        <v>0</v>
      </c>
      <c r="Y85" s="8" t="s">
        <v>428</v>
      </c>
      <c r="Z85" s="11" t="n">
        <f aca="false">IF(OR(G85&lt;&gt;"battery included",H85="",V85=""),"",H85+X85+V85)</f>
        <v>1343128.94375857</v>
      </c>
      <c r="AA85" s="8" t="n">
        <v>316</v>
      </c>
      <c r="AB85" s="8"/>
      <c r="AC85" s="8"/>
      <c r="AD85" s="8" t="n">
        <v>2</v>
      </c>
      <c r="AE85" s="8" t="s">
        <v>429</v>
      </c>
      <c r="AF85" s="8" t="s">
        <v>120</v>
      </c>
      <c r="AG85" s="8" t="s">
        <v>379</v>
      </c>
      <c r="AH85" s="8" t="s">
        <v>157</v>
      </c>
      <c r="AI85" s="8" t="s">
        <v>157</v>
      </c>
      <c r="AJ85" s="8" t="s">
        <v>157</v>
      </c>
      <c r="AK85" s="8"/>
      <c r="AL85" s="8" t="n">
        <v>18.5</v>
      </c>
      <c r="AM85" s="14" t="n">
        <f aca="false">IF(OR(S85="",AL85=""),"",100/S85/AL85*60)</f>
        <v>44.4889333778223</v>
      </c>
      <c r="AN85" s="8" t="n">
        <v>10.4</v>
      </c>
      <c r="AO85" s="8"/>
      <c r="AP85" s="8" t="s">
        <v>356</v>
      </c>
      <c r="AQ85" s="8" t="s">
        <v>201</v>
      </c>
      <c r="AR85" s="8"/>
      <c r="AS85" s="8"/>
      <c r="AT85" s="8"/>
      <c r="AU85" s="8"/>
      <c r="AV85" s="8" t="s">
        <v>447</v>
      </c>
    </row>
    <row r="86" customFormat="false" ht="15" hidden="false" customHeight="false" outlineLevel="0" collapsed="false">
      <c r="A86" s="8" t="s">
        <v>448</v>
      </c>
      <c r="B86" s="8" t="s">
        <v>449</v>
      </c>
      <c r="C86" s="8" t="s">
        <v>312</v>
      </c>
      <c r="D86" s="8" t="s">
        <v>444</v>
      </c>
      <c r="E86" s="8" t="s">
        <v>445</v>
      </c>
      <c r="F86" s="8" t="s">
        <v>450</v>
      </c>
      <c r="G86" s="8" t="s">
        <v>111</v>
      </c>
      <c r="H86" s="11" t="n">
        <v>1299000</v>
      </c>
      <c r="I86" s="8" t="s">
        <v>112</v>
      </c>
      <c r="J86" s="8" t="n">
        <v>26</v>
      </c>
      <c r="K86" s="8" t="s">
        <v>302</v>
      </c>
      <c r="L86" s="8" t="n">
        <v>5</v>
      </c>
      <c r="M86" s="8" t="s">
        <v>114</v>
      </c>
      <c r="N86" s="8" t="n">
        <v>315</v>
      </c>
      <c r="O86" s="8" t="s">
        <v>427</v>
      </c>
      <c r="P86" s="8"/>
      <c r="Q86" s="8" t="n">
        <v>190</v>
      </c>
      <c r="R86" s="8" t="n">
        <v>60</v>
      </c>
      <c r="S86" s="12" t="n">
        <v>7.29</v>
      </c>
      <c r="T86" s="8" t="s">
        <v>145</v>
      </c>
      <c r="U86" s="13" t="n">
        <f aca="false">IF(S86="","",((1-Assumptions!$B$4)*Assumptions!$B$2+Assumptions!$B$4*Assumptions!$B$3)/S86)</f>
        <v>1.28943758573388</v>
      </c>
      <c r="V86" s="11" t="n">
        <f aca="false">IF(U86="","",U86*Assumptions!$B$5*365*Assumptions!$B$6)</f>
        <v>94128.9437585734</v>
      </c>
      <c r="W86" s="8" t="s">
        <v>377</v>
      </c>
      <c r="X86" s="11" t="n">
        <v>0</v>
      </c>
      <c r="Y86" s="8" t="s">
        <v>428</v>
      </c>
      <c r="Z86" s="11" t="n">
        <f aca="false">IF(OR(G86&lt;&gt;"battery included",H86="",V86=""),"",H86+X86+V86)</f>
        <v>1393128.94375857</v>
      </c>
      <c r="AA86" s="8" t="n">
        <v>316</v>
      </c>
      <c r="AB86" s="8"/>
      <c r="AC86" s="8"/>
      <c r="AD86" s="8" t="n">
        <v>2</v>
      </c>
      <c r="AE86" s="8" t="s">
        <v>429</v>
      </c>
      <c r="AF86" s="8" t="s">
        <v>120</v>
      </c>
      <c r="AG86" s="8" t="s">
        <v>379</v>
      </c>
      <c r="AH86" s="8" t="s">
        <v>157</v>
      </c>
      <c r="AI86" s="8" t="s">
        <v>157</v>
      </c>
      <c r="AJ86" s="8" t="s">
        <v>157</v>
      </c>
      <c r="AK86" s="8"/>
      <c r="AL86" s="8" t="n">
        <v>18.5</v>
      </c>
      <c r="AM86" s="14" t="n">
        <f aca="false">IF(OR(S86="",AL86=""),"",100/S86/AL86*60)</f>
        <v>44.4889333778223</v>
      </c>
      <c r="AN86" s="8" t="n">
        <v>10.4</v>
      </c>
      <c r="AO86" s="8"/>
      <c r="AP86" s="8" t="s">
        <v>356</v>
      </c>
      <c r="AQ86" s="8" t="s">
        <v>201</v>
      </c>
      <c r="AR86" s="8"/>
      <c r="AS86" s="8"/>
      <c r="AT86" s="8"/>
      <c r="AU86" s="8"/>
      <c r="AV86" s="8" t="s">
        <v>447</v>
      </c>
    </row>
    <row r="87" customFormat="false" ht="15" hidden="false" customHeight="false" outlineLevel="0" collapsed="false">
      <c r="A87" s="8" t="s">
        <v>451</v>
      </c>
      <c r="B87" s="8" t="s">
        <v>452</v>
      </c>
      <c r="C87" s="8" t="s">
        <v>312</v>
      </c>
      <c r="D87" s="8" t="s">
        <v>444</v>
      </c>
      <c r="E87" s="8" t="s">
        <v>445</v>
      </c>
      <c r="F87" s="8" t="s">
        <v>453</v>
      </c>
      <c r="G87" s="8" t="s">
        <v>111</v>
      </c>
      <c r="H87" s="11" t="n">
        <v>1349000</v>
      </c>
      <c r="I87" s="8" t="s">
        <v>112</v>
      </c>
      <c r="J87" s="8" t="n">
        <v>26</v>
      </c>
      <c r="K87" s="8" t="s">
        <v>302</v>
      </c>
      <c r="L87" s="8" t="n">
        <v>5</v>
      </c>
      <c r="M87" s="8" t="s">
        <v>114</v>
      </c>
      <c r="N87" s="8" t="n">
        <v>315</v>
      </c>
      <c r="O87" s="8" t="s">
        <v>427</v>
      </c>
      <c r="P87" s="8"/>
      <c r="Q87" s="8" t="n">
        <v>190</v>
      </c>
      <c r="R87" s="8" t="n">
        <v>60</v>
      </c>
      <c r="S87" s="12" t="n">
        <v>7.29</v>
      </c>
      <c r="T87" s="8" t="s">
        <v>145</v>
      </c>
      <c r="U87" s="13" t="n">
        <f aca="false">IF(S87="","",((1-Assumptions!$B$4)*Assumptions!$B$2+Assumptions!$B$4*Assumptions!$B$3)/S87)</f>
        <v>1.28943758573388</v>
      </c>
      <c r="V87" s="11" t="n">
        <f aca="false">IF(U87="","",U87*Assumptions!$B$5*365*Assumptions!$B$6)</f>
        <v>94128.9437585734</v>
      </c>
      <c r="W87" s="8" t="s">
        <v>377</v>
      </c>
      <c r="X87" s="11" t="n">
        <v>0</v>
      </c>
      <c r="Y87" s="8" t="s">
        <v>428</v>
      </c>
      <c r="Z87" s="11" t="n">
        <f aca="false">IF(OR(G87&lt;&gt;"battery included",H87="",V87=""),"",H87+X87+V87)</f>
        <v>1443128.94375857</v>
      </c>
      <c r="AA87" s="8" t="n">
        <v>316</v>
      </c>
      <c r="AB87" s="8"/>
      <c r="AC87" s="8"/>
      <c r="AD87" s="8" t="n">
        <v>2</v>
      </c>
      <c r="AE87" s="8" t="s">
        <v>429</v>
      </c>
      <c r="AF87" s="8" t="s">
        <v>120</v>
      </c>
      <c r="AG87" s="8" t="s">
        <v>121</v>
      </c>
      <c r="AH87" s="8" t="s">
        <v>157</v>
      </c>
      <c r="AI87" s="8" t="s">
        <v>157</v>
      </c>
      <c r="AJ87" s="8" t="s">
        <v>157</v>
      </c>
      <c r="AK87" s="8"/>
      <c r="AL87" s="8" t="n">
        <v>18.5</v>
      </c>
      <c r="AM87" s="14" t="n">
        <f aca="false">IF(OR(S87="",AL87=""),"",100/S87/AL87*60)</f>
        <v>44.4889333778223</v>
      </c>
      <c r="AN87" s="8" t="n">
        <v>10.4</v>
      </c>
      <c r="AO87" s="8"/>
      <c r="AP87" s="8" t="s">
        <v>356</v>
      </c>
      <c r="AQ87" s="8" t="s">
        <v>201</v>
      </c>
      <c r="AR87" s="8"/>
      <c r="AS87" s="8"/>
      <c r="AT87" s="8"/>
      <c r="AU87" s="8"/>
      <c r="AV87" s="8" t="s">
        <v>447</v>
      </c>
    </row>
    <row r="88" customFormat="false" ht="15" hidden="false" customHeight="false" outlineLevel="0" collapsed="false">
      <c r="A88" s="8" t="s">
        <v>454</v>
      </c>
      <c r="B88" s="8" t="s">
        <v>455</v>
      </c>
      <c r="C88" s="8" t="s">
        <v>312</v>
      </c>
      <c r="D88" s="8" t="s">
        <v>444</v>
      </c>
      <c r="E88" s="8" t="s">
        <v>445</v>
      </c>
      <c r="F88" s="8" t="s">
        <v>456</v>
      </c>
      <c r="G88" s="8" t="s">
        <v>111</v>
      </c>
      <c r="H88" s="11" t="n">
        <v>1375000</v>
      </c>
      <c r="I88" s="8" t="s">
        <v>112</v>
      </c>
      <c r="J88" s="8" t="n">
        <v>26</v>
      </c>
      <c r="K88" s="8" t="s">
        <v>302</v>
      </c>
      <c r="L88" s="8" t="n">
        <v>5</v>
      </c>
      <c r="M88" s="8" t="s">
        <v>114</v>
      </c>
      <c r="N88" s="8" t="n">
        <v>315</v>
      </c>
      <c r="O88" s="8" t="s">
        <v>427</v>
      </c>
      <c r="P88" s="8"/>
      <c r="Q88" s="8" t="n">
        <v>190</v>
      </c>
      <c r="R88" s="8" t="n">
        <v>60</v>
      </c>
      <c r="S88" s="12" t="n">
        <v>7.29</v>
      </c>
      <c r="T88" s="8" t="s">
        <v>145</v>
      </c>
      <c r="U88" s="13" t="n">
        <f aca="false">IF(S88="","",((1-Assumptions!$B$4)*Assumptions!$B$2+Assumptions!$B$4*Assumptions!$B$3)/S88)</f>
        <v>1.28943758573388</v>
      </c>
      <c r="V88" s="11" t="n">
        <f aca="false">IF(U88="","",U88*Assumptions!$B$5*365*Assumptions!$B$6)</f>
        <v>94128.9437585734</v>
      </c>
      <c r="W88" s="8" t="s">
        <v>377</v>
      </c>
      <c r="X88" s="11" t="n">
        <v>0</v>
      </c>
      <c r="Y88" s="8" t="s">
        <v>428</v>
      </c>
      <c r="Z88" s="11" t="n">
        <f aca="false">IF(OR(G88&lt;&gt;"battery included",H88="",V88=""),"",H88+X88+V88)</f>
        <v>1469128.94375857</v>
      </c>
      <c r="AA88" s="8" t="n">
        <v>316</v>
      </c>
      <c r="AB88" s="8"/>
      <c r="AC88" s="8"/>
      <c r="AD88" s="8" t="n">
        <v>2</v>
      </c>
      <c r="AE88" s="8" t="s">
        <v>429</v>
      </c>
      <c r="AF88" s="8" t="s">
        <v>120</v>
      </c>
      <c r="AG88" s="8" t="s">
        <v>121</v>
      </c>
      <c r="AH88" s="8" t="s">
        <v>157</v>
      </c>
      <c r="AI88" s="8" t="s">
        <v>157</v>
      </c>
      <c r="AJ88" s="8" t="s">
        <v>157</v>
      </c>
      <c r="AK88" s="8"/>
      <c r="AL88" s="8" t="n">
        <v>18.5</v>
      </c>
      <c r="AM88" s="14" t="n">
        <f aca="false">IF(OR(S88="",AL88=""),"",100/S88/AL88*60)</f>
        <v>44.4889333778223</v>
      </c>
      <c r="AN88" s="8" t="n">
        <v>10.4</v>
      </c>
      <c r="AO88" s="8"/>
      <c r="AP88" s="8" t="s">
        <v>356</v>
      </c>
      <c r="AQ88" s="8" t="s">
        <v>201</v>
      </c>
      <c r="AR88" s="8"/>
      <c r="AS88" s="8"/>
      <c r="AT88" s="8"/>
      <c r="AU88" s="8"/>
      <c r="AV88" s="8" t="s">
        <v>447</v>
      </c>
    </row>
  </sheetData>
  <autoFilter ref="A1:AV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8"/>
    <col collapsed="false" customWidth="true" hidden="false" outlineLevel="0" max="6" min="4" style="0" width="12"/>
    <col collapsed="false" customWidth="true" hidden="false" outlineLevel="0" max="7" min="7" style="0" width="95"/>
    <col collapsed="false" customWidth="true" hidden="true" outlineLevel="0" max="8" min="8" style="0" width="4"/>
    <col collapsed="false" customWidth="true" hidden="false" outlineLevel="0" max="9" min="9" style="0" width="3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7" t="s">
        <v>60</v>
      </c>
      <c r="B1" s="7" t="s">
        <v>457</v>
      </c>
      <c r="C1" s="7" t="s">
        <v>458</v>
      </c>
      <c r="D1" s="7" t="s">
        <v>459</v>
      </c>
      <c r="E1" s="7" t="s">
        <v>460</v>
      </c>
      <c r="F1" s="7" t="s">
        <v>461</v>
      </c>
      <c r="G1" s="7" t="s">
        <v>462</v>
      </c>
      <c r="H1" s="7" t="s">
        <v>463</v>
      </c>
      <c r="I1" s="7" t="s">
        <v>464</v>
      </c>
      <c r="J1" s="7" t="s">
        <v>465</v>
      </c>
    </row>
    <row r="2" customFormat="false" ht="39.55" hidden="false" customHeight="false" outlineLevel="0" collapsed="false">
      <c r="A2" s="15" t="s">
        <v>108</v>
      </c>
      <c r="B2" s="15" t="s">
        <v>110</v>
      </c>
      <c r="C2" s="15" t="s">
        <v>127</v>
      </c>
      <c r="D2" s="16" t="n">
        <v>1945000</v>
      </c>
      <c r="E2" s="16" t="n">
        <v>2095000</v>
      </c>
      <c r="F2" s="16" t="n">
        <f aca="false">E2-D2</f>
        <v>150000</v>
      </c>
      <c r="G2" s="15" t="s">
        <v>466</v>
      </c>
      <c r="H2" s="15"/>
      <c r="I2" s="15" t="s">
        <v>467</v>
      </c>
      <c r="J2" s="15"/>
    </row>
    <row r="3" customFormat="false" ht="26.85" hidden="false" customHeight="false" outlineLevel="0" collapsed="false">
      <c r="A3" s="15" t="s">
        <v>108</v>
      </c>
      <c r="B3" s="15" t="s">
        <v>127</v>
      </c>
      <c r="C3" s="15" t="s">
        <v>133</v>
      </c>
      <c r="D3" s="16" t="n">
        <v>2095000</v>
      </c>
      <c r="E3" s="16" t="n">
        <v>2195000</v>
      </c>
      <c r="F3" s="16" t="n">
        <f aca="false">E3-D3</f>
        <v>100000</v>
      </c>
      <c r="G3" s="15" t="s">
        <v>468</v>
      </c>
      <c r="H3" s="15"/>
      <c r="I3" s="15" t="s">
        <v>469</v>
      </c>
      <c r="J3" s="15"/>
    </row>
    <row r="4" customFormat="false" ht="26.85" hidden="false" customHeight="false" outlineLevel="0" collapsed="false">
      <c r="A4" s="15" t="s">
        <v>108</v>
      </c>
      <c r="B4" s="15" t="s">
        <v>133</v>
      </c>
      <c r="C4" s="15" t="s">
        <v>137</v>
      </c>
      <c r="D4" s="16" t="n">
        <v>2195000</v>
      </c>
      <c r="E4" s="16" t="n">
        <v>2295000</v>
      </c>
      <c r="F4" s="16" t="n">
        <f aca="false">E4-D4</f>
        <v>100000</v>
      </c>
      <c r="G4" s="15" t="s">
        <v>470</v>
      </c>
      <c r="H4" s="15"/>
      <c r="I4" s="15" t="s">
        <v>471</v>
      </c>
      <c r="J4" s="15"/>
    </row>
    <row r="5" customFormat="false" ht="26.85" hidden="false" customHeight="false" outlineLevel="0" collapsed="false">
      <c r="A5" s="15" t="s">
        <v>108</v>
      </c>
      <c r="B5" s="15" t="s">
        <v>137</v>
      </c>
      <c r="C5" s="15" t="s">
        <v>140</v>
      </c>
      <c r="D5" s="16" t="n">
        <v>2295000</v>
      </c>
      <c r="E5" s="16" t="n">
        <v>2395000</v>
      </c>
      <c r="F5" s="16" t="n">
        <f aca="false">E5-D5</f>
        <v>100000</v>
      </c>
      <c r="G5" s="15" t="s">
        <v>472</v>
      </c>
      <c r="H5" s="15"/>
      <c r="I5" s="15" t="s">
        <v>473</v>
      </c>
      <c r="J5" s="15"/>
    </row>
    <row r="6" customFormat="false" ht="39.55" hidden="false" customHeight="false" outlineLevel="0" collapsed="false">
      <c r="A6" s="15" t="s">
        <v>108</v>
      </c>
      <c r="B6" s="15" t="s">
        <v>140</v>
      </c>
      <c r="C6" s="15" t="s">
        <v>144</v>
      </c>
      <c r="D6" s="16" t="n">
        <v>2395000</v>
      </c>
      <c r="E6" s="16" t="n">
        <v>2445000</v>
      </c>
      <c r="F6" s="16" t="n">
        <f aca="false">E6-D6</f>
        <v>50000</v>
      </c>
      <c r="G6" s="15" t="s">
        <v>474</v>
      </c>
      <c r="H6" s="15"/>
      <c r="I6" s="15" t="s">
        <v>475</v>
      </c>
      <c r="J6" s="15"/>
    </row>
    <row r="7" customFormat="false" ht="39.55" hidden="false" customHeight="false" outlineLevel="0" collapsed="false">
      <c r="A7" s="15" t="s">
        <v>108</v>
      </c>
      <c r="B7" s="15" t="s">
        <v>144</v>
      </c>
      <c r="C7" s="15" t="s">
        <v>149</v>
      </c>
      <c r="D7" s="16" t="n">
        <v>2445000</v>
      </c>
      <c r="E7" s="16" t="n">
        <v>2495000</v>
      </c>
      <c r="F7" s="16" t="n">
        <f aca="false">E7-D7</f>
        <v>50000</v>
      </c>
      <c r="G7" s="15" t="s">
        <v>476</v>
      </c>
      <c r="H7" s="15"/>
      <c r="I7" s="15" t="s">
        <v>477</v>
      </c>
      <c r="J7" s="15"/>
    </row>
    <row r="8" customFormat="false" ht="26.85" hidden="false" customHeight="false" outlineLevel="0" collapsed="false">
      <c r="A8" s="15" t="s">
        <v>108</v>
      </c>
      <c r="B8" s="15" t="s">
        <v>149</v>
      </c>
      <c r="C8" s="15" t="s">
        <v>152</v>
      </c>
      <c r="D8" s="16" t="n">
        <v>2495000</v>
      </c>
      <c r="E8" s="16" t="n">
        <v>2695000</v>
      </c>
      <c r="F8" s="16" t="n">
        <f aca="false">E8-D8</f>
        <v>200000</v>
      </c>
      <c r="G8" s="15" t="s">
        <v>478</v>
      </c>
      <c r="H8" s="15"/>
      <c r="I8" s="15" t="s">
        <v>479</v>
      </c>
      <c r="J8" s="15"/>
    </row>
    <row r="9" customFormat="false" ht="26.85" hidden="false" customHeight="false" outlineLevel="0" collapsed="false">
      <c r="A9" s="15" t="s">
        <v>108</v>
      </c>
      <c r="B9" s="15" t="s">
        <v>152</v>
      </c>
      <c r="C9" s="15" t="s">
        <v>156</v>
      </c>
      <c r="D9" s="16" t="n">
        <v>2695000</v>
      </c>
      <c r="E9" s="16" t="n">
        <v>2695000</v>
      </c>
      <c r="F9" s="16" t="n">
        <f aca="false">E9-D9</f>
        <v>0</v>
      </c>
      <c r="G9" s="15" t="s">
        <v>480</v>
      </c>
      <c r="H9" s="15"/>
      <c r="I9" s="15" t="s">
        <v>481</v>
      </c>
      <c r="J9" s="15" t="s">
        <v>482</v>
      </c>
    </row>
    <row r="10" customFormat="false" ht="26.85" hidden="false" customHeight="false" outlineLevel="0" collapsed="false">
      <c r="A10" s="15" t="s">
        <v>108</v>
      </c>
      <c r="B10" s="15" t="s">
        <v>156</v>
      </c>
      <c r="C10" s="15" t="s">
        <v>160</v>
      </c>
      <c r="D10" s="16" t="n">
        <v>2695000</v>
      </c>
      <c r="E10" s="16" t="n">
        <v>2695000</v>
      </c>
      <c r="F10" s="16" t="n">
        <f aca="false">E10-D10</f>
        <v>0</v>
      </c>
      <c r="G10" s="15" t="s">
        <v>483</v>
      </c>
      <c r="H10" s="15"/>
      <c r="I10" s="15" t="s">
        <v>481</v>
      </c>
      <c r="J10" s="15" t="s">
        <v>482</v>
      </c>
    </row>
    <row r="11" customFormat="false" ht="52.2" hidden="false" customHeight="false" outlineLevel="0" collapsed="false">
      <c r="A11" s="15" t="s">
        <v>313</v>
      </c>
      <c r="B11" s="15" t="s">
        <v>314</v>
      </c>
      <c r="C11" s="15" t="s">
        <v>321</v>
      </c>
      <c r="D11" s="16" t="n">
        <v>1719000</v>
      </c>
      <c r="E11" s="16" t="n">
        <v>1939000</v>
      </c>
      <c r="F11" s="16" t="n">
        <f aca="false">E11-D11</f>
        <v>220000</v>
      </c>
      <c r="G11" s="15" t="s">
        <v>484</v>
      </c>
      <c r="H11" s="15"/>
      <c r="I11" s="15" t="s">
        <v>485</v>
      </c>
      <c r="J11" s="15"/>
    </row>
    <row r="12" customFormat="false" ht="26.85" hidden="false" customHeight="false" outlineLevel="0" collapsed="false">
      <c r="A12" s="15" t="s">
        <v>327</v>
      </c>
      <c r="B12" s="15" t="s">
        <v>328</v>
      </c>
      <c r="C12" s="15" t="s">
        <v>333</v>
      </c>
      <c r="D12" s="16" t="n">
        <v>2179000</v>
      </c>
      <c r="E12" s="16" t="n">
        <v>2229000</v>
      </c>
      <c r="F12" s="16" t="n">
        <f aca="false">E12-D12</f>
        <v>50000</v>
      </c>
      <c r="G12" s="15" t="s">
        <v>486</v>
      </c>
      <c r="H12" s="15"/>
      <c r="I12" s="15" t="s">
        <v>304</v>
      </c>
      <c r="J12" s="15"/>
    </row>
    <row r="13" customFormat="false" ht="52.2" hidden="false" customHeight="false" outlineLevel="0" collapsed="false">
      <c r="A13" s="15" t="s">
        <v>327</v>
      </c>
      <c r="B13" s="15" t="s">
        <v>333</v>
      </c>
      <c r="C13" s="15" t="s">
        <v>336</v>
      </c>
      <c r="D13" s="16" t="n">
        <v>2229000</v>
      </c>
      <c r="E13" s="16" t="n">
        <v>2429000</v>
      </c>
      <c r="F13" s="16" t="n">
        <f aca="false">E13-D13</f>
        <v>200000</v>
      </c>
      <c r="G13" s="15" t="s">
        <v>487</v>
      </c>
      <c r="H13" s="15"/>
      <c r="I13" s="15" t="s">
        <v>488</v>
      </c>
      <c r="J13" s="15"/>
    </row>
    <row r="14" customFormat="false" ht="15" hidden="false" customHeight="false" outlineLevel="0" collapsed="false">
      <c r="A14" s="15" t="s">
        <v>327</v>
      </c>
      <c r="B14" s="15" t="s">
        <v>336</v>
      </c>
      <c r="C14" s="15" t="s">
        <v>339</v>
      </c>
      <c r="D14" s="16" t="n">
        <v>2429000</v>
      </c>
      <c r="E14" s="16" t="n">
        <v>2529000</v>
      </c>
      <c r="F14" s="16" t="n">
        <f aca="false">E14-D14</f>
        <v>100000</v>
      </c>
      <c r="G14" s="15" t="s">
        <v>489</v>
      </c>
      <c r="H14" s="15"/>
      <c r="I14" s="15" t="s">
        <v>471</v>
      </c>
      <c r="J14" s="15"/>
    </row>
    <row r="15" customFormat="false" ht="26.85" hidden="false" customHeight="false" outlineLevel="0" collapsed="false">
      <c r="A15" s="15" t="s">
        <v>327</v>
      </c>
      <c r="B15" s="15" t="s">
        <v>339</v>
      </c>
      <c r="C15" s="15" t="s">
        <v>342</v>
      </c>
      <c r="D15" s="16" t="n">
        <v>2529000</v>
      </c>
      <c r="E15" s="16" t="n">
        <v>2679000</v>
      </c>
      <c r="F15" s="16" t="n">
        <f aca="false">E15-D15</f>
        <v>150000</v>
      </c>
      <c r="G15" s="15" t="s">
        <v>490</v>
      </c>
      <c r="H15" s="15"/>
      <c r="I15" s="15" t="s">
        <v>491</v>
      </c>
      <c r="J15" s="15"/>
    </row>
    <row r="16" customFormat="false" ht="64.9" hidden="false" customHeight="false" outlineLevel="0" collapsed="false">
      <c r="A16" s="15" t="s">
        <v>327</v>
      </c>
      <c r="B16" s="15" t="s">
        <v>342</v>
      </c>
      <c r="C16" s="15" t="s">
        <v>347</v>
      </c>
      <c r="D16" s="16" t="n">
        <v>2679000</v>
      </c>
      <c r="E16" s="16" t="n">
        <v>2779000</v>
      </c>
      <c r="F16" s="16" t="n">
        <f aca="false">E16-D16</f>
        <v>100000</v>
      </c>
      <c r="G16" s="15" t="s">
        <v>492</v>
      </c>
      <c r="H16" s="15"/>
      <c r="I16" s="15" t="s">
        <v>493</v>
      </c>
      <c r="J16" s="15"/>
    </row>
    <row r="17" customFormat="false" ht="26.85" hidden="false" customHeight="false" outlineLevel="0" collapsed="false">
      <c r="A17" s="15" t="s">
        <v>327</v>
      </c>
      <c r="B17" s="15" t="s">
        <v>347</v>
      </c>
      <c r="C17" s="15" t="s">
        <v>350</v>
      </c>
      <c r="D17" s="16" t="n">
        <v>2779000</v>
      </c>
      <c r="E17" s="16" t="n">
        <v>2929000</v>
      </c>
      <c r="F17" s="16" t="n">
        <f aca="false">E17-D17</f>
        <v>150000</v>
      </c>
      <c r="G17" s="15" t="s">
        <v>494</v>
      </c>
      <c r="H17" s="15"/>
      <c r="I17" s="15" t="s">
        <v>491</v>
      </c>
      <c r="J17" s="15"/>
    </row>
    <row r="18" customFormat="false" ht="26.85" hidden="false" customHeight="false" outlineLevel="0" collapsed="false">
      <c r="A18" s="15" t="s">
        <v>353</v>
      </c>
      <c r="B18" s="15" t="s">
        <v>354</v>
      </c>
      <c r="C18" s="15" t="s">
        <v>360</v>
      </c>
      <c r="D18" s="16" t="n">
        <v>1249000</v>
      </c>
      <c r="E18" s="16" t="n">
        <v>1329000</v>
      </c>
      <c r="F18" s="16" t="n">
        <f aca="false">E18-D18</f>
        <v>80000</v>
      </c>
      <c r="G18" s="15" t="s">
        <v>495</v>
      </c>
      <c r="H18" s="15"/>
      <c r="I18" s="15" t="s">
        <v>467</v>
      </c>
      <c r="J18" s="15"/>
    </row>
    <row r="19" customFormat="false" ht="52.2" hidden="false" customHeight="false" outlineLevel="0" collapsed="false">
      <c r="A19" s="15" t="s">
        <v>353</v>
      </c>
      <c r="B19" s="15" t="s">
        <v>360</v>
      </c>
      <c r="C19" s="15" t="s">
        <v>363</v>
      </c>
      <c r="D19" s="16" t="n">
        <v>1329000</v>
      </c>
      <c r="E19" s="16" t="n">
        <v>1434000</v>
      </c>
      <c r="F19" s="16" t="n">
        <f aca="false">E19-D19</f>
        <v>105000</v>
      </c>
      <c r="G19" s="15" t="s">
        <v>496</v>
      </c>
      <c r="H19" s="15"/>
      <c r="I19" s="15" t="s">
        <v>497</v>
      </c>
      <c r="J19" s="15"/>
    </row>
    <row r="20" customFormat="false" ht="26.85" hidden="false" customHeight="false" outlineLevel="0" collapsed="false">
      <c r="A20" s="15" t="s">
        <v>353</v>
      </c>
      <c r="B20" s="15" t="s">
        <v>363</v>
      </c>
      <c r="C20" s="15" t="s">
        <v>366</v>
      </c>
      <c r="D20" s="16" t="n">
        <v>1434000</v>
      </c>
      <c r="E20" s="16" t="n">
        <v>1534000</v>
      </c>
      <c r="F20" s="16" t="n">
        <f aca="false">E20-D20</f>
        <v>100000</v>
      </c>
      <c r="G20" s="15" t="s">
        <v>495</v>
      </c>
      <c r="H20" s="15"/>
      <c r="I20" s="15" t="s">
        <v>467</v>
      </c>
      <c r="J20" s="15"/>
    </row>
    <row r="21" customFormat="false" ht="26.85" hidden="false" customHeight="false" outlineLevel="0" collapsed="false">
      <c r="A21" s="15" t="s">
        <v>353</v>
      </c>
      <c r="B21" s="15" t="s">
        <v>366</v>
      </c>
      <c r="C21" s="15" t="s">
        <v>369</v>
      </c>
      <c r="D21" s="16" t="n">
        <v>1534000</v>
      </c>
      <c r="E21" s="16" t="n">
        <v>1634000</v>
      </c>
      <c r="F21" s="16" t="n">
        <f aca="false">E21-D21</f>
        <v>100000</v>
      </c>
      <c r="G21" s="15" t="s">
        <v>498</v>
      </c>
      <c r="H21" s="15"/>
      <c r="I21" s="15" t="s">
        <v>304</v>
      </c>
      <c r="J21" s="15"/>
    </row>
    <row r="22" customFormat="false" ht="52.2" hidden="false" customHeight="false" outlineLevel="0" collapsed="false">
      <c r="A22" s="15" t="s">
        <v>353</v>
      </c>
      <c r="B22" s="15" t="s">
        <v>369</v>
      </c>
      <c r="C22" s="15" t="s">
        <v>372</v>
      </c>
      <c r="D22" s="16" t="n">
        <v>1634000</v>
      </c>
      <c r="E22" s="16" t="n">
        <v>1769000</v>
      </c>
      <c r="F22" s="16" t="n">
        <f aca="false">E22-D22</f>
        <v>135000</v>
      </c>
      <c r="G22" s="15" t="s">
        <v>499</v>
      </c>
      <c r="H22" s="15"/>
      <c r="I22" s="15" t="s">
        <v>500</v>
      </c>
      <c r="J22" s="15"/>
    </row>
    <row r="23" customFormat="false" ht="26.85" hidden="false" customHeight="false" outlineLevel="0" collapsed="false">
      <c r="A23" s="15" t="s">
        <v>375</v>
      </c>
      <c r="B23" s="15" t="s">
        <v>376</v>
      </c>
      <c r="C23" s="15" t="s">
        <v>383</v>
      </c>
      <c r="D23" s="16" t="n">
        <v>979000</v>
      </c>
      <c r="E23" s="16" t="n">
        <v>1039000</v>
      </c>
      <c r="F23" s="16" t="n">
        <f aca="false">E23-D23</f>
        <v>60000</v>
      </c>
      <c r="G23" s="15" t="s">
        <v>501</v>
      </c>
      <c r="H23" s="15"/>
      <c r="I23" s="15" t="s">
        <v>467</v>
      </c>
      <c r="J23" s="15"/>
    </row>
    <row r="24" customFormat="false" ht="26.85" hidden="false" customHeight="false" outlineLevel="0" collapsed="false">
      <c r="A24" s="15" t="s">
        <v>375</v>
      </c>
      <c r="B24" s="15" t="s">
        <v>383</v>
      </c>
      <c r="C24" s="15" t="s">
        <v>386</v>
      </c>
      <c r="D24" s="16" t="n">
        <v>1039000</v>
      </c>
      <c r="E24" s="16" t="n">
        <v>1119000</v>
      </c>
      <c r="F24" s="16" t="n">
        <f aca="false">E24-D24</f>
        <v>80000</v>
      </c>
      <c r="G24" s="15" t="s">
        <v>502</v>
      </c>
      <c r="H24" s="15"/>
      <c r="I24" s="15" t="s">
        <v>497</v>
      </c>
      <c r="J24" s="15"/>
    </row>
    <row r="25" customFormat="false" ht="26.85" hidden="false" customHeight="false" outlineLevel="0" collapsed="false">
      <c r="A25" s="15" t="s">
        <v>375</v>
      </c>
      <c r="B25" s="15" t="s">
        <v>386</v>
      </c>
      <c r="C25" s="15" t="s">
        <v>390</v>
      </c>
      <c r="D25" s="16" t="n">
        <v>1119000</v>
      </c>
      <c r="E25" s="16" t="n">
        <v>1194000</v>
      </c>
      <c r="F25" s="16" t="n">
        <f aca="false">E25-D25</f>
        <v>75000</v>
      </c>
      <c r="G25" s="15" t="s">
        <v>503</v>
      </c>
      <c r="H25" s="15"/>
      <c r="I25" s="15" t="s">
        <v>467</v>
      </c>
      <c r="J25" s="15"/>
    </row>
    <row r="26" customFormat="false" ht="26.85" hidden="false" customHeight="false" outlineLevel="0" collapsed="false">
      <c r="A26" s="15" t="s">
        <v>375</v>
      </c>
      <c r="B26" s="15" t="s">
        <v>390</v>
      </c>
      <c r="C26" s="15" t="s">
        <v>393</v>
      </c>
      <c r="D26" s="16" t="n">
        <v>1194000</v>
      </c>
      <c r="E26" s="16" t="n">
        <v>1269000</v>
      </c>
      <c r="F26" s="16" t="n">
        <f aca="false">E26-D26</f>
        <v>75000</v>
      </c>
      <c r="G26" s="15" t="s">
        <v>504</v>
      </c>
      <c r="H26" s="15"/>
      <c r="I26" s="15" t="s">
        <v>467</v>
      </c>
      <c r="J26" s="15"/>
    </row>
    <row r="27" customFormat="false" ht="15" hidden="false" customHeight="false" outlineLevel="0" collapsed="false">
      <c r="A27" s="15" t="s">
        <v>375</v>
      </c>
      <c r="B27" s="15" t="s">
        <v>393</v>
      </c>
      <c r="C27" s="15" t="s">
        <v>396</v>
      </c>
      <c r="D27" s="16" t="n">
        <v>1269000</v>
      </c>
      <c r="E27" s="16" t="n">
        <v>1299000</v>
      </c>
      <c r="F27" s="16" t="n">
        <f aca="false">E27-D27</f>
        <v>30000</v>
      </c>
      <c r="G27" s="15" t="s">
        <v>505</v>
      </c>
      <c r="H27" s="15"/>
      <c r="I27" s="15" t="s">
        <v>469</v>
      </c>
      <c r="J27" s="15"/>
    </row>
    <row r="28" customFormat="false" ht="15" hidden="false" customHeight="false" outlineLevel="0" collapsed="false">
      <c r="A28" s="15" t="s">
        <v>399</v>
      </c>
      <c r="B28" s="15" t="s">
        <v>400</v>
      </c>
      <c r="C28" s="15" t="s">
        <v>404</v>
      </c>
      <c r="D28" s="16" t="n">
        <v>1879000</v>
      </c>
      <c r="E28" s="16" t="n">
        <v>1999000</v>
      </c>
      <c r="F28" s="16" t="n">
        <f aca="false">E28-D28</f>
        <v>120000</v>
      </c>
      <c r="G28" s="15" t="s">
        <v>506</v>
      </c>
      <c r="H28" s="15"/>
      <c r="I28" s="15" t="s">
        <v>304</v>
      </c>
      <c r="J28" s="15"/>
    </row>
    <row r="29" customFormat="false" ht="39.55" hidden="false" customHeight="false" outlineLevel="0" collapsed="false">
      <c r="A29" s="15" t="s">
        <v>399</v>
      </c>
      <c r="B29" s="15" t="s">
        <v>404</v>
      </c>
      <c r="C29" s="15" t="s">
        <v>407</v>
      </c>
      <c r="D29" s="16" t="n">
        <v>1999000</v>
      </c>
      <c r="E29" s="16" t="n">
        <v>2099000</v>
      </c>
      <c r="F29" s="16" t="n">
        <f aca="false">E29-D29</f>
        <v>100000</v>
      </c>
      <c r="G29" s="15" t="s">
        <v>507</v>
      </c>
      <c r="H29" s="15"/>
      <c r="I29" s="15" t="s">
        <v>508</v>
      </c>
      <c r="J29" s="15"/>
    </row>
    <row r="30" customFormat="false" ht="15" hidden="false" customHeight="false" outlineLevel="0" collapsed="false">
      <c r="A30" s="15" t="s">
        <v>399</v>
      </c>
      <c r="B30" s="15" t="s">
        <v>407</v>
      </c>
      <c r="C30" s="15" t="s">
        <v>410</v>
      </c>
      <c r="D30" s="16" t="n">
        <v>2099000</v>
      </c>
      <c r="E30" s="16" t="n">
        <v>2219000</v>
      </c>
      <c r="F30" s="16" t="n">
        <f aca="false">E30-D30</f>
        <v>120000</v>
      </c>
      <c r="G30" s="15" t="s">
        <v>509</v>
      </c>
      <c r="H30" s="15"/>
      <c r="I30" s="15" t="s">
        <v>471</v>
      </c>
      <c r="J30" s="15"/>
    </row>
    <row r="31" customFormat="false" ht="52.2" hidden="false" customHeight="false" outlineLevel="0" collapsed="false">
      <c r="A31" s="15" t="s">
        <v>399</v>
      </c>
      <c r="B31" s="15" t="s">
        <v>410</v>
      </c>
      <c r="C31" s="15" t="s">
        <v>413</v>
      </c>
      <c r="D31" s="16" t="n">
        <v>2219000</v>
      </c>
      <c r="E31" s="16" t="n">
        <v>2279000</v>
      </c>
      <c r="F31" s="16" t="n">
        <f aca="false">E31-D31</f>
        <v>60000</v>
      </c>
      <c r="G31" s="15" t="s">
        <v>510</v>
      </c>
      <c r="H31" s="15"/>
      <c r="I31" s="15" t="s">
        <v>511</v>
      </c>
      <c r="J31" s="15"/>
    </row>
    <row r="32" customFormat="false" ht="15" hidden="false" customHeight="false" outlineLevel="0" collapsed="false">
      <c r="A32" s="15" t="s">
        <v>399</v>
      </c>
      <c r="B32" s="15" t="s">
        <v>413</v>
      </c>
      <c r="C32" s="15" t="s">
        <v>347</v>
      </c>
      <c r="D32" s="16" t="n">
        <v>2279000</v>
      </c>
      <c r="E32" s="16" t="n">
        <v>2379000</v>
      </c>
      <c r="F32" s="16" t="n">
        <f aca="false">E32-D32</f>
        <v>100000</v>
      </c>
      <c r="G32" s="15" t="s">
        <v>509</v>
      </c>
      <c r="H32" s="15"/>
      <c r="I32" s="15" t="s">
        <v>471</v>
      </c>
      <c r="J32" s="15"/>
    </row>
    <row r="33" customFormat="false" ht="26.85" hidden="false" customHeight="false" outlineLevel="0" collapsed="false">
      <c r="A33" s="15" t="s">
        <v>399</v>
      </c>
      <c r="B33" s="15" t="s">
        <v>347</v>
      </c>
      <c r="C33" s="15" t="s">
        <v>418</v>
      </c>
      <c r="D33" s="16" t="n">
        <v>2379000</v>
      </c>
      <c r="E33" s="16" t="n">
        <v>2479000</v>
      </c>
      <c r="F33" s="16" t="n">
        <f aca="false">E33-D33</f>
        <v>100000</v>
      </c>
      <c r="G33" s="15" t="s">
        <v>512</v>
      </c>
      <c r="H33" s="15"/>
      <c r="I33" s="15" t="s">
        <v>513</v>
      </c>
      <c r="J33" s="15"/>
    </row>
    <row r="34" customFormat="false" ht="26.85" hidden="false" customHeight="false" outlineLevel="0" collapsed="false">
      <c r="A34" s="15" t="s">
        <v>399</v>
      </c>
      <c r="B34" s="15" t="s">
        <v>418</v>
      </c>
      <c r="C34" s="15" t="s">
        <v>421</v>
      </c>
      <c r="D34" s="16" t="n">
        <v>2479000</v>
      </c>
      <c r="E34" s="16" t="n">
        <v>2599000</v>
      </c>
      <c r="F34" s="16" t="n">
        <f aca="false">E34-D34</f>
        <v>120000</v>
      </c>
      <c r="G34" s="15" t="s">
        <v>514</v>
      </c>
      <c r="H34" s="15"/>
      <c r="I34" s="15" t="s">
        <v>491</v>
      </c>
      <c r="J34" s="15"/>
    </row>
    <row r="35" customFormat="false" ht="26.85" hidden="false" customHeight="false" outlineLevel="0" collapsed="false">
      <c r="A35" s="15" t="s">
        <v>424</v>
      </c>
      <c r="B35" s="15" t="s">
        <v>426</v>
      </c>
      <c r="C35" s="15" t="s">
        <v>433</v>
      </c>
      <c r="D35" s="16" t="n">
        <v>699000</v>
      </c>
      <c r="E35" s="16" t="n">
        <v>864000</v>
      </c>
      <c r="F35" s="16" t="n">
        <f aca="false">E35-D35</f>
        <v>165000</v>
      </c>
      <c r="G35" s="15" t="s">
        <v>515</v>
      </c>
      <c r="H35" s="15"/>
      <c r="I35" s="15" t="s">
        <v>467</v>
      </c>
      <c r="J35" s="15"/>
    </row>
    <row r="36" customFormat="false" ht="26.85" hidden="false" customHeight="false" outlineLevel="0" collapsed="false">
      <c r="A36" s="15" t="s">
        <v>424</v>
      </c>
      <c r="B36" s="15" t="s">
        <v>433</v>
      </c>
      <c r="C36" s="15" t="s">
        <v>436</v>
      </c>
      <c r="D36" s="16" t="n">
        <v>864000</v>
      </c>
      <c r="E36" s="16" t="n">
        <v>964000</v>
      </c>
      <c r="F36" s="16" t="n">
        <f aca="false">E36-D36</f>
        <v>100000</v>
      </c>
      <c r="G36" s="15" t="s">
        <v>516</v>
      </c>
      <c r="H36" s="15"/>
      <c r="I36" s="15" t="s">
        <v>497</v>
      </c>
      <c r="J36" s="15"/>
    </row>
    <row r="37" customFormat="false" ht="39.55" hidden="false" customHeight="false" outlineLevel="0" collapsed="false">
      <c r="A37" s="15" t="s">
        <v>424</v>
      </c>
      <c r="B37" s="15" t="s">
        <v>436</v>
      </c>
      <c r="C37" s="15" t="s">
        <v>440</v>
      </c>
      <c r="D37" s="16" t="n">
        <v>964000</v>
      </c>
      <c r="E37" s="16" t="n">
        <v>1009000</v>
      </c>
      <c r="F37" s="16" t="n">
        <f aca="false">E37-D37</f>
        <v>45000</v>
      </c>
      <c r="G37" s="15" t="s">
        <v>517</v>
      </c>
      <c r="H37" s="15"/>
      <c r="I37" s="15" t="s">
        <v>518</v>
      </c>
      <c r="J37" s="15"/>
    </row>
    <row r="38" customFormat="false" ht="26.85" hidden="false" customHeight="false" outlineLevel="0" collapsed="false">
      <c r="A38" s="15" t="s">
        <v>444</v>
      </c>
      <c r="B38" s="15" t="s">
        <v>446</v>
      </c>
      <c r="C38" s="15" t="s">
        <v>450</v>
      </c>
      <c r="D38" s="16" t="n">
        <v>1249000</v>
      </c>
      <c r="E38" s="16" t="n">
        <v>1299000</v>
      </c>
      <c r="F38" s="16" t="n">
        <f aca="false">E38-D38</f>
        <v>50000</v>
      </c>
      <c r="G38" s="15" t="s">
        <v>519</v>
      </c>
      <c r="H38" s="15"/>
      <c r="I38" s="15" t="s">
        <v>467</v>
      </c>
      <c r="J38" s="15"/>
    </row>
    <row r="39" customFormat="false" ht="26.85" hidden="false" customHeight="false" outlineLevel="0" collapsed="false">
      <c r="A39" s="15" t="s">
        <v>444</v>
      </c>
      <c r="B39" s="15" t="s">
        <v>450</v>
      </c>
      <c r="C39" s="15" t="s">
        <v>453</v>
      </c>
      <c r="D39" s="16" t="n">
        <v>1299000</v>
      </c>
      <c r="E39" s="16" t="n">
        <v>1349000</v>
      </c>
      <c r="F39" s="16" t="n">
        <f aca="false">E39-D39</f>
        <v>50000</v>
      </c>
      <c r="G39" s="15" t="s">
        <v>520</v>
      </c>
      <c r="H39" s="15"/>
      <c r="I39" s="15" t="s">
        <v>467</v>
      </c>
      <c r="J39" s="15"/>
    </row>
    <row r="40" customFormat="false" ht="26.85" hidden="false" customHeight="false" outlineLevel="0" collapsed="false">
      <c r="A40" s="15" t="s">
        <v>444</v>
      </c>
      <c r="B40" s="15" t="s">
        <v>453</v>
      </c>
      <c r="C40" s="15" t="s">
        <v>456</v>
      </c>
      <c r="D40" s="16" t="n">
        <v>1349000</v>
      </c>
      <c r="E40" s="16" t="n">
        <v>1375000</v>
      </c>
      <c r="F40" s="16" t="n">
        <f aca="false">E40-D40</f>
        <v>26000</v>
      </c>
      <c r="G40" s="15" t="s">
        <v>521</v>
      </c>
      <c r="H40" s="15"/>
      <c r="I40" s="15" t="s">
        <v>467</v>
      </c>
      <c r="J40" s="15"/>
    </row>
    <row r="41" customFormat="false" ht="15" hidden="false" customHeight="false" outlineLevel="0" collapsed="false">
      <c r="A41" s="15" t="s">
        <v>196</v>
      </c>
      <c r="B41" s="15" t="s">
        <v>197</v>
      </c>
      <c r="C41" s="15" t="s">
        <v>205</v>
      </c>
      <c r="D41" s="16" t="n">
        <v>2065000</v>
      </c>
      <c r="E41" s="16" t="n">
        <v>2265000</v>
      </c>
      <c r="F41" s="16" t="n">
        <f aca="false">E41-D41</f>
        <v>200000</v>
      </c>
      <c r="G41" s="15" t="s">
        <v>522</v>
      </c>
      <c r="H41" s="15"/>
      <c r="I41" s="15" t="s">
        <v>471</v>
      </c>
      <c r="J41" s="15"/>
    </row>
    <row r="42" customFormat="false" ht="64.9" hidden="false" customHeight="false" outlineLevel="0" collapsed="false">
      <c r="A42" s="15" t="s">
        <v>196</v>
      </c>
      <c r="B42" s="15" t="s">
        <v>205</v>
      </c>
      <c r="C42" s="15" t="s">
        <v>208</v>
      </c>
      <c r="D42" s="16" t="n">
        <v>2265000</v>
      </c>
      <c r="E42" s="16" t="n">
        <v>2505000</v>
      </c>
      <c r="F42" s="16" t="n">
        <f aca="false">E42-D42</f>
        <v>240000</v>
      </c>
      <c r="G42" s="15" t="s">
        <v>523</v>
      </c>
      <c r="H42" s="15"/>
      <c r="I42" s="15" t="s">
        <v>524</v>
      </c>
      <c r="J42" s="15"/>
    </row>
    <row r="43" customFormat="false" ht="26.85" hidden="false" customHeight="false" outlineLevel="0" collapsed="false">
      <c r="A43" s="15" t="s">
        <v>196</v>
      </c>
      <c r="B43" s="15" t="s">
        <v>208</v>
      </c>
      <c r="C43" s="15" t="s">
        <v>212</v>
      </c>
      <c r="D43" s="16" t="n">
        <v>2505000</v>
      </c>
      <c r="E43" s="16" t="n">
        <v>2525000</v>
      </c>
      <c r="F43" s="16" t="n">
        <f aca="false">E43-D43</f>
        <v>20000</v>
      </c>
      <c r="G43" s="15" t="s">
        <v>525</v>
      </c>
      <c r="H43" s="15"/>
      <c r="I43" s="15" t="s">
        <v>526</v>
      </c>
      <c r="J43" s="15" t="s">
        <v>527</v>
      </c>
    </row>
    <row r="44" customFormat="false" ht="26.85" hidden="false" customHeight="false" outlineLevel="0" collapsed="false">
      <c r="A44" s="15" t="s">
        <v>196</v>
      </c>
      <c r="B44" s="15" t="s">
        <v>212</v>
      </c>
      <c r="C44" s="15" t="s">
        <v>216</v>
      </c>
      <c r="D44" s="16" t="n">
        <v>2525000</v>
      </c>
      <c r="E44" s="16" t="n">
        <v>2595000</v>
      </c>
      <c r="F44" s="16" t="n">
        <f aca="false">E44-D44</f>
        <v>70000</v>
      </c>
      <c r="G44" s="15" t="s">
        <v>528</v>
      </c>
      <c r="H44" s="15"/>
      <c r="I44" s="15" t="s">
        <v>529</v>
      </c>
      <c r="J44" s="15"/>
    </row>
    <row r="45" customFormat="false" ht="26.85" hidden="false" customHeight="false" outlineLevel="0" collapsed="false">
      <c r="A45" s="15" t="s">
        <v>196</v>
      </c>
      <c r="B45" s="15" t="s">
        <v>216</v>
      </c>
      <c r="C45" s="15" t="s">
        <v>219</v>
      </c>
      <c r="D45" s="16" t="n">
        <v>2595000</v>
      </c>
      <c r="E45" s="16" t="n">
        <v>2615000</v>
      </c>
      <c r="F45" s="16" t="n">
        <f aca="false">E45-D45</f>
        <v>20000</v>
      </c>
      <c r="G45" s="15" t="s">
        <v>525</v>
      </c>
      <c r="H45" s="15"/>
      <c r="I45" s="15" t="s">
        <v>526</v>
      </c>
      <c r="J45" s="15" t="s">
        <v>527</v>
      </c>
    </row>
    <row r="46" customFormat="false" ht="26.85" hidden="false" customHeight="false" outlineLevel="0" collapsed="false">
      <c r="A46" s="15" t="s">
        <v>196</v>
      </c>
      <c r="B46" s="15" t="s">
        <v>219</v>
      </c>
      <c r="C46" s="15" t="s">
        <v>222</v>
      </c>
      <c r="D46" s="16" t="n">
        <v>2615000</v>
      </c>
      <c r="E46" s="16" t="n">
        <v>2785000</v>
      </c>
      <c r="F46" s="16" t="n">
        <f aca="false">E46-D46</f>
        <v>170000</v>
      </c>
      <c r="G46" s="15" t="s">
        <v>530</v>
      </c>
      <c r="H46" s="15"/>
      <c r="I46" s="15" t="s">
        <v>531</v>
      </c>
      <c r="J46" s="15"/>
    </row>
    <row r="47" customFormat="false" ht="26.85" hidden="false" customHeight="false" outlineLevel="0" collapsed="false">
      <c r="A47" s="15" t="s">
        <v>196</v>
      </c>
      <c r="B47" s="15" t="s">
        <v>222</v>
      </c>
      <c r="C47" s="15" t="s">
        <v>225</v>
      </c>
      <c r="D47" s="16" t="n">
        <v>2785000</v>
      </c>
      <c r="E47" s="16" t="n">
        <v>2805000</v>
      </c>
      <c r="F47" s="16" t="n">
        <f aca="false">E47-D47</f>
        <v>20000</v>
      </c>
      <c r="G47" s="15" t="s">
        <v>525</v>
      </c>
      <c r="H47" s="15"/>
      <c r="I47" s="15" t="s">
        <v>526</v>
      </c>
      <c r="J47" s="15" t="s">
        <v>527</v>
      </c>
    </row>
    <row r="48" customFormat="false" ht="26.85" hidden="false" customHeight="false" outlineLevel="0" collapsed="false">
      <c r="A48" s="15" t="s">
        <v>196</v>
      </c>
      <c r="B48" s="15" t="s">
        <v>225</v>
      </c>
      <c r="C48" s="15" t="s">
        <v>228</v>
      </c>
      <c r="D48" s="16" t="n">
        <v>2805000</v>
      </c>
      <c r="E48" s="16" t="n">
        <v>2995000</v>
      </c>
      <c r="F48" s="16" t="n">
        <f aca="false">E48-D48</f>
        <v>190000</v>
      </c>
      <c r="G48" s="15" t="s">
        <v>532</v>
      </c>
      <c r="H48" s="15"/>
      <c r="I48" s="15" t="s">
        <v>533</v>
      </c>
      <c r="J48" s="15"/>
    </row>
    <row r="49" customFormat="false" ht="26.85" hidden="false" customHeight="false" outlineLevel="0" collapsed="false">
      <c r="A49" s="15" t="s">
        <v>196</v>
      </c>
      <c r="B49" s="15" t="s">
        <v>228</v>
      </c>
      <c r="C49" s="15" t="s">
        <v>231</v>
      </c>
      <c r="D49" s="16" t="n">
        <v>2995000</v>
      </c>
      <c r="E49" s="16" t="n">
        <v>3015000</v>
      </c>
      <c r="F49" s="16" t="n">
        <f aca="false">E49-D49</f>
        <v>20000</v>
      </c>
      <c r="G49" s="15" t="s">
        <v>525</v>
      </c>
      <c r="H49" s="15"/>
      <c r="I49" s="15" t="s">
        <v>526</v>
      </c>
      <c r="J49" s="15" t="s">
        <v>527</v>
      </c>
    </row>
    <row r="50" customFormat="false" ht="52.2" hidden="false" customHeight="false" outlineLevel="0" collapsed="false">
      <c r="A50" s="15" t="s">
        <v>255</v>
      </c>
      <c r="B50" s="15" t="s">
        <v>257</v>
      </c>
      <c r="C50" s="15" t="s">
        <v>262</v>
      </c>
      <c r="D50" s="16" t="n">
        <v>2190000</v>
      </c>
      <c r="E50" s="16" t="n">
        <v>2490000</v>
      </c>
      <c r="F50" s="16" t="n">
        <f aca="false">E50-D50</f>
        <v>300000</v>
      </c>
      <c r="G50" s="15" t="s">
        <v>534</v>
      </c>
      <c r="H50" s="15"/>
      <c r="I50" s="15" t="s">
        <v>473</v>
      </c>
      <c r="J50" s="15"/>
    </row>
    <row r="51" customFormat="false" ht="15" hidden="false" customHeight="false" outlineLevel="0" collapsed="false">
      <c r="A51" s="15" t="s">
        <v>255</v>
      </c>
      <c r="B51" s="15" t="s">
        <v>262</v>
      </c>
      <c r="C51" s="15" t="s">
        <v>265</v>
      </c>
      <c r="D51" s="16" t="n">
        <v>2490000</v>
      </c>
      <c r="E51" s="16" t="n">
        <v>2650000</v>
      </c>
      <c r="F51" s="16" t="n">
        <f aca="false">E51-D51</f>
        <v>160000</v>
      </c>
      <c r="G51" s="15" t="s">
        <v>535</v>
      </c>
      <c r="H51" s="15"/>
      <c r="I51" s="15" t="s">
        <v>471</v>
      </c>
      <c r="J51" s="15"/>
    </row>
    <row r="52" customFormat="false" ht="39.55" hidden="false" customHeight="false" outlineLevel="0" collapsed="false">
      <c r="A52" s="15" t="s">
        <v>255</v>
      </c>
      <c r="B52" s="15" t="s">
        <v>265</v>
      </c>
      <c r="C52" s="15" t="s">
        <v>269</v>
      </c>
      <c r="D52" s="16" t="n">
        <v>2650000</v>
      </c>
      <c r="E52" s="16" t="n">
        <v>2790000</v>
      </c>
      <c r="F52" s="16" t="n">
        <f aca="false">E52-D52</f>
        <v>140000</v>
      </c>
      <c r="G52" s="15" t="s">
        <v>536</v>
      </c>
      <c r="H52" s="15"/>
      <c r="I52" s="15" t="s">
        <v>537</v>
      </c>
      <c r="J52" s="15"/>
    </row>
    <row r="53" customFormat="false" ht="52.2" hidden="false" customHeight="false" outlineLevel="0" collapsed="false">
      <c r="A53" s="15" t="s">
        <v>255</v>
      </c>
      <c r="B53" s="15" t="s">
        <v>269</v>
      </c>
      <c r="C53" s="15" t="s">
        <v>272</v>
      </c>
      <c r="D53" s="16" t="n">
        <v>2790000</v>
      </c>
      <c r="E53" s="16" t="n">
        <v>2935000</v>
      </c>
      <c r="F53" s="16" t="n">
        <f aca="false">E53-D53</f>
        <v>145000</v>
      </c>
      <c r="G53" s="15" t="s">
        <v>538</v>
      </c>
      <c r="H53" s="15"/>
      <c r="I53" s="15" t="s">
        <v>539</v>
      </c>
      <c r="J53" s="15"/>
    </row>
    <row r="54" customFormat="false" ht="77.6" hidden="false" customHeight="false" outlineLevel="0" collapsed="false">
      <c r="A54" s="15" t="s">
        <v>255</v>
      </c>
      <c r="B54" s="15" t="s">
        <v>272</v>
      </c>
      <c r="C54" s="15" t="s">
        <v>276</v>
      </c>
      <c r="D54" s="16" t="n">
        <v>2935000</v>
      </c>
      <c r="E54" s="16" t="n">
        <v>3050000</v>
      </c>
      <c r="F54" s="16" t="n">
        <f aca="false">E54-D54</f>
        <v>115000</v>
      </c>
      <c r="G54" s="15" t="s">
        <v>540</v>
      </c>
      <c r="H54" s="15"/>
      <c r="I54" s="15" t="s">
        <v>541</v>
      </c>
      <c r="J54" s="15"/>
    </row>
    <row r="55" customFormat="false" ht="39.55" hidden="false" customHeight="false" outlineLevel="0" collapsed="false">
      <c r="A55" s="15" t="s">
        <v>300</v>
      </c>
      <c r="B55" s="15" t="s">
        <v>301</v>
      </c>
      <c r="C55" s="15" t="s">
        <v>308</v>
      </c>
      <c r="D55" s="16" t="n">
        <v>1389000</v>
      </c>
      <c r="E55" s="16" t="n">
        <v>1496000</v>
      </c>
      <c r="F55" s="16" t="n">
        <f aca="false">E55-D55</f>
        <v>107000</v>
      </c>
      <c r="G55" s="15" t="s">
        <v>542</v>
      </c>
      <c r="H55" s="15"/>
      <c r="I55" s="15" t="s">
        <v>543</v>
      </c>
      <c r="J55" s="15"/>
    </row>
  </sheetData>
  <autoFilter ref="A1:J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70"/>
    <col collapsed="false" customWidth="true" hidden="false" outlineLevel="0" max="8" min="8" style="0" width="60"/>
  </cols>
  <sheetData>
    <row r="1" customFormat="false" ht="39.55" hidden="false" customHeight="false" outlineLevel="0" collapsed="false">
      <c r="A1" s="17" t="s">
        <v>544</v>
      </c>
      <c r="B1" s="17" t="s">
        <v>545</v>
      </c>
      <c r="C1" s="17" t="s">
        <v>62</v>
      </c>
      <c r="D1" s="17" t="s">
        <v>64</v>
      </c>
      <c r="E1" s="17" t="s">
        <v>546</v>
      </c>
      <c r="F1" s="17" t="s">
        <v>547</v>
      </c>
      <c r="G1" s="17" t="s">
        <v>104</v>
      </c>
      <c r="H1" s="17" t="s">
        <v>548</v>
      </c>
    </row>
    <row r="2" customFormat="false" ht="39.55" hidden="false" customHeight="false" outlineLevel="0" collapsed="false">
      <c r="A2" s="15" t="s">
        <v>549</v>
      </c>
      <c r="B2" s="15" t="n">
        <v>1</v>
      </c>
      <c r="C2" s="15" t="s">
        <v>550</v>
      </c>
      <c r="D2" s="16" t="n">
        <v>699000</v>
      </c>
      <c r="E2" s="16" t="n">
        <v>781377</v>
      </c>
      <c r="F2" s="15" t="s">
        <v>551</v>
      </c>
      <c r="G2" s="15" t="s">
        <v>430</v>
      </c>
      <c r="H2" s="15"/>
    </row>
    <row r="3" customFormat="false" ht="39.55" hidden="false" customHeight="false" outlineLevel="0" collapsed="false">
      <c r="A3" s="15"/>
      <c r="B3" s="15" t="n">
        <v>2</v>
      </c>
      <c r="C3" s="15" t="s">
        <v>552</v>
      </c>
      <c r="D3" s="16" t="n">
        <v>864000</v>
      </c>
      <c r="E3" s="16" t="n">
        <v>946377</v>
      </c>
      <c r="F3" s="15" t="s">
        <v>553</v>
      </c>
      <c r="G3" s="15" t="s">
        <v>430</v>
      </c>
      <c r="H3" s="15"/>
    </row>
    <row r="4" customFormat="false" ht="39.55" hidden="false" customHeight="false" outlineLevel="0" collapsed="false">
      <c r="A4" s="15"/>
      <c r="B4" s="15" t="n">
        <v>3</v>
      </c>
      <c r="C4" s="15" t="s">
        <v>554</v>
      </c>
      <c r="D4" s="16" t="n">
        <v>964000</v>
      </c>
      <c r="E4" s="16" t="n">
        <v>1052314</v>
      </c>
      <c r="F4" s="15" t="s">
        <v>555</v>
      </c>
      <c r="G4" s="15" t="s">
        <v>437</v>
      </c>
      <c r="H4" s="15"/>
    </row>
    <row r="5" customFormat="false" ht="39.55" hidden="false" customHeight="false" outlineLevel="0" collapsed="false">
      <c r="A5" s="15" t="s">
        <v>556</v>
      </c>
      <c r="B5" s="15" t="n">
        <v>1</v>
      </c>
      <c r="C5" s="15" t="s">
        <v>557</v>
      </c>
      <c r="D5" s="16" t="n">
        <v>979000</v>
      </c>
      <c r="E5" s="16" t="n">
        <v>1058146</v>
      </c>
      <c r="F5" s="15" t="s">
        <v>558</v>
      </c>
      <c r="G5" s="15" t="s">
        <v>380</v>
      </c>
      <c r="H5" s="15"/>
    </row>
    <row r="6" customFormat="false" ht="39.55" hidden="false" customHeight="false" outlineLevel="0" collapsed="false">
      <c r="A6" s="15"/>
      <c r="B6" s="15" t="n">
        <v>2</v>
      </c>
      <c r="C6" s="15" t="s">
        <v>559</v>
      </c>
      <c r="D6" s="16" t="n">
        <v>1039000</v>
      </c>
      <c r="E6" s="16" t="n">
        <v>1118146</v>
      </c>
      <c r="F6" s="15" t="s">
        <v>558</v>
      </c>
      <c r="G6" s="15" t="s">
        <v>380</v>
      </c>
      <c r="H6" s="15"/>
    </row>
    <row r="7" customFormat="false" ht="26.85" hidden="false" customHeight="false" outlineLevel="0" collapsed="false">
      <c r="A7" s="15"/>
      <c r="B7" s="15" t="n">
        <v>3</v>
      </c>
      <c r="C7" s="15" t="s">
        <v>560</v>
      </c>
      <c r="D7" s="16" t="n">
        <v>1119000</v>
      </c>
      <c r="E7" s="16" t="n">
        <v>1209171</v>
      </c>
      <c r="F7" s="15" t="s">
        <v>561</v>
      </c>
      <c r="G7" s="15" t="s">
        <v>387</v>
      </c>
      <c r="H7" s="15"/>
    </row>
    <row r="8" customFormat="false" ht="39.55" hidden="false" customHeight="false" outlineLevel="0" collapsed="false">
      <c r="A8" s="15" t="s">
        <v>562</v>
      </c>
      <c r="B8" s="15" t="n">
        <v>1</v>
      </c>
      <c r="C8" s="15" t="s">
        <v>563</v>
      </c>
      <c r="D8" s="16" t="n">
        <v>2265000</v>
      </c>
      <c r="E8" s="16" t="n">
        <v>2433404</v>
      </c>
      <c r="F8" s="15" t="s">
        <v>564</v>
      </c>
      <c r="G8" s="15" t="s">
        <v>202</v>
      </c>
      <c r="H8" s="15" t="s">
        <v>565</v>
      </c>
    </row>
    <row r="9" customFormat="false" ht="39.55" hidden="false" customHeight="false" outlineLevel="0" collapsed="false">
      <c r="A9" s="15"/>
      <c r="B9" s="15" t="n">
        <v>2</v>
      </c>
      <c r="C9" s="15" t="s">
        <v>566</v>
      </c>
      <c r="D9" s="16" t="n">
        <v>2495000</v>
      </c>
      <c r="E9" s="16" t="n">
        <v>2675810</v>
      </c>
      <c r="F9" s="15" t="s">
        <v>567</v>
      </c>
      <c r="G9" s="15" t="s">
        <v>146</v>
      </c>
      <c r="H9" s="15"/>
    </row>
    <row r="10" customFormat="false" ht="39.55" hidden="false" customHeight="false" outlineLevel="0" collapsed="false">
      <c r="A10" s="15"/>
      <c r="B10" s="15" t="n">
        <v>3</v>
      </c>
      <c r="C10" s="15" t="s">
        <v>568</v>
      </c>
      <c r="D10" s="16" t="n">
        <v>2445000</v>
      </c>
      <c r="E10" s="16" t="n">
        <v>2625810</v>
      </c>
      <c r="F10" s="15" t="s">
        <v>569</v>
      </c>
      <c r="G10" s="15" t="s">
        <v>146</v>
      </c>
      <c r="H10" s="15"/>
    </row>
    <row r="11" customFormat="false" ht="39.55" hidden="false" customHeight="false" outlineLevel="0" collapsed="false">
      <c r="A11" s="15" t="s">
        <v>570</v>
      </c>
      <c r="B11" s="15" t="n">
        <v>1</v>
      </c>
      <c r="C11" s="15" t="s">
        <v>571</v>
      </c>
      <c r="D11" s="16" t="n">
        <v>2065000</v>
      </c>
      <c r="E11" s="16" t="n">
        <v>2226209</v>
      </c>
      <c r="F11" s="15" t="s">
        <v>572</v>
      </c>
      <c r="G11" s="15" t="s">
        <v>202</v>
      </c>
      <c r="H11" s="15"/>
    </row>
    <row r="12" customFormat="false" ht="26.85" hidden="false" customHeight="false" outlineLevel="0" collapsed="false">
      <c r="A12" s="15"/>
      <c r="B12" s="15" t="n">
        <v>2</v>
      </c>
      <c r="C12" s="15" t="s">
        <v>563</v>
      </c>
      <c r="D12" s="16" t="n">
        <v>2265000</v>
      </c>
      <c r="E12" s="16" t="n">
        <v>2433404</v>
      </c>
      <c r="F12" s="15" t="s">
        <v>564</v>
      </c>
      <c r="G12" s="15" t="s">
        <v>202</v>
      </c>
      <c r="H12" s="15"/>
    </row>
    <row r="13" customFormat="false" ht="26.85" hidden="false" customHeight="false" outlineLevel="0" collapsed="false">
      <c r="A13" s="15"/>
      <c r="B13" s="15" t="n">
        <v>3</v>
      </c>
      <c r="C13" s="15" t="s">
        <v>573</v>
      </c>
      <c r="D13" s="16" t="n">
        <v>2505000</v>
      </c>
      <c r="E13" s="16" t="n">
        <v>2671719</v>
      </c>
      <c r="F13" s="15" t="s">
        <v>574</v>
      </c>
      <c r="G13" s="15" t="s">
        <v>202</v>
      </c>
      <c r="H13" s="15"/>
    </row>
    <row r="14" customFormat="false" ht="26.85" hidden="false" customHeight="false" outlineLevel="0" collapsed="false">
      <c r="A14" s="15" t="s">
        <v>575</v>
      </c>
      <c r="B14" s="15" t="n">
        <v>1</v>
      </c>
      <c r="C14" s="15" t="s">
        <v>576</v>
      </c>
      <c r="D14" s="16" t="n">
        <v>2099000</v>
      </c>
      <c r="E14" s="16" t="n">
        <v>2246309</v>
      </c>
      <c r="F14" s="15" t="s">
        <v>577</v>
      </c>
      <c r="G14" s="15" t="s">
        <v>401</v>
      </c>
      <c r="H14" s="15"/>
    </row>
    <row r="15" customFormat="false" ht="26.85" hidden="false" customHeight="false" outlineLevel="0" collapsed="false">
      <c r="A15" s="15"/>
      <c r="B15" s="15" t="n">
        <v>2</v>
      </c>
      <c r="C15" s="15" t="s">
        <v>578</v>
      </c>
      <c r="D15" s="16" t="n">
        <v>2219000</v>
      </c>
      <c r="E15" s="16" t="n">
        <v>2368912</v>
      </c>
      <c r="F15" s="15" t="s">
        <v>579</v>
      </c>
      <c r="G15" s="15" t="s">
        <v>401</v>
      </c>
      <c r="H15" s="15"/>
    </row>
    <row r="16" customFormat="false" ht="26.85" hidden="false" customHeight="false" outlineLevel="0" collapsed="false">
      <c r="A16" s="15"/>
      <c r="B16" s="15" t="n">
        <v>3</v>
      </c>
      <c r="C16" s="15" t="s">
        <v>580</v>
      </c>
      <c r="D16" s="16" t="n">
        <v>2279000</v>
      </c>
      <c r="E16" s="16" t="n">
        <v>2426309</v>
      </c>
      <c r="F16" s="15" t="s">
        <v>577</v>
      </c>
      <c r="G16" s="15" t="s">
        <v>401</v>
      </c>
      <c r="H16" s="15"/>
    </row>
    <row r="17" customFormat="false" ht="39.55" hidden="false" customHeight="false" outlineLevel="0" collapsed="false">
      <c r="A17" s="15" t="s">
        <v>581</v>
      </c>
      <c r="B17" s="15" t="n">
        <v>1</v>
      </c>
      <c r="C17" s="15" t="s">
        <v>582</v>
      </c>
      <c r="D17" s="16" t="n">
        <v>1496000</v>
      </c>
      <c r="E17" s="16" t="n">
        <v>1650910</v>
      </c>
      <c r="F17" s="15" t="s">
        <v>583</v>
      </c>
      <c r="G17" s="15" t="s">
        <v>309</v>
      </c>
      <c r="H17" s="15"/>
    </row>
    <row r="18" customFormat="false" ht="26.85" hidden="false" customHeight="false" outlineLevel="0" collapsed="false">
      <c r="A18" s="15"/>
      <c r="B18" s="15" t="n">
        <v>2</v>
      </c>
      <c r="C18" s="15" t="s">
        <v>584</v>
      </c>
      <c r="D18" s="16" t="n">
        <v>1769000</v>
      </c>
      <c r="E18" s="16" t="n">
        <v>1857087</v>
      </c>
      <c r="F18" s="15" t="s">
        <v>585</v>
      </c>
      <c r="G18" s="15" t="s">
        <v>324</v>
      </c>
      <c r="H18" s="15"/>
    </row>
    <row r="20" customFormat="false" ht="15" hidden="false" customHeight="false" outlineLevel="0" collapsed="false">
      <c r="A20" s="0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8" t="s">
        <v>587</v>
      </c>
      <c r="B1" s="18" t="s">
        <v>588</v>
      </c>
    </row>
    <row r="2" customFormat="false" ht="15" hidden="false" customHeight="false" outlineLevel="0" collapsed="false">
      <c r="A2" s="15" t="s">
        <v>589</v>
      </c>
      <c r="B2" s="15" t="s">
        <v>590</v>
      </c>
    </row>
    <row r="3" customFormat="false" ht="26.85" hidden="false" customHeight="false" outlineLevel="0" collapsed="false">
      <c r="A3" s="15" t="s">
        <v>591</v>
      </c>
      <c r="B3" s="15" t="s">
        <v>592</v>
      </c>
    </row>
    <row r="4" customFormat="false" ht="26.85" hidden="false" customHeight="false" outlineLevel="0" collapsed="false">
      <c r="A4" s="15" t="s">
        <v>593</v>
      </c>
      <c r="B4" s="15" t="s">
        <v>594</v>
      </c>
    </row>
    <row r="5" customFormat="false" ht="15" hidden="false" customHeight="false" outlineLevel="0" collapsed="false">
      <c r="A5" s="15" t="s">
        <v>595</v>
      </c>
      <c r="B5" s="15" t="s">
        <v>596</v>
      </c>
    </row>
    <row r="6" customFormat="false" ht="15" hidden="false" customHeight="false" outlineLevel="0" collapsed="false">
      <c r="A6" s="15" t="s">
        <v>597</v>
      </c>
      <c r="B6" s="15" t="s">
        <v>598</v>
      </c>
    </row>
    <row r="7" customFormat="false" ht="26.85" hidden="false" customHeight="false" outlineLevel="0" collapsed="false">
      <c r="A7" s="15" t="s">
        <v>599</v>
      </c>
      <c r="B7" s="15" t="s">
        <v>600</v>
      </c>
    </row>
    <row r="8" customFormat="false" ht="26.85" hidden="false" customHeight="false" outlineLevel="0" collapsed="false">
      <c r="A8" s="15" t="s">
        <v>601</v>
      </c>
      <c r="B8" s="15" t="s">
        <v>602</v>
      </c>
    </row>
    <row r="9" customFormat="false" ht="15" hidden="false" customHeight="false" outlineLevel="0" collapsed="false">
      <c r="A9" s="15" t="s">
        <v>603</v>
      </c>
      <c r="B9" s="15" t="s">
        <v>604</v>
      </c>
    </row>
    <row r="10" customFormat="false" ht="15" hidden="false" customHeight="false" outlineLevel="0" collapsed="false">
      <c r="A10" s="15" t="s">
        <v>605</v>
      </c>
      <c r="B10" s="15" t="s">
        <v>606</v>
      </c>
    </row>
    <row r="11" customFormat="false" ht="26.85" hidden="false" customHeight="false" outlineLevel="0" collapsed="false">
      <c r="A11" s="15" t="s">
        <v>607</v>
      </c>
      <c r="B11" s="15" t="s">
        <v>608</v>
      </c>
    </row>
    <row r="12" customFormat="false" ht="15" hidden="false" customHeight="false" outlineLevel="0" collapsed="false">
      <c r="A12" s="15" t="s">
        <v>609</v>
      </c>
      <c r="B12" s="15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4"/>
    <col collapsed="false" customWidth="true" hidden="false" outlineLevel="0" max="7" min="7" style="1" width="9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18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7" min="16" style="1" width="12"/>
    <col collapsed="false" customWidth="true" hidden="false" outlineLevel="0" max="20" min="18" style="1" width="11"/>
    <col collapsed="false" customWidth="true" hidden="false" outlineLevel="0" max="21" min="21" style="1" width="10"/>
    <col collapsed="false" customWidth="true" hidden="false" outlineLevel="0" max="22" min="22" style="1" width="12"/>
    <col collapsed="false" customWidth="true" hidden="false" outlineLevel="0" max="23" min="23" style="1" width="55"/>
  </cols>
  <sheetData>
    <row r="1" customFormat="false" ht="31.5" hidden="false" customHeight="true" outlineLevel="0" collapsed="false">
      <c r="A1" s="10" t="s">
        <v>611</v>
      </c>
      <c r="B1" s="10" t="s">
        <v>612</v>
      </c>
      <c r="C1" s="10" t="s">
        <v>60</v>
      </c>
      <c r="D1" s="10" t="s">
        <v>61</v>
      </c>
      <c r="E1" s="10" t="s">
        <v>613</v>
      </c>
      <c r="F1" s="10" t="s">
        <v>614</v>
      </c>
      <c r="G1" s="10" t="s">
        <v>66</v>
      </c>
      <c r="H1" s="10" t="s">
        <v>615</v>
      </c>
      <c r="I1" s="10" t="s">
        <v>63</v>
      </c>
      <c r="J1" s="10" t="s">
        <v>616</v>
      </c>
      <c r="K1" s="10" t="s">
        <v>617</v>
      </c>
      <c r="L1" s="10" t="s">
        <v>71</v>
      </c>
      <c r="M1" s="10" t="s">
        <v>618</v>
      </c>
      <c r="N1" s="10" t="s">
        <v>619</v>
      </c>
      <c r="O1" s="10" t="s">
        <v>620</v>
      </c>
      <c r="P1" s="10" t="s">
        <v>621</v>
      </c>
      <c r="Q1" s="10" t="s">
        <v>622</v>
      </c>
      <c r="R1" s="10" t="s">
        <v>623</v>
      </c>
      <c r="S1" s="10" t="s">
        <v>624</v>
      </c>
      <c r="T1" s="10" t="s">
        <v>625</v>
      </c>
      <c r="U1" s="10" t="s">
        <v>626</v>
      </c>
      <c r="V1" s="10" t="s">
        <v>627</v>
      </c>
      <c r="W1" s="10" t="s">
        <v>628</v>
      </c>
    </row>
    <row r="2" customFormat="false" ht="26.25" hidden="false" customHeight="true" outlineLevel="0" collapsed="false">
      <c r="A2" s="15" t="s">
        <v>106</v>
      </c>
      <c r="B2" s="15" t="s">
        <v>107</v>
      </c>
      <c r="C2" s="15" t="s">
        <v>108</v>
      </c>
      <c r="D2" s="15" t="s">
        <v>109</v>
      </c>
      <c r="E2" s="15" t="s">
        <v>629</v>
      </c>
      <c r="F2" s="15" t="s">
        <v>630</v>
      </c>
      <c r="G2" s="19" t="n">
        <v>59</v>
      </c>
      <c r="H2" s="15" t="s">
        <v>110</v>
      </c>
      <c r="I2" s="15" t="s">
        <v>111</v>
      </c>
      <c r="J2" s="20" t="n">
        <v>1945000</v>
      </c>
      <c r="K2" s="19" t="n">
        <v>573</v>
      </c>
      <c r="L2" s="15" t="s">
        <v>115</v>
      </c>
      <c r="M2" s="15" t="s">
        <v>631</v>
      </c>
      <c r="N2" s="15" t="s">
        <v>112</v>
      </c>
      <c r="O2" s="21" t="n">
        <v>1945000</v>
      </c>
      <c r="P2" s="22" t="n">
        <v>59</v>
      </c>
      <c r="Q2" s="22" t="n">
        <v>573</v>
      </c>
      <c r="R2" s="15" t="str">
        <f aca="false">IF(O2="","",IF(O2=J2,"Match","MISMATCH"))</f>
        <v>Match</v>
      </c>
      <c r="S2" s="15" t="str">
        <f aca="false">IF(P2="","",IF(P2=G2,"Match","MISMATCH"))</f>
        <v>Match</v>
      </c>
      <c r="T2" s="15" t="str">
        <f aca="false">IF(Q2="","",IF(Q2=K2,"Match","MISMATCH"))</f>
        <v>Match</v>
      </c>
      <c r="U2" s="22" t="s">
        <v>632</v>
      </c>
      <c r="V2" s="22" t="s">
        <v>633</v>
      </c>
      <c r="W2" s="15"/>
    </row>
    <row r="3" customFormat="false" ht="26.25" hidden="false" customHeight="true" outlineLevel="0" collapsed="false">
      <c r="A3" s="15" t="s">
        <v>162</v>
      </c>
      <c r="B3" s="15" t="s">
        <v>107</v>
      </c>
      <c r="C3" s="15" t="s">
        <v>108</v>
      </c>
      <c r="D3" s="15" t="s">
        <v>109</v>
      </c>
      <c r="E3" s="15" t="s">
        <v>629</v>
      </c>
      <c r="F3" s="15" t="s">
        <v>630</v>
      </c>
      <c r="G3" s="19" t="n">
        <v>59</v>
      </c>
      <c r="H3" s="15" t="s">
        <v>163</v>
      </c>
      <c r="I3" s="15" t="s">
        <v>164</v>
      </c>
      <c r="J3" s="20" t="n">
        <v>1145000</v>
      </c>
      <c r="K3" s="19" t="n">
        <v>573</v>
      </c>
      <c r="L3" s="15" t="s">
        <v>115</v>
      </c>
      <c r="M3" s="15" t="s">
        <v>634</v>
      </c>
      <c r="N3" s="15" t="s">
        <v>112</v>
      </c>
      <c r="O3" s="21" t="n">
        <v>1145000</v>
      </c>
      <c r="P3" s="22" t="n">
        <v>59</v>
      </c>
      <c r="Q3" s="22" t="n">
        <v>573</v>
      </c>
      <c r="R3" s="15" t="str">
        <f aca="false">IF(O3="","",IF(O3=J3,"Match","MISMATCH"))</f>
        <v>Match</v>
      </c>
      <c r="S3" s="15" t="str">
        <f aca="false">IF(P3="","",IF(P3=G3,"Match","MISMATCH"))</f>
        <v>Match</v>
      </c>
      <c r="T3" s="15" t="str">
        <f aca="false">IF(Q3="","",IF(Q3=K3,"Match","MISMATCH"))</f>
        <v>Match</v>
      </c>
      <c r="U3" s="22" t="s">
        <v>632</v>
      </c>
      <c r="V3" s="22" t="s">
        <v>633</v>
      </c>
      <c r="W3" s="15" t="s">
        <v>635</v>
      </c>
    </row>
    <row r="4" customFormat="false" ht="64.5" hidden="false" customHeight="true" outlineLevel="0" collapsed="false">
      <c r="A4" s="15" t="s">
        <v>126</v>
      </c>
      <c r="B4" s="15" t="s">
        <v>107</v>
      </c>
      <c r="C4" s="15" t="s">
        <v>108</v>
      </c>
      <c r="D4" s="15" t="s">
        <v>109</v>
      </c>
      <c r="E4" s="15" t="s">
        <v>629</v>
      </c>
      <c r="F4" s="15" t="s">
        <v>636</v>
      </c>
      <c r="G4" s="19" t="n">
        <v>59</v>
      </c>
      <c r="H4" s="15" t="s">
        <v>127</v>
      </c>
      <c r="I4" s="15" t="s">
        <v>111</v>
      </c>
      <c r="J4" s="20" t="n">
        <v>2095000</v>
      </c>
      <c r="K4" s="19" t="n">
        <v>573</v>
      </c>
      <c r="L4" s="15" t="s">
        <v>115</v>
      </c>
      <c r="M4" s="15" t="s">
        <v>637</v>
      </c>
      <c r="N4" s="15" t="s">
        <v>128</v>
      </c>
      <c r="O4" s="21"/>
      <c r="P4" s="22" t="n">
        <v>59</v>
      </c>
      <c r="Q4" s="22" t="n">
        <v>573</v>
      </c>
      <c r="R4" s="15" t="str">
        <f aca="false">IF(O4="","",IF(O4=J4,"Match","MISMATCH"))</f>
        <v/>
      </c>
      <c r="S4" s="15" t="str">
        <f aca="false">IF(P4="","",IF(P4=G4,"Match","MISMATCH"))</f>
        <v>Match</v>
      </c>
      <c r="T4" s="15" t="str">
        <f aca="false">IF(Q4="","",IF(Q4=K4,"Match","MISMATCH"))</f>
        <v>Match</v>
      </c>
      <c r="U4" s="22" t="s">
        <v>632</v>
      </c>
      <c r="V4" s="22" t="s">
        <v>633</v>
      </c>
      <c r="W4" s="15" t="s">
        <v>638</v>
      </c>
    </row>
    <row r="5" customFormat="false" ht="26.25" hidden="false" customHeight="true" outlineLevel="0" collapsed="false">
      <c r="A5" s="15" t="s">
        <v>167</v>
      </c>
      <c r="B5" s="15" t="s">
        <v>107</v>
      </c>
      <c r="C5" s="15" t="s">
        <v>108</v>
      </c>
      <c r="D5" s="15" t="s">
        <v>109</v>
      </c>
      <c r="E5" s="15" t="s">
        <v>629</v>
      </c>
      <c r="F5" s="15" t="s">
        <v>636</v>
      </c>
      <c r="G5" s="19" t="n">
        <v>59</v>
      </c>
      <c r="H5" s="15" t="s">
        <v>168</v>
      </c>
      <c r="I5" s="15" t="s">
        <v>164</v>
      </c>
      <c r="J5" s="20" t="n">
        <v>1295000</v>
      </c>
      <c r="K5" s="19" t="n">
        <v>573</v>
      </c>
      <c r="L5" s="15" t="s">
        <v>115</v>
      </c>
      <c r="M5" s="15" t="s">
        <v>634</v>
      </c>
      <c r="N5" s="15" t="s">
        <v>112</v>
      </c>
      <c r="O5" s="21" t="n">
        <v>1295000</v>
      </c>
      <c r="P5" s="22" t="n">
        <v>59</v>
      </c>
      <c r="Q5" s="22" t="n">
        <v>573</v>
      </c>
      <c r="R5" s="15" t="str">
        <f aca="false">IF(O5="","",IF(O5=J5,"Match","MISMATCH"))</f>
        <v>Match</v>
      </c>
      <c r="S5" s="15" t="str">
        <f aca="false">IF(P5="","",IF(P5=G5,"Match","MISMATCH"))</f>
        <v>Match</v>
      </c>
      <c r="T5" s="15" t="str">
        <f aca="false">IF(Q5="","",IF(Q5=K5,"Match","MISMATCH"))</f>
        <v>Match</v>
      </c>
      <c r="U5" s="22" t="s">
        <v>632</v>
      </c>
      <c r="V5" s="22" t="s">
        <v>633</v>
      </c>
      <c r="W5" s="15" t="s">
        <v>635</v>
      </c>
    </row>
    <row r="6" customFormat="false" ht="64.5" hidden="false" customHeight="true" outlineLevel="0" collapsed="false">
      <c r="A6" s="15" t="s">
        <v>132</v>
      </c>
      <c r="B6" s="15" t="s">
        <v>107</v>
      </c>
      <c r="C6" s="15" t="s">
        <v>108</v>
      </c>
      <c r="D6" s="15" t="s">
        <v>109</v>
      </c>
      <c r="E6" s="15" t="s">
        <v>629</v>
      </c>
      <c r="F6" s="15" t="s">
        <v>639</v>
      </c>
      <c r="G6" s="19" t="n">
        <v>59</v>
      </c>
      <c r="H6" s="15" t="s">
        <v>133</v>
      </c>
      <c r="I6" s="15" t="s">
        <v>111</v>
      </c>
      <c r="J6" s="20" t="n">
        <v>2195000</v>
      </c>
      <c r="K6" s="19" t="n">
        <v>573</v>
      </c>
      <c r="L6" s="15" t="s">
        <v>115</v>
      </c>
      <c r="M6" s="15" t="s">
        <v>637</v>
      </c>
      <c r="N6" s="15" t="s">
        <v>128</v>
      </c>
      <c r="O6" s="21"/>
      <c r="P6" s="22" t="n">
        <v>59</v>
      </c>
      <c r="Q6" s="22" t="n">
        <v>573</v>
      </c>
      <c r="R6" s="15" t="str">
        <f aca="false">IF(O6="","",IF(O6=J6,"Match","MISMATCH"))</f>
        <v/>
      </c>
      <c r="S6" s="15" t="str">
        <f aca="false">IF(P6="","",IF(P6=G6,"Match","MISMATCH"))</f>
        <v>Match</v>
      </c>
      <c r="T6" s="15" t="str">
        <f aca="false">IF(Q6="","",IF(Q6=K6,"Match","MISMATCH"))</f>
        <v>Match</v>
      </c>
      <c r="U6" s="22" t="s">
        <v>632</v>
      </c>
      <c r="V6" s="22" t="s">
        <v>633</v>
      </c>
      <c r="W6" s="15" t="s">
        <v>638</v>
      </c>
    </row>
    <row r="7" customFormat="false" ht="26.25" hidden="false" customHeight="true" outlineLevel="0" collapsed="false">
      <c r="A7" s="15" t="s">
        <v>170</v>
      </c>
      <c r="B7" s="15" t="s">
        <v>107</v>
      </c>
      <c r="C7" s="15" t="s">
        <v>108</v>
      </c>
      <c r="D7" s="15" t="s">
        <v>109</v>
      </c>
      <c r="E7" s="15" t="s">
        <v>629</v>
      </c>
      <c r="F7" s="15" t="s">
        <v>639</v>
      </c>
      <c r="G7" s="19" t="n">
        <v>59</v>
      </c>
      <c r="H7" s="15" t="s">
        <v>171</v>
      </c>
      <c r="I7" s="15" t="s">
        <v>164</v>
      </c>
      <c r="J7" s="20" t="n">
        <v>1395000</v>
      </c>
      <c r="K7" s="19" t="n">
        <v>573</v>
      </c>
      <c r="L7" s="15" t="s">
        <v>115</v>
      </c>
      <c r="M7" s="15" t="s">
        <v>634</v>
      </c>
      <c r="N7" s="15" t="s">
        <v>112</v>
      </c>
      <c r="O7" s="21" t="n">
        <v>1395000</v>
      </c>
      <c r="P7" s="22" t="n">
        <v>59</v>
      </c>
      <c r="Q7" s="22" t="n">
        <v>573</v>
      </c>
      <c r="R7" s="15" t="str">
        <f aca="false">IF(O7="","",IF(O7=J7,"Match","MISMATCH"))</f>
        <v>Match</v>
      </c>
      <c r="S7" s="15" t="str">
        <f aca="false">IF(P7="","",IF(P7=G7,"Match","MISMATCH"))</f>
        <v>Match</v>
      </c>
      <c r="T7" s="15" t="str">
        <f aca="false">IF(Q7="","",IF(Q7=K7,"Match","MISMATCH"))</f>
        <v>Match</v>
      </c>
      <c r="U7" s="22" t="s">
        <v>632</v>
      </c>
      <c r="V7" s="22" t="s">
        <v>633</v>
      </c>
      <c r="W7" s="15" t="s">
        <v>635</v>
      </c>
    </row>
    <row r="8" customFormat="false" ht="90" hidden="false" customHeight="true" outlineLevel="0" collapsed="false">
      <c r="A8" s="15" t="s">
        <v>136</v>
      </c>
      <c r="B8" s="15" t="s">
        <v>107</v>
      </c>
      <c r="C8" s="15" t="s">
        <v>108</v>
      </c>
      <c r="D8" s="15" t="s">
        <v>109</v>
      </c>
      <c r="E8" s="15" t="s">
        <v>629</v>
      </c>
      <c r="F8" s="15" t="s">
        <v>639</v>
      </c>
      <c r="G8" s="19" t="n">
        <v>70</v>
      </c>
      <c r="H8" s="15" t="s">
        <v>137</v>
      </c>
      <c r="I8" s="15" t="s">
        <v>111</v>
      </c>
      <c r="J8" s="20" t="n">
        <v>2295000</v>
      </c>
      <c r="K8" s="19" t="n">
        <v>651</v>
      </c>
      <c r="L8" s="15" t="s">
        <v>115</v>
      </c>
      <c r="M8" s="15" t="s">
        <v>637</v>
      </c>
      <c r="N8" s="15" t="s">
        <v>128</v>
      </c>
      <c r="O8" s="21"/>
      <c r="P8" s="22" t="n">
        <v>70</v>
      </c>
      <c r="Q8" s="22" t="n">
        <v>651</v>
      </c>
      <c r="R8" s="15" t="str">
        <f aca="false">IF(O8="","",IF(O8=J8,"Match","MISMATCH"))</f>
        <v/>
      </c>
      <c r="S8" s="15" t="str">
        <f aca="false">IF(P8="","",IF(P8=G8,"Match","MISMATCH"))</f>
        <v>Match</v>
      </c>
      <c r="T8" s="15" t="str">
        <f aca="false">IF(Q8="","",IF(Q8=K8,"Match","MISMATCH"))</f>
        <v>Match</v>
      </c>
      <c r="U8" s="22" t="s">
        <v>632</v>
      </c>
      <c r="V8" s="22" t="s">
        <v>633</v>
      </c>
      <c r="W8" s="15" t="s">
        <v>640</v>
      </c>
    </row>
    <row r="9" customFormat="false" ht="51.75" hidden="false" customHeight="true" outlineLevel="0" collapsed="false">
      <c r="A9" s="15" t="s">
        <v>173</v>
      </c>
      <c r="B9" s="15" t="s">
        <v>107</v>
      </c>
      <c r="C9" s="15" t="s">
        <v>108</v>
      </c>
      <c r="D9" s="15" t="s">
        <v>109</v>
      </c>
      <c r="E9" s="15" t="s">
        <v>629</v>
      </c>
      <c r="F9" s="15" t="s">
        <v>639</v>
      </c>
      <c r="G9" s="19" t="n">
        <v>70</v>
      </c>
      <c r="H9" s="15" t="s">
        <v>174</v>
      </c>
      <c r="I9" s="15" t="s">
        <v>164</v>
      </c>
      <c r="J9" s="20" t="n">
        <v>1395000</v>
      </c>
      <c r="K9" s="19" t="n">
        <v>651</v>
      </c>
      <c r="L9" s="15" t="s">
        <v>115</v>
      </c>
      <c r="M9" s="15" t="s">
        <v>634</v>
      </c>
      <c r="N9" s="15" t="s">
        <v>112</v>
      </c>
      <c r="O9" s="21" t="n">
        <v>1395000</v>
      </c>
      <c r="P9" s="22" t="n">
        <v>70</v>
      </c>
      <c r="Q9" s="22" t="n">
        <v>651</v>
      </c>
      <c r="R9" s="15" t="str">
        <f aca="false">IF(O9="","",IF(O9=J9,"Match","MISMATCH"))</f>
        <v>Match</v>
      </c>
      <c r="S9" s="15" t="str">
        <f aca="false">IF(P9="","",IF(P9=G9,"Match","MISMATCH"))</f>
        <v>Match</v>
      </c>
      <c r="T9" s="15" t="str">
        <f aca="false">IF(Q9="","",IF(Q9=K9,"Match","MISMATCH"))</f>
        <v>Match</v>
      </c>
      <c r="U9" s="22" t="s">
        <v>632</v>
      </c>
      <c r="V9" s="22" t="s">
        <v>633</v>
      </c>
      <c r="W9" s="15" t="s">
        <v>641</v>
      </c>
    </row>
    <row r="10" customFormat="false" ht="90" hidden="false" customHeight="true" outlineLevel="0" collapsed="false">
      <c r="A10" s="15" t="s">
        <v>139</v>
      </c>
      <c r="B10" s="15" t="s">
        <v>107</v>
      </c>
      <c r="C10" s="15" t="s">
        <v>108</v>
      </c>
      <c r="D10" s="15" t="s">
        <v>109</v>
      </c>
      <c r="E10" s="15" t="s">
        <v>629</v>
      </c>
      <c r="F10" s="15" t="s">
        <v>642</v>
      </c>
      <c r="G10" s="19" t="n">
        <v>70</v>
      </c>
      <c r="H10" s="15" t="s">
        <v>140</v>
      </c>
      <c r="I10" s="15" t="s">
        <v>111</v>
      </c>
      <c r="J10" s="20" t="n">
        <v>2395000</v>
      </c>
      <c r="K10" s="19" t="n">
        <v>651</v>
      </c>
      <c r="L10" s="15" t="s">
        <v>115</v>
      </c>
      <c r="M10" s="15" t="s">
        <v>637</v>
      </c>
      <c r="N10" s="15" t="s">
        <v>128</v>
      </c>
      <c r="O10" s="21"/>
      <c r="P10" s="22" t="n">
        <v>70</v>
      </c>
      <c r="Q10" s="22" t="n">
        <v>651</v>
      </c>
      <c r="R10" s="15" t="str">
        <f aca="false">IF(O10="","",IF(O10=J10,"Match","MISMATCH"))</f>
        <v/>
      </c>
      <c r="S10" s="15" t="str">
        <f aca="false">IF(P10="","",IF(P10=G10,"Match","MISMATCH"))</f>
        <v>Match</v>
      </c>
      <c r="T10" s="15" t="str">
        <f aca="false">IF(Q10="","",IF(Q10=K10,"Match","MISMATCH"))</f>
        <v>Match</v>
      </c>
      <c r="U10" s="22" t="s">
        <v>632</v>
      </c>
      <c r="V10" s="22" t="s">
        <v>633</v>
      </c>
      <c r="W10" s="15" t="s">
        <v>640</v>
      </c>
    </row>
    <row r="11" customFormat="false" ht="51.75" hidden="false" customHeight="true" outlineLevel="0" collapsed="false">
      <c r="A11" s="15" t="s">
        <v>180</v>
      </c>
      <c r="B11" s="15" t="s">
        <v>107</v>
      </c>
      <c r="C11" s="15" t="s">
        <v>108</v>
      </c>
      <c r="D11" s="15" t="s">
        <v>109</v>
      </c>
      <c r="E11" s="15" t="s">
        <v>629</v>
      </c>
      <c r="F11" s="15" t="s">
        <v>642</v>
      </c>
      <c r="G11" s="19" t="n">
        <v>70</v>
      </c>
      <c r="H11" s="15" t="s">
        <v>181</v>
      </c>
      <c r="I11" s="15" t="s">
        <v>164</v>
      </c>
      <c r="J11" s="20" t="n">
        <v>1495000</v>
      </c>
      <c r="K11" s="19" t="n">
        <v>651</v>
      </c>
      <c r="L11" s="15" t="s">
        <v>115</v>
      </c>
      <c r="M11" s="15" t="s">
        <v>634</v>
      </c>
      <c r="N11" s="15" t="s">
        <v>112</v>
      </c>
      <c r="O11" s="21" t="n">
        <v>1495000</v>
      </c>
      <c r="P11" s="22" t="n">
        <v>70</v>
      </c>
      <c r="Q11" s="22" t="n">
        <v>651</v>
      </c>
      <c r="R11" s="15" t="str">
        <f aca="false">IF(O11="","",IF(O11=J11,"Match","MISMATCH"))</f>
        <v>Match</v>
      </c>
      <c r="S11" s="15" t="str">
        <f aca="false">IF(P11="","",IF(P11=G11,"Match","MISMATCH"))</f>
        <v>Match</v>
      </c>
      <c r="T11" s="15" t="str">
        <f aca="false">IF(Q11="","",IF(Q11=K11,"Match","MISMATCH"))</f>
        <v>Match</v>
      </c>
      <c r="U11" s="22" t="s">
        <v>632</v>
      </c>
      <c r="V11" s="22" t="s">
        <v>633</v>
      </c>
      <c r="W11" s="15" t="s">
        <v>641</v>
      </c>
    </row>
    <row r="12" customFormat="false" ht="64.5" hidden="false" customHeight="true" outlineLevel="0" collapsed="false">
      <c r="A12" s="15" t="s">
        <v>148</v>
      </c>
      <c r="B12" s="15" t="s">
        <v>107</v>
      </c>
      <c r="C12" s="15" t="s">
        <v>108</v>
      </c>
      <c r="D12" s="15" t="s">
        <v>109</v>
      </c>
      <c r="E12" s="15" t="s">
        <v>629</v>
      </c>
      <c r="F12" s="15" t="s">
        <v>642</v>
      </c>
      <c r="G12" s="19" t="n">
        <v>79</v>
      </c>
      <c r="H12" s="15" t="s">
        <v>149</v>
      </c>
      <c r="I12" s="15" t="s">
        <v>111</v>
      </c>
      <c r="J12" s="20" t="n">
        <v>2495000</v>
      </c>
      <c r="K12" s="19" t="n">
        <v>708</v>
      </c>
      <c r="L12" s="15" t="s">
        <v>115</v>
      </c>
      <c r="M12" s="15" t="s">
        <v>637</v>
      </c>
      <c r="N12" s="15" t="s">
        <v>128</v>
      </c>
      <c r="O12" s="21"/>
      <c r="P12" s="22" t="n">
        <v>79</v>
      </c>
      <c r="Q12" s="22" t="n">
        <v>708</v>
      </c>
      <c r="R12" s="15" t="str">
        <f aca="false">IF(O12="","",IF(O12=J12,"Match","MISMATCH"))</f>
        <v/>
      </c>
      <c r="S12" s="15" t="str">
        <f aca="false">IF(P12="","",IF(P12=G12,"Match","MISMATCH"))</f>
        <v>Match</v>
      </c>
      <c r="T12" s="15" t="str">
        <f aca="false">IF(Q12="","",IF(Q12=K12,"Match","MISMATCH"))</f>
        <v>Match</v>
      </c>
      <c r="U12" s="22" t="s">
        <v>632</v>
      </c>
      <c r="V12" s="22" t="s">
        <v>633</v>
      </c>
      <c r="W12" s="15" t="s">
        <v>638</v>
      </c>
    </row>
    <row r="13" customFormat="false" ht="26.25" hidden="false" customHeight="true" outlineLevel="0" collapsed="false">
      <c r="A13" s="15" t="s">
        <v>183</v>
      </c>
      <c r="B13" s="15" t="s">
        <v>107</v>
      </c>
      <c r="C13" s="15" t="s">
        <v>108</v>
      </c>
      <c r="D13" s="15" t="s">
        <v>109</v>
      </c>
      <c r="E13" s="15" t="s">
        <v>629</v>
      </c>
      <c r="F13" s="15" t="s">
        <v>642</v>
      </c>
      <c r="G13" s="19" t="n">
        <v>79</v>
      </c>
      <c r="H13" s="15" t="s">
        <v>184</v>
      </c>
      <c r="I13" s="15" t="s">
        <v>164</v>
      </c>
      <c r="J13" s="20" t="n">
        <v>1495000</v>
      </c>
      <c r="K13" s="19" t="n">
        <v>708</v>
      </c>
      <c r="L13" s="15" t="s">
        <v>115</v>
      </c>
      <c r="M13" s="15" t="s">
        <v>634</v>
      </c>
      <c r="N13" s="15" t="s">
        <v>112</v>
      </c>
      <c r="O13" s="21" t="n">
        <v>1495000</v>
      </c>
      <c r="P13" s="22" t="n">
        <v>79</v>
      </c>
      <c r="Q13" s="22" t="n">
        <v>708</v>
      </c>
      <c r="R13" s="15" t="str">
        <f aca="false">IF(O13="","",IF(O13=J13,"Match","MISMATCH"))</f>
        <v>Match</v>
      </c>
      <c r="S13" s="15" t="str">
        <f aca="false">IF(P13="","",IF(P13=G13,"Match","MISMATCH"))</f>
        <v>Match</v>
      </c>
      <c r="T13" s="15" t="str">
        <f aca="false">IF(Q13="","",IF(Q13=K13,"Match","MISMATCH"))</f>
        <v>Match</v>
      </c>
      <c r="U13" s="22" t="s">
        <v>632</v>
      </c>
      <c r="V13" s="22" t="s">
        <v>633</v>
      </c>
      <c r="W13" s="15" t="s">
        <v>635</v>
      </c>
    </row>
    <row r="14" customFormat="false" ht="64.5" hidden="false" customHeight="true" outlineLevel="0" collapsed="false">
      <c r="A14" s="15" t="s">
        <v>143</v>
      </c>
      <c r="B14" s="15" t="s">
        <v>107</v>
      </c>
      <c r="C14" s="15" t="s">
        <v>108</v>
      </c>
      <c r="D14" s="15" t="s">
        <v>109</v>
      </c>
      <c r="E14" s="15" t="s">
        <v>629</v>
      </c>
      <c r="F14" s="15" t="s">
        <v>643</v>
      </c>
      <c r="G14" s="19" t="n">
        <v>79</v>
      </c>
      <c r="H14" s="15" t="s">
        <v>144</v>
      </c>
      <c r="I14" s="15" t="s">
        <v>111</v>
      </c>
      <c r="J14" s="20" t="n">
        <v>2445000</v>
      </c>
      <c r="K14" s="19" t="n">
        <v>708</v>
      </c>
      <c r="L14" s="15" t="s">
        <v>115</v>
      </c>
      <c r="M14" s="15" t="s">
        <v>637</v>
      </c>
      <c r="N14" s="15" t="s">
        <v>128</v>
      </c>
      <c r="O14" s="21"/>
      <c r="P14" s="22" t="n">
        <v>79</v>
      </c>
      <c r="Q14" s="22" t="n">
        <v>708</v>
      </c>
      <c r="R14" s="15" t="str">
        <f aca="false">IF(O14="","",IF(O14=J14,"Match","MISMATCH"))</f>
        <v/>
      </c>
      <c r="S14" s="15" t="str">
        <f aca="false">IF(P14="","",IF(P14=G14,"Match","MISMATCH"))</f>
        <v>Match</v>
      </c>
      <c r="T14" s="15" t="str">
        <f aca="false">IF(Q14="","",IF(Q14=K14,"Match","MISMATCH"))</f>
        <v>Match</v>
      </c>
      <c r="U14" s="22" t="s">
        <v>632</v>
      </c>
      <c r="V14" s="22" t="s">
        <v>633</v>
      </c>
      <c r="W14" s="15" t="s">
        <v>638</v>
      </c>
    </row>
    <row r="15" customFormat="false" ht="26.25" hidden="false" customHeight="true" outlineLevel="0" collapsed="false">
      <c r="A15" s="15" t="s">
        <v>176</v>
      </c>
      <c r="B15" s="15" t="s">
        <v>107</v>
      </c>
      <c r="C15" s="15" t="s">
        <v>108</v>
      </c>
      <c r="D15" s="15" t="s">
        <v>109</v>
      </c>
      <c r="E15" s="15" t="s">
        <v>629</v>
      </c>
      <c r="F15" s="15" t="s">
        <v>643</v>
      </c>
      <c r="G15" s="19" t="n">
        <v>79</v>
      </c>
      <c r="H15" s="15" t="s">
        <v>177</v>
      </c>
      <c r="I15" s="15" t="s">
        <v>164</v>
      </c>
      <c r="J15" s="20" t="n">
        <v>1445000</v>
      </c>
      <c r="K15" s="19" t="n">
        <v>708</v>
      </c>
      <c r="L15" s="15" t="s">
        <v>115</v>
      </c>
      <c r="M15" s="15" t="s">
        <v>634</v>
      </c>
      <c r="N15" s="15" t="s">
        <v>112</v>
      </c>
      <c r="O15" s="21" t="n">
        <v>1445000</v>
      </c>
      <c r="P15" s="22" t="n">
        <v>79</v>
      </c>
      <c r="Q15" s="22" t="n">
        <v>708</v>
      </c>
      <c r="R15" s="15" t="str">
        <f aca="false">IF(O15="","",IF(O15=J15,"Match","MISMATCH"))</f>
        <v>Match</v>
      </c>
      <c r="S15" s="15" t="str">
        <f aca="false">IF(P15="","",IF(P15=G15,"Match","MISMATCH"))</f>
        <v>Match</v>
      </c>
      <c r="T15" s="15" t="str">
        <f aca="false">IF(Q15="","",IF(Q15=K15,"Match","MISMATCH"))</f>
        <v>Match</v>
      </c>
      <c r="U15" s="22" t="s">
        <v>632</v>
      </c>
      <c r="V15" s="22" t="s">
        <v>633</v>
      </c>
      <c r="W15" s="15" t="s">
        <v>635</v>
      </c>
    </row>
    <row r="16" customFormat="false" ht="64.5" hidden="false" customHeight="true" outlineLevel="0" collapsed="false">
      <c r="A16" s="15" t="s">
        <v>151</v>
      </c>
      <c r="B16" s="15" t="s">
        <v>107</v>
      </c>
      <c r="C16" s="15" t="s">
        <v>108</v>
      </c>
      <c r="D16" s="15" t="s">
        <v>109</v>
      </c>
      <c r="E16" s="15" t="s">
        <v>629</v>
      </c>
      <c r="F16" s="15" t="s">
        <v>644</v>
      </c>
      <c r="G16" s="19" t="n">
        <v>79</v>
      </c>
      <c r="H16" s="15" t="s">
        <v>152</v>
      </c>
      <c r="I16" s="15" t="s">
        <v>111</v>
      </c>
      <c r="J16" s="20" t="n">
        <v>2695000</v>
      </c>
      <c r="K16" s="19" t="n">
        <v>708</v>
      </c>
      <c r="L16" s="15" t="s">
        <v>115</v>
      </c>
      <c r="M16" s="15" t="s">
        <v>637</v>
      </c>
      <c r="N16" s="15" t="s">
        <v>128</v>
      </c>
      <c r="O16" s="21"/>
      <c r="P16" s="22" t="n">
        <v>79</v>
      </c>
      <c r="Q16" s="22" t="n">
        <v>708</v>
      </c>
      <c r="R16" s="15" t="str">
        <f aca="false">IF(O16="","",IF(O16=J16,"Match","MISMATCH"))</f>
        <v/>
      </c>
      <c r="S16" s="15" t="str">
        <f aca="false">IF(P16="","",IF(P16=G16,"Match","MISMATCH"))</f>
        <v>Match</v>
      </c>
      <c r="T16" s="15" t="str">
        <f aca="false">IF(Q16="","",IF(Q16=K16,"Match","MISMATCH"))</f>
        <v>Match</v>
      </c>
      <c r="U16" s="22" t="s">
        <v>632</v>
      </c>
      <c r="V16" s="22" t="s">
        <v>633</v>
      </c>
      <c r="W16" s="15" t="s">
        <v>638</v>
      </c>
    </row>
    <row r="17" customFormat="false" ht="26.25" hidden="false" customHeight="true" outlineLevel="0" collapsed="false">
      <c r="A17" s="15" t="s">
        <v>186</v>
      </c>
      <c r="B17" s="15" t="s">
        <v>107</v>
      </c>
      <c r="C17" s="15" t="s">
        <v>108</v>
      </c>
      <c r="D17" s="15" t="s">
        <v>109</v>
      </c>
      <c r="E17" s="15" t="s">
        <v>629</v>
      </c>
      <c r="F17" s="15" t="s">
        <v>644</v>
      </c>
      <c r="G17" s="19" t="n">
        <v>79</v>
      </c>
      <c r="H17" s="15" t="s">
        <v>187</v>
      </c>
      <c r="I17" s="15" t="s">
        <v>164</v>
      </c>
      <c r="J17" s="20" t="n">
        <v>1695000</v>
      </c>
      <c r="K17" s="19" t="n">
        <v>708</v>
      </c>
      <c r="L17" s="15" t="s">
        <v>115</v>
      </c>
      <c r="M17" s="15" t="s">
        <v>634</v>
      </c>
      <c r="N17" s="15" t="s">
        <v>112</v>
      </c>
      <c r="O17" s="21" t="n">
        <v>1695000</v>
      </c>
      <c r="P17" s="22" t="n">
        <v>79</v>
      </c>
      <c r="Q17" s="22" t="n">
        <v>708</v>
      </c>
      <c r="R17" s="15" t="str">
        <f aca="false">IF(O17="","",IF(O17=J17,"Match","MISMATCH"))</f>
        <v>Match</v>
      </c>
      <c r="S17" s="15" t="str">
        <f aca="false">IF(P17="","",IF(P17=G17,"Match","MISMATCH"))</f>
        <v>Match</v>
      </c>
      <c r="T17" s="15" t="str">
        <f aca="false">IF(Q17="","",IF(Q17=K17,"Match","MISMATCH"))</f>
        <v>Match</v>
      </c>
      <c r="U17" s="22" t="s">
        <v>632</v>
      </c>
      <c r="V17" s="22" t="s">
        <v>633</v>
      </c>
      <c r="W17" s="15" t="s">
        <v>635</v>
      </c>
    </row>
    <row r="18" customFormat="false" ht="64.5" hidden="false" customHeight="true" outlineLevel="0" collapsed="false">
      <c r="A18" s="15" t="s">
        <v>155</v>
      </c>
      <c r="B18" s="15" t="s">
        <v>107</v>
      </c>
      <c r="C18" s="15" t="s">
        <v>108</v>
      </c>
      <c r="D18" s="15" t="s">
        <v>109</v>
      </c>
      <c r="E18" s="15" t="s">
        <v>629</v>
      </c>
      <c r="F18" s="15" t="s">
        <v>645</v>
      </c>
      <c r="G18" s="19" t="n">
        <v>79</v>
      </c>
      <c r="H18" s="15" t="s">
        <v>156</v>
      </c>
      <c r="I18" s="15" t="s">
        <v>111</v>
      </c>
      <c r="J18" s="20" t="n">
        <v>2695000</v>
      </c>
      <c r="K18" s="19" t="n">
        <v>708</v>
      </c>
      <c r="L18" s="15" t="s">
        <v>115</v>
      </c>
      <c r="M18" s="15" t="s">
        <v>637</v>
      </c>
      <c r="N18" s="15" t="s">
        <v>128</v>
      </c>
      <c r="O18" s="21"/>
      <c r="P18" s="22" t="n">
        <v>79</v>
      </c>
      <c r="Q18" s="22" t="n">
        <v>708</v>
      </c>
      <c r="R18" s="15" t="str">
        <f aca="false">IF(O18="","",IF(O18=J18,"Match","MISMATCH"))</f>
        <v/>
      </c>
      <c r="S18" s="15" t="str">
        <f aca="false">IF(P18="","",IF(P18=G18,"Match","MISMATCH"))</f>
        <v>Match</v>
      </c>
      <c r="T18" s="15" t="str">
        <f aca="false">IF(Q18="","",IF(Q18=K18,"Match","MISMATCH"))</f>
        <v>Match</v>
      </c>
      <c r="U18" s="22" t="s">
        <v>632</v>
      </c>
      <c r="V18" s="22" t="s">
        <v>633</v>
      </c>
      <c r="W18" s="15" t="s">
        <v>638</v>
      </c>
    </row>
    <row r="19" customFormat="false" ht="26.25" hidden="false" customHeight="true" outlineLevel="0" collapsed="false">
      <c r="A19" s="15" t="s">
        <v>189</v>
      </c>
      <c r="B19" s="15" t="s">
        <v>107</v>
      </c>
      <c r="C19" s="15" t="s">
        <v>108</v>
      </c>
      <c r="D19" s="15" t="s">
        <v>109</v>
      </c>
      <c r="E19" s="15" t="s">
        <v>629</v>
      </c>
      <c r="F19" s="15" t="s">
        <v>645</v>
      </c>
      <c r="G19" s="19" t="n">
        <v>79</v>
      </c>
      <c r="H19" s="15" t="s">
        <v>190</v>
      </c>
      <c r="I19" s="15" t="s">
        <v>164</v>
      </c>
      <c r="J19" s="20" t="n">
        <v>1695000</v>
      </c>
      <c r="K19" s="19" t="n">
        <v>708</v>
      </c>
      <c r="L19" s="15" t="s">
        <v>115</v>
      </c>
      <c r="M19" s="15" t="s">
        <v>634</v>
      </c>
      <c r="N19" s="15" t="s">
        <v>112</v>
      </c>
      <c r="O19" s="21" t="n">
        <v>1695000</v>
      </c>
      <c r="P19" s="22" t="n">
        <v>79</v>
      </c>
      <c r="Q19" s="22" t="n">
        <v>708</v>
      </c>
      <c r="R19" s="15" t="str">
        <f aca="false">IF(O19="","",IF(O19=J19,"Match","MISMATCH"))</f>
        <v>Match</v>
      </c>
      <c r="S19" s="15" t="str">
        <f aca="false">IF(P19="","",IF(P19=G19,"Match","MISMATCH"))</f>
        <v>Match</v>
      </c>
      <c r="T19" s="15" t="str">
        <f aca="false">IF(Q19="","",IF(Q19=K19,"Match","MISMATCH"))</f>
        <v>Match</v>
      </c>
      <c r="U19" s="22" t="s">
        <v>632</v>
      </c>
      <c r="V19" s="22" t="s">
        <v>633</v>
      </c>
      <c r="W19" s="15" t="s">
        <v>635</v>
      </c>
    </row>
    <row r="20" customFormat="false" ht="64.5" hidden="false" customHeight="true" outlineLevel="0" collapsed="false">
      <c r="A20" s="15" t="s">
        <v>159</v>
      </c>
      <c r="B20" s="15" t="s">
        <v>107</v>
      </c>
      <c r="C20" s="15" t="s">
        <v>108</v>
      </c>
      <c r="D20" s="15" t="s">
        <v>109</v>
      </c>
      <c r="E20" s="15" t="s">
        <v>629</v>
      </c>
      <c r="F20" s="15" t="s">
        <v>646</v>
      </c>
      <c r="G20" s="19" t="n">
        <v>79</v>
      </c>
      <c r="H20" s="15" t="s">
        <v>160</v>
      </c>
      <c r="I20" s="15" t="s">
        <v>111</v>
      </c>
      <c r="J20" s="20" t="n">
        <v>2695000</v>
      </c>
      <c r="K20" s="19" t="n">
        <v>708</v>
      </c>
      <c r="L20" s="15" t="s">
        <v>115</v>
      </c>
      <c r="M20" s="15" t="s">
        <v>637</v>
      </c>
      <c r="N20" s="15" t="s">
        <v>128</v>
      </c>
      <c r="O20" s="21"/>
      <c r="P20" s="22" t="n">
        <v>79</v>
      </c>
      <c r="Q20" s="22" t="n">
        <v>708</v>
      </c>
      <c r="R20" s="15" t="str">
        <f aca="false">IF(O20="","",IF(O20=J20,"Match","MISMATCH"))</f>
        <v/>
      </c>
      <c r="S20" s="15" t="str">
        <f aca="false">IF(P20="","",IF(P20=G20,"Match","MISMATCH"))</f>
        <v>Match</v>
      </c>
      <c r="T20" s="15" t="str">
        <f aca="false">IF(Q20="","",IF(Q20=K20,"Match","MISMATCH"))</f>
        <v>Match</v>
      </c>
      <c r="U20" s="22" t="s">
        <v>632</v>
      </c>
      <c r="V20" s="22" t="s">
        <v>633</v>
      </c>
      <c r="W20" s="15" t="s">
        <v>638</v>
      </c>
    </row>
    <row r="21" customFormat="false" ht="26.25" hidden="false" customHeight="true" outlineLevel="0" collapsed="false">
      <c r="A21" s="15" t="s">
        <v>192</v>
      </c>
      <c r="B21" s="15" t="s">
        <v>107</v>
      </c>
      <c r="C21" s="15" t="s">
        <v>108</v>
      </c>
      <c r="D21" s="15" t="s">
        <v>109</v>
      </c>
      <c r="E21" s="15" t="s">
        <v>629</v>
      </c>
      <c r="F21" s="15" t="s">
        <v>646</v>
      </c>
      <c r="G21" s="19" t="n">
        <v>79</v>
      </c>
      <c r="H21" s="15" t="s">
        <v>193</v>
      </c>
      <c r="I21" s="15" t="s">
        <v>164</v>
      </c>
      <c r="J21" s="20" t="n">
        <v>1695000</v>
      </c>
      <c r="K21" s="19" t="n">
        <v>708</v>
      </c>
      <c r="L21" s="15" t="s">
        <v>115</v>
      </c>
      <c r="M21" s="15" t="s">
        <v>634</v>
      </c>
      <c r="N21" s="15" t="s">
        <v>112</v>
      </c>
      <c r="O21" s="21" t="n">
        <v>1695000</v>
      </c>
      <c r="P21" s="22" t="n">
        <v>79</v>
      </c>
      <c r="Q21" s="22" t="n">
        <v>708</v>
      </c>
      <c r="R21" s="15" t="str">
        <f aca="false">IF(O21="","",IF(O21=J21,"Match","MISMATCH"))</f>
        <v>Match</v>
      </c>
      <c r="S21" s="15" t="str">
        <f aca="false">IF(P21="","",IF(P21=G21,"Match","MISMATCH"))</f>
        <v>Match</v>
      </c>
      <c r="T21" s="15" t="str">
        <f aca="false">IF(Q21="","",IF(Q21=K21,"Match","MISMATCH"))</f>
        <v>Match</v>
      </c>
      <c r="U21" s="22" t="s">
        <v>632</v>
      </c>
      <c r="V21" s="22" t="s">
        <v>633</v>
      </c>
      <c r="W21" s="15" t="s">
        <v>635</v>
      </c>
    </row>
    <row r="22" customFormat="false" ht="26.25" hidden="false" customHeight="true" outlineLevel="0" collapsed="false">
      <c r="A22" s="15" t="s">
        <v>254</v>
      </c>
      <c r="B22" s="15" t="s">
        <v>107</v>
      </c>
      <c r="C22" s="15" t="s">
        <v>255</v>
      </c>
      <c r="D22" s="15" t="s">
        <v>256</v>
      </c>
      <c r="E22" s="15" t="s">
        <v>629</v>
      </c>
      <c r="F22" s="15" t="s">
        <v>647</v>
      </c>
      <c r="G22" s="19" t="n">
        <v>59</v>
      </c>
      <c r="H22" s="15" t="s">
        <v>257</v>
      </c>
      <c r="I22" s="15" t="s">
        <v>111</v>
      </c>
      <c r="J22" s="20" t="n">
        <v>2190000</v>
      </c>
      <c r="K22" s="19" t="n">
        <v>522</v>
      </c>
      <c r="L22" s="15" t="s">
        <v>115</v>
      </c>
      <c r="M22" s="15" t="s">
        <v>648</v>
      </c>
      <c r="N22" s="15" t="s">
        <v>112</v>
      </c>
      <c r="O22" s="21" t="n">
        <v>2190000</v>
      </c>
      <c r="P22" s="22" t="n">
        <v>59</v>
      </c>
      <c r="Q22" s="22" t="n">
        <v>522</v>
      </c>
      <c r="R22" s="15" t="str">
        <f aca="false">IF(O22="","",IF(O22=J22,"Match","MISMATCH"))</f>
        <v>Match</v>
      </c>
      <c r="S22" s="15" t="str">
        <f aca="false">IF(P22="","",IF(P22=G22,"Match","MISMATCH"))</f>
        <v>Match</v>
      </c>
      <c r="T22" s="15" t="str">
        <f aca="false">IF(Q22="","",IF(Q22=K22,"Match","MISMATCH"))</f>
        <v>Match</v>
      </c>
      <c r="U22" s="22" t="s">
        <v>632</v>
      </c>
      <c r="V22" s="22" t="s">
        <v>633</v>
      </c>
      <c r="W22" s="15"/>
    </row>
    <row r="23" customFormat="false" ht="26.25" hidden="false" customHeight="true" outlineLevel="0" collapsed="false">
      <c r="A23" s="15" t="s">
        <v>278</v>
      </c>
      <c r="B23" s="15" t="s">
        <v>107</v>
      </c>
      <c r="C23" s="15" t="s">
        <v>255</v>
      </c>
      <c r="D23" s="15" t="s">
        <v>256</v>
      </c>
      <c r="E23" s="15" t="s">
        <v>629</v>
      </c>
      <c r="F23" s="15" t="s">
        <v>647</v>
      </c>
      <c r="G23" s="19" t="n">
        <v>59</v>
      </c>
      <c r="H23" s="15" t="s">
        <v>279</v>
      </c>
      <c r="I23" s="15" t="s">
        <v>164</v>
      </c>
      <c r="J23" s="20" t="n">
        <v>1390000</v>
      </c>
      <c r="K23" s="19" t="n">
        <v>522</v>
      </c>
      <c r="L23" s="15" t="s">
        <v>115</v>
      </c>
      <c r="M23" s="15" t="s">
        <v>649</v>
      </c>
      <c r="N23" s="15" t="s">
        <v>112</v>
      </c>
      <c r="O23" s="21" t="n">
        <v>1390000</v>
      </c>
      <c r="P23" s="22" t="n">
        <v>59</v>
      </c>
      <c r="Q23" s="22" t="n">
        <v>522</v>
      </c>
      <c r="R23" s="15" t="str">
        <f aca="false">IF(O23="","",IF(O23=J23,"Match","MISMATCH"))</f>
        <v>Match</v>
      </c>
      <c r="S23" s="15" t="str">
        <f aca="false">IF(P23="","",IF(P23=G23,"Match","MISMATCH"))</f>
        <v>Match</v>
      </c>
      <c r="T23" s="15" t="str">
        <f aca="false">IF(Q23="","",IF(Q23=K23,"Match","MISMATCH"))</f>
        <v>Match</v>
      </c>
      <c r="U23" s="22" t="s">
        <v>632</v>
      </c>
      <c r="V23" s="22" t="s">
        <v>633</v>
      </c>
      <c r="W23" s="15" t="s">
        <v>650</v>
      </c>
    </row>
    <row r="24" customFormat="false" ht="77.25" hidden="false" customHeight="true" outlineLevel="0" collapsed="false">
      <c r="A24" s="15" t="s">
        <v>261</v>
      </c>
      <c r="B24" s="15" t="s">
        <v>107</v>
      </c>
      <c r="C24" s="15" t="s">
        <v>255</v>
      </c>
      <c r="D24" s="15" t="s">
        <v>256</v>
      </c>
      <c r="E24" s="15" t="s">
        <v>629</v>
      </c>
      <c r="F24" s="15" t="s">
        <v>651</v>
      </c>
      <c r="G24" s="19" t="n">
        <v>59</v>
      </c>
      <c r="H24" s="15" t="s">
        <v>262</v>
      </c>
      <c r="I24" s="15" t="s">
        <v>111</v>
      </c>
      <c r="J24" s="20" t="n">
        <v>2490000</v>
      </c>
      <c r="K24" s="19" t="n">
        <v>522</v>
      </c>
      <c r="L24" s="15" t="s">
        <v>115</v>
      </c>
      <c r="M24" s="15" t="s">
        <v>652</v>
      </c>
      <c r="N24" s="15" t="s">
        <v>112</v>
      </c>
      <c r="O24" s="21" t="n">
        <v>2490000</v>
      </c>
      <c r="P24" s="22" t="n">
        <v>59</v>
      </c>
      <c r="Q24" s="22" t="n">
        <v>522</v>
      </c>
      <c r="R24" s="15" t="str">
        <f aca="false">IF(O24="","",IF(O24=J24,"Match","MISMATCH"))</f>
        <v>Match</v>
      </c>
      <c r="S24" s="15" t="str">
        <f aca="false">IF(P24="","",IF(P24=G24,"Match","MISMATCH"))</f>
        <v>Match</v>
      </c>
      <c r="T24" s="15" t="str">
        <f aca="false">IF(Q24="","",IF(Q24=K24,"Match","MISMATCH"))</f>
        <v>Match</v>
      </c>
      <c r="U24" s="22" t="s">
        <v>632</v>
      </c>
      <c r="V24" s="22" t="s">
        <v>633</v>
      </c>
      <c r="W24" s="15" t="s">
        <v>653</v>
      </c>
    </row>
    <row r="25" customFormat="false" ht="64.5" hidden="false" customHeight="true" outlineLevel="0" collapsed="false">
      <c r="A25" s="15" t="s">
        <v>291</v>
      </c>
      <c r="B25" s="15" t="s">
        <v>107</v>
      </c>
      <c r="C25" s="15" t="s">
        <v>255</v>
      </c>
      <c r="D25" s="15" t="s">
        <v>256</v>
      </c>
      <c r="E25" s="15" t="s">
        <v>629</v>
      </c>
      <c r="F25" s="15" t="s">
        <v>651</v>
      </c>
      <c r="G25" s="19" t="n">
        <v>59</v>
      </c>
      <c r="H25" s="15" t="s">
        <v>292</v>
      </c>
      <c r="I25" s="15" t="s">
        <v>164</v>
      </c>
      <c r="J25" s="23"/>
      <c r="K25" s="19" t="n">
        <v>522</v>
      </c>
      <c r="L25" s="15" t="s">
        <v>115</v>
      </c>
      <c r="M25" s="15" t="s">
        <v>654</v>
      </c>
      <c r="N25" s="15" t="s">
        <v>293</v>
      </c>
      <c r="O25" s="21"/>
      <c r="P25" s="22" t="n">
        <v>59</v>
      </c>
      <c r="Q25" s="22" t="n">
        <v>522</v>
      </c>
      <c r="R25" s="15" t="str">
        <f aca="false">IF(O25="","",IF(O25=J25,"Match","MISMATCH"))</f>
        <v/>
      </c>
      <c r="S25" s="15" t="str">
        <f aca="false">IF(P25="","",IF(P25=G25,"Match","MISMATCH"))</f>
        <v>Match</v>
      </c>
      <c r="T25" s="15" t="str">
        <f aca="false">IF(Q25="","",IF(Q25=K25,"Match","MISMATCH"))</f>
        <v>Match</v>
      </c>
      <c r="U25" s="22" t="s">
        <v>632</v>
      </c>
      <c r="V25" s="22" t="s">
        <v>633</v>
      </c>
      <c r="W25" s="15" t="s">
        <v>655</v>
      </c>
    </row>
    <row r="26" customFormat="false" ht="77.25" hidden="false" customHeight="true" outlineLevel="0" collapsed="false">
      <c r="A26" s="15" t="s">
        <v>264</v>
      </c>
      <c r="B26" s="15" t="s">
        <v>107</v>
      </c>
      <c r="C26" s="15" t="s">
        <v>255</v>
      </c>
      <c r="D26" s="15" t="s">
        <v>256</v>
      </c>
      <c r="E26" s="15" t="s">
        <v>629</v>
      </c>
      <c r="F26" s="15" t="s">
        <v>651</v>
      </c>
      <c r="G26" s="19" t="n">
        <v>79</v>
      </c>
      <c r="H26" s="15" t="s">
        <v>265</v>
      </c>
      <c r="I26" s="15" t="s">
        <v>111</v>
      </c>
      <c r="J26" s="20" t="n">
        <v>2650000</v>
      </c>
      <c r="K26" s="19" t="n">
        <v>656</v>
      </c>
      <c r="L26" s="15" t="s">
        <v>115</v>
      </c>
      <c r="M26" s="15" t="s">
        <v>656</v>
      </c>
      <c r="N26" s="15" t="s">
        <v>128</v>
      </c>
      <c r="O26" s="21"/>
      <c r="P26" s="22" t="n">
        <v>79</v>
      </c>
      <c r="Q26" s="22" t="n">
        <v>656</v>
      </c>
      <c r="R26" s="15" t="str">
        <f aca="false">IF(O26="","",IF(O26=J26,"Match","MISMATCH"))</f>
        <v/>
      </c>
      <c r="S26" s="15" t="str">
        <f aca="false">IF(P26="","",IF(P26=G26,"Match","MISMATCH"))</f>
        <v>Match</v>
      </c>
      <c r="T26" s="15" t="str">
        <f aca="false">IF(Q26="","",IF(Q26=K26,"Match","MISMATCH"))</f>
        <v>Match</v>
      </c>
      <c r="U26" s="22" t="s">
        <v>632</v>
      </c>
      <c r="V26" s="22" t="s">
        <v>633</v>
      </c>
      <c r="W26" s="15" t="s">
        <v>657</v>
      </c>
    </row>
    <row r="27" customFormat="false" ht="26.25" hidden="false" customHeight="true" outlineLevel="0" collapsed="false">
      <c r="A27" s="15" t="s">
        <v>282</v>
      </c>
      <c r="B27" s="15" t="s">
        <v>107</v>
      </c>
      <c r="C27" s="15" t="s">
        <v>255</v>
      </c>
      <c r="D27" s="15" t="s">
        <v>256</v>
      </c>
      <c r="E27" s="15" t="s">
        <v>629</v>
      </c>
      <c r="F27" s="15" t="s">
        <v>651</v>
      </c>
      <c r="G27" s="19" t="n">
        <v>79</v>
      </c>
      <c r="H27" s="15" t="s">
        <v>283</v>
      </c>
      <c r="I27" s="15" t="s">
        <v>164</v>
      </c>
      <c r="J27" s="20" t="n">
        <v>1650000</v>
      </c>
      <c r="K27" s="19" t="n">
        <v>656</v>
      </c>
      <c r="L27" s="15" t="s">
        <v>115</v>
      </c>
      <c r="M27" s="15" t="s">
        <v>649</v>
      </c>
      <c r="N27" s="15" t="s">
        <v>112</v>
      </c>
      <c r="O27" s="21" t="n">
        <v>1650000</v>
      </c>
      <c r="P27" s="22" t="n">
        <v>79</v>
      </c>
      <c r="Q27" s="22" t="n">
        <v>656</v>
      </c>
      <c r="R27" s="15" t="str">
        <f aca="false">IF(O27="","",IF(O27=J27,"Match","MISMATCH"))</f>
        <v>Match</v>
      </c>
      <c r="S27" s="15" t="str">
        <f aca="false">IF(P27="","",IF(P27=G27,"Match","MISMATCH"))</f>
        <v>Match</v>
      </c>
      <c r="T27" s="15" t="str">
        <f aca="false">IF(Q27="","",IF(Q27=K27,"Match","MISMATCH"))</f>
        <v>Match</v>
      </c>
      <c r="U27" s="22" t="s">
        <v>632</v>
      </c>
      <c r="V27" s="22" t="s">
        <v>633</v>
      </c>
      <c r="W27" s="15" t="s">
        <v>650</v>
      </c>
    </row>
    <row r="28" customFormat="false" ht="51.75" hidden="false" customHeight="true" outlineLevel="0" collapsed="false">
      <c r="A28" s="15" t="s">
        <v>268</v>
      </c>
      <c r="B28" s="15" t="s">
        <v>107</v>
      </c>
      <c r="C28" s="15" t="s">
        <v>255</v>
      </c>
      <c r="D28" s="15" t="s">
        <v>256</v>
      </c>
      <c r="E28" s="15" t="s">
        <v>629</v>
      </c>
      <c r="F28" s="15" t="s">
        <v>658</v>
      </c>
      <c r="G28" s="19" t="n">
        <v>59</v>
      </c>
      <c r="H28" s="15" t="s">
        <v>269</v>
      </c>
      <c r="I28" s="15" t="s">
        <v>111</v>
      </c>
      <c r="J28" s="20" t="n">
        <v>2790000</v>
      </c>
      <c r="K28" s="19" t="n">
        <v>522</v>
      </c>
      <c r="L28" s="15" t="s">
        <v>115</v>
      </c>
      <c r="M28" s="15" t="s">
        <v>652</v>
      </c>
      <c r="N28" s="15" t="s">
        <v>112</v>
      </c>
      <c r="O28" s="21" t="n">
        <v>2790000</v>
      </c>
      <c r="P28" s="22" t="n">
        <v>59</v>
      </c>
      <c r="Q28" s="22" t="n">
        <v>522</v>
      </c>
      <c r="R28" s="15" t="str">
        <f aca="false">IF(O28="","",IF(O28=J28,"Match","MISMATCH"))</f>
        <v>Match</v>
      </c>
      <c r="S28" s="15" t="str">
        <f aca="false">IF(P28="","",IF(P28=G28,"Match","MISMATCH"))</f>
        <v>Match</v>
      </c>
      <c r="T28" s="15" t="str">
        <f aca="false">IF(Q28="","",IF(Q28=K28,"Match","MISMATCH"))</f>
        <v>Match</v>
      </c>
      <c r="U28" s="22" t="s">
        <v>632</v>
      </c>
      <c r="V28" s="22" t="s">
        <v>633</v>
      </c>
      <c r="W28" s="15" t="s">
        <v>659</v>
      </c>
    </row>
    <row r="29" customFormat="false" ht="26.25" hidden="false" customHeight="true" outlineLevel="0" collapsed="false">
      <c r="A29" s="15" t="s">
        <v>296</v>
      </c>
      <c r="B29" s="15" t="s">
        <v>107</v>
      </c>
      <c r="C29" s="15" t="s">
        <v>255</v>
      </c>
      <c r="D29" s="15" t="s">
        <v>256</v>
      </c>
      <c r="E29" s="15" t="s">
        <v>629</v>
      </c>
      <c r="F29" s="15" t="s">
        <v>658</v>
      </c>
      <c r="G29" s="19" t="n">
        <v>59</v>
      </c>
      <c r="H29" s="15" t="s">
        <v>297</v>
      </c>
      <c r="I29" s="15" t="s">
        <v>164</v>
      </c>
      <c r="J29" s="23"/>
      <c r="K29" s="19" t="n">
        <v>522</v>
      </c>
      <c r="L29" s="15" t="s">
        <v>115</v>
      </c>
      <c r="M29" s="15" t="s">
        <v>654</v>
      </c>
      <c r="N29" s="15" t="s">
        <v>293</v>
      </c>
      <c r="O29" s="21"/>
      <c r="P29" s="22" t="n">
        <v>59</v>
      </c>
      <c r="Q29" s="22" t="n">
        <v>522</v>
      </c>
      <c r="R29" s="15" t="str">
        <f aca="false">IF(O29="","",IF(O29=J29,"Match","MISMATCH"))</f>
        <v/>
      </c>
      <c r="S29" s="15" t="str">
        <f aca="false">IF(P29="","",IF(P29=G29,"Match","MISMATCH"))</f>
        <v>Match</v>
      </c>
      <c r="T29" s="15" t="str">
        <f aca="false">IF(Q29="","",IF(Q29=K29,"Match","MISMATCH"))</f>
        <v>Match</v>
      </c>
      <c r="U29" s="22" t="s">
        <v>632</v>
      </c>
      <c r="V29" s="22" t="s">
        <v>633</v>
      </c>
      <c r="W29" s="15" t="s">
        <v>660</v>
      </c>
    </row>
    <row r="30" customFormat="false" ht="77.25" hidden="false" customHeight="true" outlineLevel="0" collapsed="false">
      <c r="A30" s="15" t="s">
        <v>275</v>
      </c>
      <c r="B30" s="15" t="s">
        <v>107</v>
      </c>
      <c r="C30" s="15" t="s">
        <v>255</v>
      </c>
      <c r="D30" s="15" t="s">
        <v>256</v>
      </c>
      <c r="E30" s="15" t="s">
        <v>629</v>
      </c>
      <c r="F30" s="15" t="s">
        <v>661</v>
      </c>
      <c r="G30" s="19" t="n">
        <v>79</v>
      </c>
      <c r="H30" s="15" t="s">
        <v>276</v>
      </c>
      <c r="I30" s="15" t="s">
        <v>111</v>
      </c>
      <c r="J30" s="20" t="n">
        <v>3050000</v>
      </c>
      <c r="K30" s="19" t="n">
        <v>656</v>
      </c>
      <c r="L30" s="15" t="s">
        <v>115</v>
      </c>
      <c r="M30" s="15" t="s">
        <v>652</v>
      </c>
      <c r="N30" s="15" t="s">
        <v>112</v>
      </c>
      <c r="O30" s="21" t="n">
        <v>3050000</v>
      </c>
      <c r="P30" s="22" t="n">
        <v>79</v>
      </c>
      <c r="Q30" s="22" t="n">
        <v>656</v>
      </c>
      <c r="R30" s="15" t="str">
        <f aca="false">IF(O30="","",IF(O30=J30,"Match","MISMATCH"))</f>
        <v>Match</v>
      </c>
      <c r="S30" s="15" t="str">
        <f aca="false">IF(P30="","",IF(P30=G30,"Match","MISMATCH"))</f>
        <v>Match</v>
      </c>
      <c r="T30" s="15" t="str">
        <f aca="false">IF(Q30="","",IF(Q30=K30,"Match","MISMATCH"))</f>
        <v>Match</v>
      </c>
      <c r="U30" s="22" t="s">
        <v>632</v>
      </c>
      <c r="V30" s="22" t="s">
        <v>633</v>
      </c>
      <c r="W30" s="15" t="s">
        <v>662</v>
      </c>
    </row>
    <row r="31" customFormat="false" ht="26.25" hidden="false" customHeight="true" outlineLevel="0" collapsed="false">
      <c r="A31" s="15" t="s">
        <v>289</v>
      </c>
      <c r="B31" s="15" t="s">
        <v>107</v>
      </c>
      <c r="C31" s="15" t="s">
        <v>255</v>
      </c>
      <c r="D31" s="15" t="s">
        <v>256</v>
      </c>
      <c r="E31" s="15" t="s">
        <v>629</v>
      </c>
      <c r="F31" s="15" t="s">
        <v>661</v>
      </c>
      <c r="G31" s="19" t="n">
        <v>79</v>
      </c>
      <c r="H31" s="15" t="s">
        <v>249</v>
      </c>
      <c r="I31" s="15" t="s">
        <v>164</v>
      </c>
      <c r="J31" s="20" t="n">
        <v>2050000</v>
      </c>
      <c r="K31" s="19" t="n">
        <v>656</v>
      </c>
      <c r="L31" s="15" t="s">
        <v>115</v>
      </c>
      <c r="M31" s="15" t="s">
        <v>649</v>
      </c>
      <c r="N31" s="15" t="s">
        <v>112</v>
      </c>
      <c r="O31" s="21" t="n">
        <v>2050000</v>
      </c>
      <c r="P31" s="22" t="n">
        <v>79</v>
      </c>
      <c r="Q31" s="22" t="n">
        <v>656</v>
      </c>
      <c r="R31" s="15" t="str">
        <f aca="false">IF(O31="","",IF(O31=J31,"Match","MISMATCH"))</f>
        <v>Match</v>
      </c>
      <c r="S31" s="15" t="str">
        <f aca="false">IF(P31="","",IF(P31=G31,"Match","MISMATCH"))</f>
        <v>Match</v>
      </c>
      <c r="T31" s="15" t="str">
        <f aca="false">IF(Q31="","",IF(Q31=K31,"Match","MISMATCH"))</f>
        <v>Match</v>
      </c>
      <c r="U31" s="22" t="s">
        <v>632</v>
      </c>
      <c r="V31" s="22" t="s">
        <v>633</v>
      </c>
      <c r="W31" s="15" t="s">
        <v>650</v>
      </c>
    </row>
    <row r="32" customFormat="false" ht="26.25" hidden="false" customHeight="true" outlineLevel="0" collapsed="false">
      <c r="A32" s="15" t="s">
        <v>271</v>
      </c>
      <c r="B32" s="15" t="s">
        <v>107</v>
      </c>
      <c r="C32" s="15" t="s">
        <v>255</v>
      </c>
      <c r="D32" s="15" t="s">
        <v>256</v>
      </c>
      <c r="E32" s="15" t="s">
        <v>629</v>
      </c>
      <c r="F32" s="15" t="s">
        <v>663</v>
      </c>
      <c r="G32" s="19" t="n">
        <v>79</v>
      </c>
      <c r="H32" s="15" t="s">
        <v>272</v>
      </c>
      <c r="I32" s="15" t="s">
        <v>111</v>
      </c>
      <c r="J32" s="20" t="n">
        <v>2935000</v>
      </c>
      <c r="K32" s="19" t="n">
        <v>656</v>
      </c>
      <c r="L32" s="15" t="s">
        <v>115</v>
      </c>
      <c r="M32" s="15" t="s">
        <v>664</v>
      </c>
      <c r="N32" s="15" t="s">
        <v>112</v>
      </c>
      <c r="O32" s="21" t="n">
        <v>2935000</v>
      </c>
      <c r="P32" s="22" t="n">
        <v>79</v>
      </c>
      <c r="Q32" s="22" t="n">
        <v>656</v>
      </c>
      <c r="R32" s="15" t="str">
        <f aca="false">IF(O32="","",IF(O32=J32,"Match","MISMATCH"))</f>
        <v>Match</v>
      </c>
      <c r="S32" s="15" t="str">
        <f aca="false">IF(P32="","",IF(P32=G32,"Match","MISMATCH"))</f>
        <v>Match</v>
      </c>
      <c r="T32" s="15" t="str">
        <f aca="false">IF(Q32="","",IF(Q32=K32,"Match","MISMATCH"))</f>
        <v>Match</v>
      </c>
      <c r="U32" s="22" t="s">
        <v>632</v>
      </c>
      <c r="V32" s="22" t="s">
        <v>633</v>
      </c>
      <c r="W32" s="15" t="s">
        <v>665</v>
      </c>
    </row>
    <row r="33" customFormat="false" ht="39" hidden="false" customHeight="true" outlineLevel="0" collapsed="false">
      <c r="A33" s="15" t="s">
        <v>285</v>
      </c>
      <c r="B33" s="15" t="s">
        <v>107</v>
      </c>
      <c r="C33" s="15" t="s">
        <v>255</v>
      </c>
      <c r="D33" s="15" t="s">
        <v>256</v>
      </c>
      <c r="E33" s="15" t="s">
        <v>629</v>
      </c>
      <c r="F33" s="15" t="s">
        <v>663</v>
      </c>
      <c r="G33" s="19" t="n">
        <v>79</v>
      </c>
      <c r="H33" s="15" t="s">
        <v>286</v>
      </c>
      <c r="I33" s="15" t="s">
        <v>164</v>
      </c>
      <c r="J33" s="20" t="n">
        <v>1935000</v>
      </c>
      <c r="K33" s="19" t="n">
        <v>656</v>
      </c>
      <c r="L33" s="15" t="s">
        <v>115</v>
      </c>
      <c r="M33" s="15" t="s">
        <v>649</v>
      </c>
      <c r="N33" s="15" t="s">
        <v>112</v>
      </c>
      <c r="O33" s="21" t="n">
        <v>1935000</v>
      </c>
      <c r="P33" s="22" t="n">
        <v>79</v>
      </c>
      <c r="Q33" s="22" t="n">
        <v>656</v>
      </c>
      <c r="R33" s="15" t="str">
        <f aca="false">IF(O33="","",IF(O33=J33,"Match","MISMATCH"))</f>
        <v>Match</v>
      </c>
      <c r="S33" s="15" t="str">
        <f aca="false">IF(P33="","",IF(P33=G33,"Match","MISMATCH"))</f>
        <v>Match</v>
      </c>
      <c r="T33" s="15" t="str">
        <f aca="false">IF(Q33="","",IF(Q33=K33,"Match","MISMATCH"))</f>
        <v>Match</v>
      </c>
      <c r="U33" s="22" t="s">
        <v>632</v>
      </c>
      <c r="V33" s="22" t="s">
        <v>633</v>
      </c>
      <c r="W33" s="15" t="s">
        <v>666</v>
      </c>
    </row>
    <row r="34" customFormat="false" ht="39" hidden="false" customHeight="true" outlineLevel="0" collapsed="false">
      <c r="A34" s="15" t="s">
        <v>195</v>
      </c>
      <c r="B34" s="15" t="s">
        <v>107</v>
      </c>
      <c r="C34" s="15" t="s">
        <v>196</v>
      </c>
      <c r="D34" s="15" t="s">
        <v>109</v>
      </c>
      <c r="E34" s="15" t="s">
        <v>629</v>
      </c>
      <c r="F34" s="15" t="s">
        <v>667</v>
      </c>
      <c r="G34" s="19" t="n">
        <v>59</v>
      </c>
      <c r="H34" s="15" t="s">
        <v>197</v>
      </c>
      <c r="I34" s="15" t="s">
        <v>111</v>
      </c>
      <c r="J34" s="20" t="n">
        <v>2065000</v>
      </c>
      <c r="K34" s="19" t="n">
        <v>521</v>
      </c>
      <c r="L34" s="15" t="s">
        <v>115</v>
      </c>
      <c r="M34" s="15" t="s">
        <v>668</v>
      </c>
      <c r="N34" s="15" t="s">
        <v>128</v>
      </c>
      <c r="O34" s="21"/>
      <c r="P34" s="22" t="n">
        <v>59</v>
      </c>
      <c r="Q34" s="22" t="n">
        <v>521</v>
      </c>
      <c r="R34" s="15" t="str">
        <f aca="false">IF(O34="","",IF(O34=J34,"Match","MISMATCH"))</f>
        <v/>
      </c>
      <c r="S34" s="15" t="str">
        <f aca="false">IF(P34="","",IF(P34=G34,"Match","MISMATCH"))</f>
        <v>Match</v>
      </c>
      <c r="T34" s="15" t="str">
        <f aca="false">IF(Q34="","",IF(Q34=K34,"Match","MISMATCH"))</f>
        <v>Match</v>
      </c>
      <c r="U34" s="22" t="s">
        <v>632</v>
      </c>
      <c r="V34" s="22" t="s">
        <v>633</v>
      </c>
      <c r="W34" s="15" t="s">
        <v>669</v>
      </c>
    </row>
    <row r="35" customFormat="false" ht="64.5" hidden="false" customHeight="true" outlineLevel="0" collapsed="false">
      <c r="A35" s="15" t="s">
        <v>234</v>
      </c>
      <c r="B35" s="15" t="s">
        <v>107</v>
      </c>
      <c r="C35" s="15" t="s">
        <v>196</v>
      </c>
      <c r="D35" s="15" t="s">
        <v>109</v>
      </c>
      <c r="E35" s="15" t="s">
        <v>629</v>
      </c>
      <c r="F35" s="15" t="s">
        <v>667</v>
      </c>
      <c r="G35" s="19" t="n">
        <v>59</v>
      </c>
      <c r="H35" s="15" t="s">
        <v>235</v>
      </c>
      <c r="I35" s="15" t="s">
        <v>164</v>
      </c>
      <c r="J35" s="20" t="n">
        <v>1265000</v>
      </c>
      <c r="K35" s="19" t="n">
        <v>521</v>
      </c>
      <c r="L35" s="15" t="s">
        <v>115</v>
      </c>
      <c r="M35" s="15" t="s">
        <v>670</v>
      </c>
      <c r="N35" s="15" t="s">
        <v>112</v>
      </c>
      <c r="O35" s="21" t="n">
        <v>1265000</v>
      </c>
      <c r="P35" s="22" t="n">
        <v>59</v>
      </c>
      <c r="Q35" s="22" t="n">
        <v>521</v>
      </c>
      <c r="R35" s="15" t="str">
        <f aca="false">IF(O35="","",IF(O35=J35,"Match","MISMATCH"))</f>
        <v>Match</v>
      </c>
      <c r="S35" s="15" t="str">
        <f aca="false">IF(P35="","",IF(P35=G35,"Match","MISMATCH"))</f>
        <v>Match</v>
      </c>
      <c r="T35" s="15" t="str">
        <f aca="false">IF(Q35="","",IF(Q35=K35,"Match","MISMATCH"))</f>
        <v>Match</v>
      </c>
      <c r="U35" s="22" t="s">
        <v>632</v>
      </c>
      <c r="V35" s="22" t="s">
        <v>633</v>
      </c>
      <c r="W35" s="15" t="s">
        <v>671</v>
      </c>
    </row>
    <row r="36" customFormat="false" ht="64.5" hidden="false" customHeight="true" outlineLevel="0" collapsed="false">
      <c r="A36" s="15" t="s">
        <v>204</v>
      </c>
      <c r="B36" s="15" t="s">
        <v>107</v>
      </c>
      <c r="C36" s="15" t="s">
        <v>196</v>
      </c>
      <c r="D36" s="15" t="s">
        <v>109</v>
      </c>
      <c r="E36" s="15" t="s">
        <v>629</v>
      </c>
      <c r="F36" s="15" t="s">
        <v>667</v>
      </c>
      <c r="G36" s="19" t="n">
        <v>79</v>
      </c>
      <c r="H36" s="15" t="s">
        <v>205</v>
      </c>
      <c r="I36" s="15" t="s">
        <v>111</v>
      </c>
      <c r="J36" s="20" t="n">
        <v>2265000</v>
      </c>
      <c r="K36" s="19" t="n">
        <v>679</v>
      </c>
      <c r="L36" s="15" t="s">
        <v>115</v>
      </c>
      <c r="M36" s="15" t="s">
        <v>672</v>
      </c>
      <c r="N36" s="15" t="s">
        <v>128</v>
      </c>
      <c r="O36" s="21"/>
      <c r="P36" s="22" t="n">
        <v>79</v>
      </c>
      <c r="Q36" s="22" t="n">
        <v>679</v>
      </c>
      <c r="R36" s="15" t="str">
        <f aca="false">IF(O36="","",IF(O36=J36,"Match","MISMATCH"))</f>
        <v/>
      </c>
      <c r="S36" s="15" t="str">
        <f aca="false">IF(P36="","",IF(P36=G36,"Match","MISMATCH"))</f>
        <v>Match</v>
      </c>
      <c r="T36" s="15" t="str">
        <f aca="false">IF(Q36="","",IF(Q36=K36,"Match","MISMATCH"))</f>
        <v>Match</v>
      </c>
      <c r="U36" s="22" t="s">
        <v>632</v>
      </c>
      <c r="V36" s="22" t="s">
        <v>633</v>
      </c>
      <c r="W36" s="15" t="s">
        <v>673</v>
      </c>
    </row>
    <row r="37" customFormat="false" ht="39" hidden="false" customHeight="true" outlineLevel="0" collapsed="false">
      <c r="A37" s="15" t="s">
        <v>238</v>
      </c>
      <c r="B37" s="15" t="s">
        <v>107</v>
      </c>
      <c r="C37" s="15" t="s">
        <v>196</v>
      </c>
      <c r="D37" s="15" t="s">
        <v>109</v>
      </c>
      <c r="E37" s="15" t="s">
        <v>629</v>
      </c>
      <c r="F37" s="15" t="s">
        <v>667</v>
      </c>
      <c r="G37" s="19" t="n">
        <v>79</v>
      </c>
      <c r="H37" s="15" t="s">
        <v>239</v>
      </c>
      <c r="I37" s="15" t="s">
        <v>164</v>
      </c>
      <c r="J37" s="20" t="n">
        <v>1265000</v>
      </c>
      <c r="K37" s="19" t="n">
        <v>679</v>
      </c>
      <c r="L37" s="15" t="s">
        <v>115</v>
      </c>
      <c r="M37" s="15" t="s">
        <v>670</v>
      </c>
      <c r="N37" s="15" t="s">
        <v>112</v>
      </c>
      <c r="O37" s="21" t="n">
        <v>1265000</v>
      </c>
      <c r="P37" s="22" t="n">
        <v>79</v>
      </c>
      <c r="Q37" s="22" t="n">
        <v>679</v>
      </c>
      <c r="R37" s="15" t="str">
        <f aca="false">IF(O37="","",IF(O37=J37,"Match","MISMATCH"))</f>
        <v>Match</v>
      </c>
      <c r="S37" s="15" t="str">
        <f aca="false">IF(P37="","",IF(P37=G37,"Match","MISMATCH"))</f>
        <v>Match</v>
      </c>
      <c r="T37" s="15" t="str">
        <f aca="false">IF(Q37="","",IF(Q37=K37,"Match","MISMATCH"))</f>
        <v>Match</v>
      </c>
      <c r="U37" s="22" t="s">
        <v>632</v>
      </c>
      <c r="V37" s="22" t="s">
        <v>633</v>
      </c>
      <c r="W37" s="15" t="s">
        <v>674</v>
      </c>
    </row>
    <row r="38" customFormat="false" ht="64.5" hidden="false" customHeight="true" outlineLevel="0" collapsed="false">
      <c r="A38" s="15" t="s">
        <v>207</v>
      </c>
      <c r="B38" s="15" t="s">
        <v>107</v>
      </c>
      <c r="C38" s="15" t="s">
        <v>196</v>
      </c>
      <c r="D38" s="15" t="s">
        <v>109</v>
      </c>
      <c r="E38" s="15" t="s">
        <v>629</v>
      </c>
      <c r="F38" s="15" t="s">
        <v>675</v>
      </c>
      <c r="G38" s="19" t="n">
        <v>70</v>
      </c>
      <c r="H38" s="15" t="s">
        <v>208</v>
      </c>
      <c r="I38" s="15" t="s">
        <v>111</v>
      </c>
      <c r="J38" s="20" t="n">
        <v>2505000</v>
      </c>
      <c r="K38" s="19" t="n">
        <v>600</v>
      </c>
      <c r="L38" s="15" t="s">
        <v>115</v>
      </c>
      <c r="M38" s="15" t="s">
        <v>672</v>
      </c>
      <c r="N38" s="15" t="s">
        <v>128</v>
      </c>
      <c r="O38" s="21"/>
      <c r="P38" s="22" t="n">
        <v>70</v>
      </c>
      <c r="Q38" s="22" t="n">
        <v>600</v>
      </c>
      <c r="R38" s="15" t="str">
        <f aca="false">IF(O38="","",IF(O38=J38,"Match","MISMATCH"))</f>
        <v/>
      </c>
      <c r="S38" s="15" t="str">
        <f aca="false">IF(P38="","",IF(P38=G38,"Match","MISMATCH"))</f>
        <v>Match</v>
      </c>
      <c r="T38" s="15" t="str">
        <f aca="false">IF(Q38="","",IF(Q38=K38,"Match","MISMATCH"))</f>
        <v>Match</v>
      </c>
      <c r="U38" s="22" t="s">
        <v>632</v>
      </c>
      <c r="V38" s="22" t="s">
        <v>633</v>
      </c>
      <c r="W38" s="15" t="s">
        <v>676</v>
      </c>
    </row>
    <row r="39" customFormat="false" ht="39" hidden="false" customHeight="true" outlineLevel="0" collapsed="false">
      <c r="A39" s="15" t="s">
        <v>245</v>
      </c>
      <c r="B39" s="15" t="s">
        <v>107</v>
      </c>
      <c r="C39" s="15" t="s">
        <v>196</v>
      </c>
      <c r="D39" s="15" t="s">
        <v>109</v>
      </c>
      <c r="E39" s="15" t="s">
        <v>629</v>
      </c>
      <c r="F39" s="15" t="s">
        <v>675</v>
      </c>
      <c r="G39" s="19" t="n">
        <v>70</v>
      </c>
      <c r="H39" s="15" t="s">
        <v>246</v>
      </c>
      <c r="I39" s="15" t="s">
        <v>164</v>
      </c>
      <c r="J39" s="20" t="n">
        <v>1605000</v>
      </c>
      <c r="K39" s="19" t="n">
        <v>600</v>
      </c>
      <c r="L39" s="15" t="s">
        <v>115</v>
      </c>
      <c r="M39" s="15" t="s">
        <v>670</v>
      </c>
      <c r="N39" s="15" t="s">
        <v>112</v>
      </c>
      <c r="O39" s="21" t="n">
        <v>1605000</v>
      </c>
      <c r="P39" s="22" t="n">
        <v>70</v>
      </c>
      <c r="Q39" s="22" t="n">
        <v>600</v>
      </c>
      <c r="R39" s="15" t="str">
        <f aca="false">IF(O39="","",IF(O39=J39,"Match","MISMATCH"))</f>
        <v>Match</v>
      </c>
      <c r="S39" s="15" t="str">
        <f aca="false">IF(P39="","",IF(P39=G39,"Match","MISMATCH"))</f>
        <v>Match</v>
      </c>
      <c r="T39" s="15" t="str">
        <f aca="false">IF(Q39="","",IF(Q39=K39,"Match","MISMATCH"))</f>
        <v>Match</v>
      </c>
      <c r="U39" s="22" t="s">
        <v>632</v>
      </c>
      <c r="V39" s="22" t="s">
        <v>633</v>
      </c>
      <c r="W39" s="15" t="s">
        <v>677</v>
      </c>
    </row>
    <row r="40" customFormat="false" ht="64.5" hidden="false" customHeight="true" outlineLevel="0" collapsed="false">
      <c r="A40" s="15" t="s">
        <v>215</v>
      </c>
      <c r="B40" s="15" t="s">
        <v>107</v>
      </c>
      <c r="C40" s="15" t="s">
        <v>196</v>
      </c>
      <c r="D40" s="15" t="s">
        <v>109</v>
      </c>
      <c r="E40" s="15" t="s">
        <v>629</v>
      </c>
      <c r="F40" s="15" t="s">
        <v>675</v>
      </c>
      <c r="G40" s="19" t="n">
        <v>79</v>
      </c>
      <c r="H40" s="15" t="s">
        <v>216</v>
      </c>
      <c r="I40" s="15" t="s">
        <v>111</v>
      </c>
      <c r="J40" s="20" t="n">
        <v>2595000</v>
      </c>
      <c r="K40" s="19" t="n">
        <v>679</v>
      </c>
      <c r="L40" s="15" t="s">
        <v>115</v>
      </c>
      <c r="M40" s="15" t="s">
        <v>672</v>
      </c>
      <c r="N40" s="15" t="s">
        <v>128</v>
      </c>
      <c r="O40" s="21"/>
      <c r="P40" s="22" t="n">
        <v>79</v>
      </c>
      <c r="Q40" s="22" t="n">
        <v>679</v>
      </c>
      <c r="R40" s="15" t="str">
        <f aca="false">IF(O40="","",IF(O40=J40,"Match","MISMATCH"))</f>
        <v/>
      </c>
      <c r="S40" s="15" t="str">
        <f aca="false">IF(P40="","",IF(P40=G40,"Match","MISMATCH"))</f>
        <v>Match</v>
      </c>
      <c r="T40" s="15" t="str">
        <f aca="false">IF(Q40="","",IF(Q40=K40,"Match","MISMATCH"))</f>
        <v>Match</v>
      </c>
      <c r="U40" s="22" t="s">
        <v>632</v>
      </c>
      <c r="V40" s="22" t="s">
        <v>633</v>
      </c>
      <c r="W40" s="15" t="s">
        <v>676</v>
      </c>
    </row>
    <row r="41" customFormat="false" ht="39" hidden="false" customHeight="true" outlineLevel="0" collapsed="false">
      <c r="A41" s="15" t="s">
        <v>241</v>
      </c>
      <c r="B41" s="15" t="s">
        <v>107</v>
      </c>
      <c r="C41" s="15" t="s">
        <v>196</v>
      </c>
      <c r="D41" s="15" t="s">
        <v>109</v>
      </c>
      <c r="E41" s="15" t="s">
        <v>629</v>
      </c>
      <c r="F41" s="15" t="s">
        <v>675</v>
      </c>
      <c r="G41" s="19" t="n">
        <v>79</v>
      </c>
      <c r="H41" s="15" t="s">
        <v>242</v>
      </c>
      <c r="I41" s="15" t="s">
        <v>164</v>
      </c>
      <c r="J41" s="20" t="n">
        <v>1595000</v>
      </c>
      <c r="K41" s="19" t="n">
        <v>679</v>
      </c>
      <c r="L41" s="15" t="s">
        <v>115</v>
      </c>
      <c r="M41" s="15" t="s">
        <v>670</v>
      </c>
      <c r="N41" s="15" t="s">
        <v>112</v>
      </c>
      <c r="O41" s="21" t="n">
        <v>1595000</v>
      </c>
      <c r="P41" s="22" t="n">
        <v>79</v>
      </c>
      <c r="Q41" s="22" t="n">
        <v>679</v>
      </c>
      <c r="R41" s="15" t="str">
        <f aca="false">IF(O41="","",IF(O41=J41,"Match","MISMATCH"))</f>
        <v>Match</v>
      </c>
      <c r="S41" s="15" t="str">
        <f aca="false">IF(P41="","",IF(P41=G41,"Match","MISMATCH"))</f>
        <v>Match</v>
      </c>
      <c r="T41" s="15" t="str">
        <f aca="false">IF(Q41="","",IF(Q41=K41,"Match","MISMATCH"))</f>
        <v>Match</v>
      </c>
      <c r="U41" s="22" t="s">
        <v>632</v>
      </c>
      <c r="V41" s="22" t="s">
        <v>633</v>
      </c>
      <c r="W41" s="15" t="s">
        <v>677</v>
      </c>
    </row>
    <row r="42" customFormat="false" ht="64.5" hidden="false" customHeight="true" outlineLevel="0" collapsed="false">
      <c r="A42" s="15" t="s">
        <v>221</v>
      </c>
      <c r="B42" s="15" t="s">
        <v>107</v>
      </c>
      <c r="C42" s="15" t="s">
        <v>196</v>
      </c>
      <c r="D42" s="15" t="s">
        <v>109</v>
      </c>
      <c r="E42" s="15" t="s">
        <v>629</v>
      </c>
      <c r="F42" s="15" t="s">
        <v>661</v>
      </c>
      <c r="G42" s="19" t="n">
        <v>79</v>
      </c>
      <c r="H42" s="15" t="s">
        <v>222</v>
      </c>
      <c r="I42" s="15" t="s">
        <v>111</v>
      </c>
      <c r="J42" s="20" t="n">
        <v>2785000</v>
      </c>
      <c r="K42" s="19" t="n">
        <v>679</v>
      </c>
      <c r="L42" s="15" t="s">
        <v>115</v>
      </c>
      <c r="M42" s="15" t="s">
        <v>672</v>
      </c>
      <c r="N42" s="15" t="s">
        <v>128</v>
      </c>
      <c r="O42" s="21"/>
      <c r="P42" s="22" t="n">
        <v>79</v>
      </c>
      <c r="Q42" s="22" t="n">
        <v>679</v>
      </c>
      <c r="R42" s="15" t="str">
        <f aca="false">IF(O42="","",IF(O42=J42,"Match","MISMATCH"))</f>
        <v/>
      </c>
      <c r="S42" s="15" t="str">
        <f aca="false">IF(P42="","",IF(P42=G42,"Match","MISMATCH"))</f>
        <v>Match</v>
      </c>
      <c r="T42" s="15" t="str">
        <f aca="false">IF(Q42="","",IF(Q42=K42,"Match","MISMATCH"))</f>
        <v>Match</v>
      </c>
      <c r="U42" s="22" t="s">
        <v>632</v>
      </c>
      <c r="V42" s="22" t="s">
        <v>633</v>
      </c>
      <c r="W42" s="15" t="s">
        <v>676</v>
      </c>
    </row>
    <row r="43" customFormat="false" ht="39" hidden="false" customHeight="true" outlineLevel="0" collapsed="false">
      <c r="A43" s="15" t="s">
        <v>248</v>
      </c>
      <c r="B43" s="15" t="s">
        <v>107</v>
      </c>
      <c r="C43" s="15" t="s">
        <v>196</v>
      </c>
      <c r="D43" s="15" t="s">
        <v>109</v>
      </c>
      <c r="E43" s="15" t="s">
        <v>629</v>
      </c>
      <c r="F43" s="15" t="s">
        <v>661</v>
      </c>
      <c r="G43" s="19" t="n">
        <v>79</v>
      </c>
      <c r="H43" s="15" t="s">
        <v>249</v>
      </c>
      <c r="I43" s="15" t="s">
        <v>164</v>
      </c>
      <c r="J43" s="20" t="n">
        <v>1785000</v>
      </c>
      <c r="K43" s="19" t="n">
        <v>679</v>
      </c>
      <c r="L43" s="15" t="s">
        <v>115</v>
      </c>
      <c r="M43" s="15" t="s">
        <v>670</v>
      </c>
      <c r="N43" s="15" t="s">
        <v>112</v>
      </c>
      <c r="O43" s="21" t="n">
        <v>1785000</v>
      </c>
      <c r="P43" s="22" t="n">
        <v>79</v>
      </c>
      <c r="Q43" s="22" t="n">
        <v>679</v>
      </c>
      <c r="R43" s="15" t="str">
        <f aca="false">IF(O43="","",IF(O43=J43,"Match","MISMATCH"))</f>
        <v>Match</v>
      </c>
      <c r="S43" s="15" t="str">
        <f aca="false">IF(P43="","",IF(P43=G43,"Match","MISMATCH"))</f>
        <v>Match</v>
      </c>
      <c r="T43" s="15" t="str">
        <f aca="false">IF(Q43="","",IF(Q43=K43,"Match","MISMATCH"))</f>
        <v>Match</v>
      </c>
      <c r="U43" s="22" t="s">
        <v>632</v>
      </c>
      <c r="V43" s="22" t="s">
        <v>633</v>
      </c>
      <c r="W43" s="15" t="s">
        <v>678</v>
      </c>
    </row>
    <row r="44" customFormat="false" ht="64.5" hidden="false" customHeight="true" outlineLevel="0" collapsed="false">
      <c r="A44" s="15" t="s">
        <v>230</v>
      </c>
      <c r="B44" s="15" t="s">
        <v>107</v>
      </c>
      <c r="C44" s="15" t="s">
        <v>196</v>
      </c>
      <c r="D44" s="15" t="s">
        <v>109</v>
      </c>
      <c r="E44" s="15" t="s">
        <v>629</v>
      </c>
      <c r="F44" s="15" t="s">
        <v>679</v>
      </c>
      <c r="G44" s="19" t="n">
        <v>79</v>
      </c>
      <c r="H44" s="15" t="s">
        <v>231</v>
      </c>
      <c r="I44" s="15" t="s">
        <v>111</v>
      </c>
      <c r="J44" s="20" t="n">
        <v>3015000</v>
      </c>
      <c r="K44" s="19" t="n">
        <v>679</v>
      </c>
      <c r="L44" s="15" t="s">
        <v>115</v>
      </c>
      <c r="M44" s="15" t="s">
        <v>680</v>
      </c>
      <c r="N44" s="15" t="s">
        <v>112</v>
      </c>
      <c r="O44" s="21"/>
      <c r="P44" s="22" t="n">
        <v>79</v>
      </c>
      <c r="Q44" s="22" t="n">
        <v>679</v>
      </c>
      <c r="R44" s="15" t="str">
        <f aca="false">IF(O44="","",IF(O44=J44,"Match","MISMATCH"))</f>
        <v/>
      </c>
      <c r="S44" s="15" t="str">
        <f aca="false">IF(P44="","",IF(P44=G44,"Match","MISMATCH"))</f>
        <v>Match</v>
      </c>
      <c r="T44" s="15" t="str">
        <f aca="false">IF(Q44="","",IF(Q44=K44,"Match","MISMATCH"))</f>
        <v>Match</v>
      </c>
      <c r="U44" s="22" t="s">
        <v>632</v>
      </c>
      <c r="V44" s="22" t="s">
        <v>633</v>
      </c>
      <c r="W44" s="15" t="s">
        <v>681</v>
      </c>
    </row>
    <row r="45" customFormat="false" ht="39" hidden="false" customHeight="true" outlineLevel="0" collapsed="false">
      <c r="A45" s="15" t="s">
        <v>251</v>
      </c>
      <c r="B45" s="15" t="s">
        <v>107</v>
      </c>
      <c r="C45" s="15" t="s">
        <v>196</v>
      </c>
      <c r="D45" s="15" t="s">
        <v>109</v>
      </c>
      <c r="E45" s="15" t="s">
        <v>629</v>
      </c>
      <c r="F45" s="15" t="s">
        <v>679</v>
      </c>
      <c r="G45" s="19" t="n">
        <v>79</v>
      </c>
      <c r="H45" s="15" t="s">
        <v>252</v>
      </c>
      <c r="I45" s="15" t="s">
        <v>164</v>
      </c>
      <c r="J45" s="20" t="n">
        <v>1995000</v>
      </c>
      <c r="K45" s="19" t="n">
        <v>679</v>
      </c>
      <c r="L45" s="15" t="s">
        <v>115</v>
      </c>
      <c r="M45" s="15" t="s">
        <v>670</v>
      </c>
      <c r="N45" s="15" t="s">
        <v>112</v>
      </c>
      <c r="O45" s="21" t="n">
        <v>1995000</v>
      </c>
      <c r="P45" s="22" t="n">
        <v>79</v>
      </c>
      <c r="Q45" s="22" t="n">
        <v>679</v>
      </c>
      <c r="R45" s="15" t="str">
        <f aca="false">IF(O45="","",IF(O45=J45,"Match","MISMATCH"))</f>
        <v>Match</v>
      </c>
      <c r="S45" s="15" t="str">
        <f aca="false">IF(P45="","",IF(P45=G45,"Match","MISMATCH"))</f>
        <v>Match</v>
      </c>
      <c r="T45" s="15" t="str">
        <f aca="false">IF(Q45="","",IF(Q45=K45,"Match","MISMATCH"))</f>
        <v>Match</v>
      </c>
      <c r="U45" s="22" t="s">
        <v>632</v>
      </c>
      <c r="V45" s="22" t="s">
        <v>633</v>
      </c>
      <c r="W45" s="15" t="s">
        <v>678</v>
      </c>
    </row>
    <row r="46" customFormat="false" ht="26.25" hidden="false" customHeight="true" outlineLevel="0" collapsed="false">
      <c r="A46" s="15" t="s">
        <v>299</v>
      </c>
      <c r="B46" s="15" t="s">
        <v>107</v>
      </c>
      <c r="C46" s="15" t="s">
        <v>300</v>
      </c>
      <c r="D46" s="15" t="s">
        <v>109</v>
      </c>
      <c r="E46" s="15" t="s">
        <v>629</v>
      </c>
      <c r="F46" s="15" t="s">
        <v>682</v>
      </c>
      <c r="G46" s="19" t="n">
        <v>39.4</v>
      </c>
      <c r="H46" s="15" t="s">
        <v>301</v>
      </c>
      <c r="I46" s="15" t="s">
        <v>111</v>
      </c>
      <c r="J46" s="20" t="n">
        <v>1389000</v>
      </c>
      <c r="K46" s="19" t="n">
        <v>351</v>
      </c>
      <c r="L46" s="15" t="s">
        <v>115</v>
      </c>
      <c r="M46" s="15" t="s">
        <v>683</v>
      </c>
      <c r="N46" s="15" t="s">
        <v>112</v>
      </c>
      <c r="O46" s="21" t="n">
        <v>1389000</v>
      </c>
      <c r="P46" s="22" t="n">
        <v>39.4</v>
      </c>
      <c r="Q46" s="22" t="n">
        <v>351</v>
      </c>
      <c r="R46" s="15" t="str">
        <f aca="false">IF(O46="","",IF(O46=J46,"Match","MISMATCH"))</f>
        <v>Match</v>
      </c>
      <c r="S46" s="15" t="str">
        <f aca="false">IF(P46="","",IF(P46=G46,"Match","MISMATCH"))</f>
        <v>Match</v>
      </c>
      <c r="T46" s="15" t="str">
        <f aca="false">IF(Q46="","",IF(Q46=K46,"Match","MISMATCH"))</f>
        <v>Match</v>
      </c>
      <c r="U46" s="22" t="s">
        <v>632</v>
      </c>
      <c r="V46" s="22" t="s">
        <v>633</v>
      </c>
      <c r="W46" s="15" t="s">
        <v>684</v>
      </c>
    </row>
    <row r="47" customFormat="false" ht="51.75" hidden="false" customHeight="true" outlineLevel="0" collapsed="false">
      <c r="A47" s="15" t="s">
        <v>307</v>
      </c>
      <c r="B47" s="15" t="s">
        <v>107</v>
      </c>
      <c r="C47" s="15" t="s">
        <v>300</v>
      </c>
      <c r="D47" s="15" t="s">
        <v>109</v>
      </c>
      <c r="E47" s="15" t="s">
        <v>629</v>
      </c>
      <c r="F47" s="15" t="s">
        <v>685</v>
      </c>
      <c r="G47" s="19" t="n">
        <v>39.4</v>
      </c>
      <c r="H47" s="15" t="s">
        <v>308</v>
      </c>
      <c r="I47" s="15" t="s">
        <v>111</v>
      </c>
      <c r="J47" s="20" t="n">
        <v>1496000</v>
      </c>
      <c r="K47" s="19" t="n">
        <v>351</v>
      </c>
      <c r="L47" s="15" t="s">
        <v>115</v>
      </c>
      <c r="M47" s="15" t="s">
        <v>686</v>
      </c>
      <c r="N47" s="15" t="s">
        <v>128</v>
      </c>
      <c r="O47" s="21"/>
      <c r="P47" s="22" t="n">
        <v>39.4</v>
      </c>
      <c r="Q47" s="22" t="n">
        <v>351</v>
      </c>
      <c r="R47" s="15" t="str">
        <f aca="false">IF(O47="","",IF(O47=J47,"Match","MISMATCH"))</f>
        <v/>
      </c>
      <c r="S47" s="15" t="str">
        <f aca="false">IF(P47="","",IF(P47=G47,"Match","MISMATCH"))</f>
        <v>Match</v>
      </c>
      <c r="T47" s="15" t="str">
        <f aca="false">IF(Q47="","",IF(Q47=K47,"Match","MISMATCH"))</f>
        <v>Match</v>
      </c>
      <c r="U47" s="22" t="s">
        <v>632</v>
      </c>
      <c r="V47" s="22" t="s">
        <v>633</v>
      </c>
      <c r="W47" s="15" t="s">
        <v>687</v>
      </c>
    </row>
    <row r="48" customFormat="false" ht="26.25" hidden="false" customHeight="true" outlineLevel="0" collapsed="false">
      <c r="A48" s="15" t="s">
        <v>352</v>
      </c>
      <c r="B48" s="15" t="s">
        <v>312</v>
      </c>
      <c r="C48" s="15" t="s">
        <v>353</v>
      </c>
      <c r="D48" s="15" t="s">
        <v>109</v>
      </c>
      <c r="E48" s="15" t="s">
        <v>629</v>
      </c>
      <c r="F48" s="15" t="s">
        <v>354</v>
      </c>
      <c r="G48" s="19" t="n">
        <v>30</v>
      </c>
      <c r="H48" s="15" t="s">
        <v>354</v>
      </c>
      <c r="I48" s="15" t="s">
        <v>111</v>
      </c>
      <c r="J48" s="20" t="n">
        <v>1249000</v>
      </c>
      <c r="K48" s="19" t="n">
        <v>275</v>
      </c>
      <c r="L48" s="15" t="s">
        <v>115</v>
      </c>
      <c r="M48" s="15" t="s">
        <v>688</v>
      </c>
      <c r="N48" s="15" t="s">
        <v>112</v>
      </c>
      <c r="O48" s="21" t="n">
        <v>1249000</v>
      </c>
      <c r="P48" s="22" t="n">
        <v>30</v>
      </c>
      <c r="Q48" s="22" t="n">
        <v>275</v>
      </c>
      <c r="R48" s="15" t="str">
        <f aca="false">IF(O48="","",IF(O48=J48,"Match","MISMATCH"))</f>
        <v>Match</v>
      </c>
      <c r="S48" s="15" t="str">
        <f aca="false">IF(P48="","",IF(P48=G48,"Match","MISMATCH"))</f>
        <v>Match</v>
      </c>
      <c r="T48" s="15" t="str">
        <f aca="false">IF(Q48="","",IF(Q48=K48,"Match","MISMATCH"))</f>
        <v>Match</v>
      </c>
      <c r="U48" s="22" t="s">
        <v>632</v>
      </c>
      <c r="V48" s="22" t="s">
        <v>689</v>
      </c>
      <c r="W48" s="15"/>
    </row>
    <row r="49" customFormat="false" ht="26.25" hidden="false" customHeight="true" outlineLevel="0" collapsed="false">
      <c r="A49" s="15" t="s">
        <v>359</v>
      </c>
      <c r="B49" s="15" t="s">
        <v>312</v>
      </c>
      <c r="C49" s="15" t="s">
        <v>353</v>
      </c>
      <c r="D49" s="15" t="s">
        <v>109</v>
      </c>
      <c r="E49" s="15" t="s">
        <v>629</v>
      </c>
      <c r="F49" s="15" t="s">
        <v>360</v>
      </c>
      <c r="G49" s="19" t="n">
        <v>30</v>
      </c>
      <c r="H49" s="15" t="s">
        <v>360</v>
      </c>
      <c r="I49" s="15" t="s">
        <v>111</v>
      </c>
      <c r="J49" s="20" t="n">
        <v>1329000</v>
      </c>
      <c r="K49" s="19" t="n">
        <v>275</v>
      </c>
      <c r="L49" s="15" t="s">
        <v>115</v>
      </c>
      <c r="M49" s="15" t="s">
        <v>688</v>
      </c>
      <c r="N49" s="15" t="s">
        <v>112</v>
      </c>
      <c r="O49" s="21" t="n">
        <v>1329000</v>
      </c>
      <c r="P49" s="22" t="n">
        <v>30</v>
      </c>
      <c r="Q49" s="22" t="n">
        <v>275</v>
      </c>
      <c r="R49" s="15" t="str">
        <f aca="false">IF(O49="","",IF(O49=J49,"Match","MISMATCH"))</f>
        <v>Match</v>
      </c>
      <c r="S49" s="15" t="str">
        <f aca="false">IF(P49="","",IF(P49=G49,"Match","MISMATCH"))</f>
        <v>Match</v>
      </c>
      <c r="T49" s="15" t="str">
        <f aca="false">IF(Q49="","",IF(Q49=K49,"Match","MISMATCH"))</f>
        <v>Match</v>
      </c>
      <c r="U49" s="22" t="s">
        <v>632</v>
      </c>
      <c r="V49" s="22" t="s">
        <v>689</v>
      </c>
      <c r="W49" s="15"/>
    </row>
    <row r="50" customFormat="false" ht="26.25" hidden="false" customHeight="true" outlineLevel="0" collapsed="false">
      <c r="A50" s="15" t="s">
        <v>362</v>
      </c>
      <c r="B50" s="15" t="s">
        <v>312</v>
      </c>
      <c r="C50" s="15" t="s">
        <v>353</v>
      </c>
      <c r="D50" s="15" t="s">
        <v>109</v>
      </c>
      <c r="E50" s="15" t="s">
        <v>629</v>
      </c>
      <c r="F50" s="15" t="s">
        <v>363</v>
      </c>
      <c r="G50" s="19" t="n">
        <v>45</v>
      </c>
      <c r="H50" s="15" t="s">
        <v>363</v>
      </c>
      <c r="I50" s="15" t="s">
        <v>111</v>
      </c>
      <c r="J50" s="20" t="n">
        <v>1434000</v>
      </c>
      <c r="K50" s="19" t="n">
        <v>489</v>
      </c>
      <c r="L50" s="15" t="s">
        <v>115</v>
      </c>
      <c r="M50" s="15" t="s">
        <v>688</v>
      </c>
      <c r="N50" s="15" t="s">
        <v>112</v>
      </c>
      <c r="O50" s="21" t="n">
        <v>1434000</v>
      </c>
      <c r="P50" s="22" t="n">
        <v>45</v>
      </c>
      <c r="Q50" s="22" t="n">
        <v>489</v>
      </c>
      <c r="R50" s="15" t="str">
        <f aca="false">IF(O50="","",IF(O50=J50,"Match","MISMATCH"))</f>
        <v>Match</v>
      </c>
      <c r="S50" s="15" t="str">
        <f aca="false">IF(P50="","",IF(P50=G50,"Match","MISMATCH"))</f>
        <v>Match</v>
      </c>
      <c r="T50" s="15" t="str">
        <f aca="false">IF(Q50="","",IF(Q50=K50,"Match","MISMATCH"))</f>
        <v>Match</v>
      </c>
      <c r="U50" s="22" t="s">
        <v>632</v>
      </c>
      <c r="V50" s="22" t="s">
        <v>689</v>
      </c>
      <c r="W50" s="15"/>
    </row>
    <row r="51" customFormat="false" ht="26.25" hidden="false" customHeight="true" outlineLevel="0" collapsed="false">
      <c r="A51" s="15" t="s">
        <v>365</v>
      </c>
      <c r="B51" s="15" t="s">
        <v>312</v>
      </c>
      <c r="C51" s="15" t="s">
        <v>353</v>
      </c>
      <c r="D51" s="15" t="s">
        <v>109</v>
      </c>
      <c r="E51" s="15" t="s">
        <v>629</v>
      </c>
      <c r="F51" s="15" t="s">
        <v>366</v>
      </c>
      <c r="G51" s="19" t="n">
        <v>45</v>
      </c>
      <c r="H51" s="15" t="s">
        <v>366</v>
      </c>
      <c r="I51" s="15" t="s">
        <v>111</v>
      </c>
      <c r="J51" s="20" t="n">
        <v>1534000</v>
      </c>
      <c r="K51" s="19" t="n">
        <v>489</v>
      </c>
      <c r="L51" s="15" t="s">
        <v>115</v>
      </c>
      <c r="M51" s="15" t="s">
        <v>688</v>
      </c>
      <c r="N51" s="15" t="s">
        <v>112</v>
      </c>
      <c r="O51" s="21" t="n">
        <v>1534000</v>
      </c>
      <c r="P51" s="22" t="n">
        <v>45</v>
      </c>
      <c r="Q51" s="22" t="n">
        <v>489</v>
      </c>
      <c r="R51" s="15" t="str">
        <f aca="false">IF(O51="","",IF(O51=J51,"Match","MISMATCH"))</f>
        <v>Match</v>
      </c>
      <c r="S51" s="15" t="str">
        <f aca="false">IF(P51="","",IF(P51=G51,"Match","MISMATCH"))</f>
        <v>Match</v>
      </c>
      <c r="T51" s="15" t="str">
        <f aca="false">IF(Q51="","",IF(Q51=K51,"Match","MISMATCH"))</f>
        <v>Match</v>
      </c>
      <c r="U51" s="22" t="s">
        <v>632</v>
      </c>
      <c r="V51" s="22" t="s">
        <v>689</v>
      </c>
      <c r="W51" s="15"/>
    </row>
    <row r="52" customFormat="false" ht="26.25" hidden="false" customHeight="true" outlineLevel="0" collapsed="false">
      <c r="A52" s="15" t="s">
        <v>368</v>
      </c>
      <c r="B52" s="15" t="s">
        <v>312</v>
      </c>
      <c r="C52" s="15" t="s">
        <v>353</v>
      </c>
      <c r="D52" s="15" t="s">
        <v>109</v>
      </c>
      <c r="E52" s="15" t="s">
        <v>629</v>
      </c>
      <c r="F52" s="15" t="s">
        <v>369</v>
      </c>
      <c r="G52" s="19" t="n">
        <v>45</v>
      </c>
      <c r="H52" s="15" t="s">
        <v>369</v>
      </c>
      <c r="I52" s="15" t="s">
        <v>111</v>
      </c>
      <c r="J52" s="20" t="n">
        <v>1634000</v>
      </c>
      <c r="K52" s="19" t="n">
        <v>489</v>
      </c>
      <c r="L52" s="15" t="s">
        <v>115</v>
      </c>
      <c r="M52" s="15" t="s">
        <v>688</v>
      </c>
      <c r="N52" s="15" t="s">
        <v>112</v>
      </c>
      <c r="O52" s="21" t="n">
        <v>1634000</v>
      </c>
      <c r="P52" s="22" t="n">
        <v>45</v>
      </c>
      <c r="Q52" s="22" t="n">
        <v>489</v>
      </c>
      <c r="R52" s="15" t="str">
        <f aca="false">IF(O52="","",IF(O52=J52,"Match","MISMATCH"))</f>
        <v>Match</v>
      </c>
      <c r="S52" s="15" t="str">
        <f aca="false">IF(P52="","",IF(P52=G52,"Match","MISMATCH"))</f>
        <v>Match</v>
      </c>
      <c r="T52" s="15" t="str">
        <f aca="false">IF(Q52="","",IF(Q52=K52,"Match","MISMATCH"))</f>
        <v>Match</v>
      </c>
      <c r="U52" s="22" t="s">
        <v>632</v>
      </c>
      <c r="V52" s="22" t="s">
        <v>689</v>
      </c>
      <c r="W52" s="15"/>
    </row>
    <row r="53" customFormat="false" ht="26.25" hidden="false" customHeight="true" outlineLevel="0" collapsed="false">
      <c r="A53" s="15" t="s">
        <v>371</v>
      </c>
      <c r="B53" s="15" t="s">
        <v>312</v>
      </c>
      <c r="C53" s="15" t="s">
        <v>353</v>
      </c>
      <c r="D53" s="15" t="s">
        <v>109</v>
      </c>
      <c r="E53" s="15" t="s">
        <v>629</v>
      </c>
      <c r="F53" s="15" t="s">
        <v>372</v>
      </c>
      <c r="G53" s="19" t="n">
        <v>45</v>
      </c>
      <c r="H53" s="15" t="s">
        <v>372</v>
      </c>
      <c r="I53" s="15" t="s">
        <v>111</v>
      </c>
      <c r="J53" s="20" t="n">
        <v>1769000</v>
      </c>
      <c r="K53" s="19" t="n">
        <v>489</v>
      </c>
      <c r="L53" s="15" t="s">
        <v>115</v>
      </c>
      <c r="M53" s="15" t="s">
        <v>688</v>
      </c>
      <c r="N53" s="15" t="s">
        <v>112</v>
      </c>
      <c r="O53" s="21" t="n">
        <v>1769000</v>
      </c>
      <c r="P53" s="22" t="n">
        <v>45</v>
      </c>
      <c r="Q53" s="22" t="n">
        <v>489</v>
      </c>
      <c r="R53" s="15" t="str">
        <f aca="false">IF(O53="","",IF(O53=J53,"Match","MISMATCH"))</f>
        <v>Match</v>
      </c>
      <c r="S53" s="15" t="str">
        <f aca="false">IF(P53="","",IF(P53=G53,"Match","MISMATCH"))</f>
        <v>Match</v>
      </c>
      <c r="T53" s="15" t="str">
        <f aca="false">IF(Q53="","",IF(Q53=K53,"Match","MISMATCH"))</f>
        <v>Match</v>
      </c>
      <c r="U53" s="22" t="s">
        <v>632</v>
      </c>
      <c r="V53" s="22" t="s">
        <v>689</v>
      </c>
      <c r="W53" s="15" t="s">
        <v>690</v>
      </c>
    </row>
    <row r="54" customFormat="false" ht="26.25" hidden="false" customHeight="true" outlineLevel="0" collapsed="false">
      <c r="A54" s="15" t="s">
        <v>374</v>
      </c>
      <c r="B54" s="15" t="s">
        <v>312</v>
      </c>
      <c r="C54" s="15" t="s">
        <v>375</v>
      </c>
      <c r="D54" s="15" t="s">
        <v>109</v>
      </c>
      <c r="E54" s="15" t="s">
        <v>629</v>
      </c>
      <c r="F54" s="15" t="s">
        <v>376</v>
      </c>
      <c r="G54" s="19" t="n">
        <v>30</v>
      </c>
      <c r="H54" s="15" t="s">
        <v>376</v>
      </c>
      <c r="I54" s="15" t="s">
        <v>111</v>
      </c>
      <c r="J54" s="20" t="n">
        <v>979000</v>
      </c>
      <c r="K54" s="19" t="n">
        <v>365</v>
      </c>
      <c r="L54" s="15" t="s">
        <v>115</v>
      </c>
      <c r="M54" s="15" t="s">
        <v>691</v>
      </c>
      <c r="N54" s="15" t="s">
        <v>112</v>
      </c>
      <c r="O54" s="21" t="n">
        <v>979000</v>
      </c>
      <c r="P54" s="22" t="n">
        <v>30</v>
      </c>
      <c r="Q54" s="22" t="n">
        <v>365</v>
      </c>
      <c r="R54" s="15" t="str">
        <f aca="false">IF(O54="","",IF(O54=J54,"Match","MISMATCH"))</f>
        <v>Match</v>
      </c>
      <c r="S54" s="15" t="str">
        <f aca="false">IF(P54="","",IF(P54=G54,"Match","MISMATCH"))</f>
        <v>Match</v>
      </c>
      <c r="T54" s="15" t="str">
        <f aca="false">IF(Q54="","",IF(Q54=K54,"Match","MISMATCH"))</f>
        <v>Match</v>
      </c>
      <c r="U54" s="22" t="s">
        <v>632</v>
      </c>
      <c r="V54" s="22" t="s">
        <v>689</v>
      </c>
      <c r="W54" s="15" t="s">
        <v>692</v>
      </c>
    </row>
    <row r="55" customFormat="false" ht="26.25" hidden="false" customHeight="true" outlineLevel="0" collapsed="false">
      <c r="A55" s="15" t="s">
        <v>382</v>
      </c>
      <c r="B55" s="15" t="s">
        <v>312</v>
      </c>
      <c r="C55" s="15" t="s">
        <v>375</v>
      </c>
      <c r="D55" s="15" t="s">
        <v>109</v>
      </c>
      <c r="E55" s="15" t="s">
        <v>629</v>
      </c>
      <c r="F55" s="15" t="s">
        <v>383</v>
      </c>
      <c r="G55" s="19" t="n">
        <v>30</v>
      </c>
      <c r="H55" s="15" t="s">
        <v>383</v>
      </c>
      <c r="I55" s="15" t="s">
        <v>111</v>
      </c>
      <c r="J55" s="20" t="n">
        <v>1039000</v>
      </c>
      <c r="K55" s="19" t="n">
        <v>365</v>
      </c>
      <c r="L55" s="15" t="s">
        <v>115</v>
      </c>
      <c r="M55" s="15" t="s">
        <v>691</v>
      </c>
      <c r="N55" s="15" t="s">
        <v>112</v>
      </c>
      <c r="O55" s="21" t="n">
        <v>1039000</v>
      </c>
      <c r="P55" s="22" t="n">
        <v>30</v>
      </c>
      <c r="Q55" s="22" t="n">
        <v>365</v>
      </c>
      <c r="R55" s="15" t="str">
        <f aca="false">IF(O55="","",IF(O55=J55,"Match","MISMATCH"))</f>
        <v>Match</v>
      </c>
      <c r="S55" s="15" t="str">
        <f aca="false">IF(P55="","",IF(P55=G55,"Match","MISMATCH"))</f>
        <v>Match</v>
      </c>
      <c r="T55" s="15" t="str">
        <f aca="false">IF(Q55="","",IF(Q55=K55,"Match","MISMATCH"))</f>
        <v>Match</v>
      </c>
      <c r="U55" s="22" t="s">
        <v>632</v>
      </c>
      <c r="V55" s="22" t="s">
        <v>689</v>
      </c>
      <c r="W55" s="15" t="s">
        <v>692</v>
      </c>
    </row>
    <row r="56" customFormat="false" ht="26.25" hidden="false" customHeight="true" outlineLevel="0" collapsed="false">
      <c r="A56" s="15" t="s">
        <v>385</v>
      </c>
      <c r="B56" s="15" t="s">
        <v>312</v>
      </c>
      <c r="C56" s="15" t="s">
        <v>375</v>
      </c>
      <c r="D56" s="15" t="s">
        <v>109</v>
      </c>
      <c r="E56" s="15" t="s">
        <v>629</v>
      </c>
      <c r="F56" s="15" t="s">
        <v>386</v>
      </c>
      <c r="G56" s="19" t="n">
        <v>40</v>
      </c>
      <c r="H56" s="15" t="s">
        <v>386</v>
      </c>
      <c r="I56" s="15" t="s">
        <v>111</v>
      </c>
      <c r="J56" s="20" t="n">
        <v>1119000</v>
      </c>
      <c r="K56" s="19" t="n">
        <v>468</v>
      </c>
      <c r="L56" s="15" t="s">
        <v>115</v>
      </c>
      <c r="M56" s="15" t="s">
        <v>691</v>
      </c>
      <c r="N56" s="15" t="s">
        <v>112</v>
      </c>
      <c r="O56" s="21" t="n">
        <v>1119000</v>
      </c>
      <c r="P56" s="22" t="n">
        <v>40</v>
      </c>
      <c r="Q56" s="22" t="n">
        <v>468</v>
      </c>
      <c r="R56" s="15" t="str">
        <f aca="false">IF(O56="","",IF(O56=J56,"Match","MISMATCH"))</f>
        <v>Match</v>
      </c>
      <c r="S56" s="15" t="str">
        <f aca="false">IF(P56="","",IF(P56=G56,"Match","MISMATCH"))</f>
        <v>Match</v>
      </c>
      <c r="T56" s="15" t="str">
        <f aca="false">IF(Q56="","",IF(Q56=K56,"Match","MISMATCH"))</f>
        <v>Match</v>
      </c>
      <c r="U56" s="22" t="s">
        <v>632</v>
      </c>
      <c r="V56" s="22" t="s">
        <v>689</v>
      </c>
      <c r="W56" s="15"/>
    </row>
    <row r="57" customFormat="false" ht="26.25" hidden="false" customHeight="true" outlineLevel="0" collapsed="false">
      <c r="A57" s="15" t="s">
        <v>389</v>
      </c>
      <c r="B57" s="15" t="s">
        <v>312</v>
      </c>
      <c r="C57" s="15" t="s">
        <v>375</v>
      </c>
      <c r="D57" s="15" t="s">
        <v>109</v>
      </c>
      <c r="E57" s="15" t="s">
        <v>629</v>
      </c>
      <c r="F57" s="15" t="s">
        <v>390</v>
      </c>
      <c r="G57" s="19" t="n">
        <v>40</v>
      </c>
      <c r="H57" s="15" t="s">
        <v>390</v>
      </c>
      <c r="I57" s="15" t="s">
        <v>111</v>
      </c>
      <c r="J57" s="20" t="n">
        <v>1194000</v>
      </c>
      <c r="K57" s="19" t="n">
        <v>468</v>
      </c>
      <c r="L57" s="15" t="s">
        <v>115</v>
      </c>
      <c r="M57" s="15" t="s">
        <v>691</v>
      </c>
      <c r="N57" s="15" t="s">
        <v>112</v>
      </c>
      <c r="O57" s="21" t="n">
        <v>1194000</v>
      </c>
      <c r="P57" s="22" t="n">
        <v>40</v>
      </c>
      <c r="Q57" s="22" t="n">
        <v>468</v>
      </c>
      <c r="R57" s="15" t="str">
        <f aca="false">IF(O57="","",IF(O57=J57,"Match","MISMATCH"))</f>
        <v>Match</v>
      </c>
      <c r="S57" s="15" t="str">
        <f aca="false">IF(P57="","",IF(P57=G57,"Match","MISMATCH"))</f>
        <v>Match</v>
      </c>
      <c r="T57" s="15" t="str">
        <f aca="false">IF(Q57="","",IF(Q57=K57,"Match","MISMATCH"))</f>
        <v>Match</v>
      </c>
      <c r="U57" s="22" t="s">
        <v>632</v>
      </c>
      <c r="V57" s="22" t="s">
        <v>689</v>
      </c>
      <c r="W57" s="15"/>
    </row>
    <row r="58" customFormat="false" ht="26.25" hidden="false" customHeight="true" outlineLevel="0" collapsed="false">
      <c r="A58" s="15" t="s">
        <v>392</v>
      </c>
      <c r="B58" s="15" t="s">
        <v>312</v>
      </c>
      <c r="C58" s="15" t="s">
        <v>375</v>
      </c>
      <c r="D58" s="15" t="s">
        <v>109</v>
      </c>
      <c r="E58" s="15" t="s">
        <v>629</v>
      </c>
      <c r="F58" s="15" t="s">
        <v>393</v>
      </c>
      <c r="G58" s="19" t="n">
        <v>40</v>
      </c>
      <c r="H58" s="15" t="s">
        <v>393</v>
      </c>
      <c r="I58" s="15" t="s">
        <v>111</v>
      </c>
      <c r="J58" s="20" t="n">
        <v>1269000</v>
      </c>
      <c r="K58" s="19" t="n">
        <v>468</v>
      </c>
      <c r="L58" s="15" t="s">
        <v>115</v>
      </c>
      <c r="M58" s="15" t="s">
        <v>691</v>
      </c>
      <c r="N58" s="15" t="s">
        <v>112</v>
      </c>
      <c r="O58" s="21" t="n">
        <v>1269000</v>
      </c>
      <c r="P58" s="22" t="n">
        <v>40</v>
      </c>
      <c r="Q58" s="22" t="n">
        <v>468</v>
      </c>
      <c r="R58" s="15" t="str">
        <f aca="false">IF(O58="","",IF(O58=J58,"Match","MISMATCH"))</f>
        <v>Match</v>
      </c>
      <c r="S58" s="15" t="str">
        <f aca="false">IF(P58="","",IF(P58=G58,"Match","MISMATCH"))</f>
        <v>Match</v>
      </c>
      <c r="T58" s="15" t="str">
        <f aca="false">IF(Q58="","",IF(Q58=K58,"Match","MISMATCH"))</f>
        <v>Match</v>
      </c>
      <c r="U58" s="22" t="s">
        <v>632</v>
      </c>
      <c r="V58" s="22" t="s">
        <v>689</v>
      </c>
      <c r="W58" s="15"/>
    </row>
    <row r="59" customFormat="false" ht="26.25" hidden="false" customHeight="true" outlineLevel="0" collapsed="false">
      <c r="A59" s="15" t="s">
        <v>395</v>
      </c>
      <c r="B59" s="15" t="s">
        <v>312</v>
      </c>
      <c r="C59" s="15" t="s">
        <v>375</v>
      </c>
      <c r="D59" s="15" t="s">
        <v>109</v>
      </c>
      <c r="E59" s="15" t="s">
        <v>629</v>
      </c>
      <c r="F59" s="15" t="s">
        <v>396</v>
      </c>
      <c r="G59" s="19" t="n">
        <v>40</v>
      </c>
      <c r="H59" s="15" t="s">
        <v>396</v>
      </c>
      <c r="I59" s="15" t="s">
        <v>111</v>
      </c>
      <c r="J59" s="20" t="n">
        <v>1299000</v>
      </c>
      <c r="K59" s="19" t="n">
        <v>468</v>
      </c>
      <c r="L59" s="15" t="s">
        <v>115</v>
      </c>
      <c r="M59" s="15" t="s">
        <v>691</v>
      </c>
      <c r="N59" s="15" t="s">
        <v>112</v>
      </c>
      <c r="O59" s="21" t="n">
        <v>1299000</v>
      </c>
      <c r="P59" s="22" t="n">
        <v>40</v>
      </c>
      <c r="Q59" s="22" t="n">
        <v>468</v>
      </c>
      <c r="R59" s="15" t="str">
        <f aca="false">IF(O59="","",IF(O59=J59,"Match","MISMATCH"))</f>
        <v>Match</v>
      </c>
      <c r="S59" s="15" t="str">
        <f aca="false">IF(P59="","",IF(P59=G59,"Match","MISMATCH"))</f>
        <v>Match</v>
      </c>
      <c r="T59" s="15" t="str">
        <f aca="false">IF(Q59="","",IF(Q59=K59,"Match","MISMATCH"))</f>
        <v>Match</v>
      </c>
      <c r="U59" s="22" t="s">
        <v>632</v>
      </c>
      <c r="V59" s="22" t="s">
        <v>689</v>
      </c>
      <c r="W59" s="15"/>
    </row>
    <row r="60" customFormat="false" ht="26.25" hidden="false" customHeight="true" outlineLevel="0" collapsed="false">
      <c r="A60" s="15" t="s">
        <v>311</v>
      </c>
      <c r="B60" s="15" t="s">
        <v>312</v>
      </c>
      <c r="C60" s="15" t="s">
        <v>313</v>
      </c>
      <c r="D60" s="15" t="s">
        <v>256</v>
      </c>
      <c r="E60" s="15" t="s">
        <v>629</v>
      </c>
      <c r="F60" s="15" t="s">
        <v>314</v>
      </c>
      <c r="G60" s="19" t="n">
        <v>55</v>
      </c>
      <c r="H60" s="15" t="s">
        <v>314</v>
      </c>
      <c r="I60" s="15" t="s">
        <v>111</v>
      </c>
      <c r="J60" s="20" t="n">
        <v>1719000</v>
      </c>
      <c r="K60" s="19" t="n">
        <v>502</v>
      </c>
      <c r="L60" s="15" t="s">
        <v>115</v>
      </c>
      <c r="M60" s="15" t="s">
        <v>693</v>
      </c>
      <c r="N60" s="15" t="s">
        <v>112</v>
      </c>
      <c r="O60" s="21" t="n">
        <v>1719000</v>
      </c>
      <c r="P60" s="22" t="n">
        <v>55</v>
      </c>
      <c r="Q60" s="22" t="n">
        <v>502</v>
      </c>
      <c r="R60" s="15" t="str">
        <f aca="false">IF(O60="","",IF(O60=J60,"Match","MISMATCH"))</f>
        <v>Match</v>
      </c>
      <c r="S60" s="15" t="str">
        <f aca="false">IF(P60="","",IF(P60=G60,"Match","MISMATCH"))</f>
        <v>Match</v>
      </c>
      <c r="T60" s="15" t="str">
        <f aca="false">IF(Q60="","",IF(Q60=K60,"Match","MISMATCH"))</f>
        <v>Match</v>
      </c>
      <c r="U60" s="22" t="s">
        <v>632</v>
      </c>
      <c r="V60" s="22" t="s">
        <v>689</v>
      </c>
      <c r="W60" s="15" t="s">
        <v>694</v>
      </c>
    </row>
    <row r="61" customFormat="false" ht="26.25" hidden="false" customHeight="true" outlineLevel="0" collapsed="false">
      <c r="A61" s="15" t="s">
        <v>320</v>
      </c>
      <c r="B61" s="15" t="s">
        <v>312</v>
      </c>
      <c r="C61" s="15" t="s">
        <v>313</v>
      </c>
      <c r="D61" s="15" t="s">
        <v>256</v>
      </c>
      <c r="E61" s="15" t="s">
        <v>629</v>
      </c>
      <c r="F61" s="15" t="s">
        <v>321</v>
      </c>
      <c r="G61" s="19" t="n">
        <v>55</v>
      </c>
      <c r="H61" s="15" t="s">
        <v>321</v>
      </c>
      <c r="I61" s="15" t="s">
        <v>111</v>
      </c>
      <c r="J61" s="20" t="n">
        <v>1939000</v>
      </c>
      <c r="K61" s="19" t="n">
        <v>502</v>
      </c>
      <c r="L61" s="15" t="s">
        <v>115</v>
      </c>
      <c r="M61" s="15" t="s">
        <v>693</v>
      </c>
      <c r="N61" s="15" t="s">
        <v>112</v>
      </c>
      <c r="O61" s="21" t="n">
        <v>1939000</v>
      </c>
      <c r="P61" s="22" t="n">
        <v>55</v>
      </c>
      <c r="Q61" s="22" t="n">
        <v>502</v>
      </c>
      <c r="R61" s="15" t="str">
        <f aca="false">IF(O61="","",IF(O61=J61,"Match","MISMATCH"))</f>
        <v>Match</v>
      </c>
      <c r="S61" s="15" t="str">
        <f aca="false">IF(P61="","",IF(P61=G61,"Match","MISMATCH"))</f>
        <v>Match</v>
      </c>
      <c r="T61" s="15" t="str">
        <f aca="false">IF(Q61="","",IF(Q61=K61,"Match","MISMATCH"))</f>
        <v>Match</v>
      </c>
      <c r="U61" s="22" t="s">
        <v>632</v>
      </c>
      <c r="V61" s="22" t="s">
        <v>689</v>
      </c>
      <c r="W61" s="15" t="s">
        <v>695</v>
      </c>
    </row>
    <row r="62" customFormat="false" ht="26.25" hidden="false" customHeight="true" outlineLevel="0" collapsed="false">
      <c r="A62" s="15" t="s">
        <v>326</v>
      </c>
      <c r="B62" s="15" t="s">
        <v>312</v>
      </c>
      <c r="C62" s="15" t="s">
        <v>327</v>
      </c>
      <c r="D62" s="15" t="s">
        <v>109</v>
      </c>
      <c r="E62" s="15" t="s">
        <v>629</v>
      </c>
      <c r="F62" s="15" t="s">
        <v>328</v>
      </c>
      <c r="G62" s="19" t="n">
        <v>65</v>
      </c>
      <c r="H62" s="15" t="s">
        <v>328</v>
      </c>
      <c r="I62" s="15" t="s">
        <v>111</v>
      </c>
      <c r="J62" s="20" t="n">
        <v>2179000</v>
      </c>
      <c r="K62" s="19" t="n">
        <v>538</v>
      </c>
      <c r="L62" s="15" t="s">
        <v>115</v>
      </c>
      <c r="M62" s="15" t="s">
        <v>696</v>
      </c>
      <c r="N62" s="15" t="s">
        <v>112</v>
      </c>
      <c r="O62" s="21" t="n">
        <v>2179000</v>
      </c>
      <c r="P62" s="22" t="n">
        <v>65</v>
      </c>
      <c r="Q62" s="22" t="n">
        <v>538</v>
      </c>
      <c r="R62" s="15" t="str">
        <f aca="false">IF(O62="","",IF(O62=J62,"Match","MISMATCH"))</f>
        <v>Match</v>
      </c>
      <c r="S62" s="15" t="str">
        <f aca="false">IF(P62="","",IF(P62=G62,"Match","MISMATCH"))</f>
        <v>Match</v>
      </c>
      <c r="T62" s="15" t="str">
        <f aca="false">IF(Q62="","",IF(Q62=K62,"Match","MISMATCH"))</f>
        <v>Match</v>
      </c>
      <c r="U62" s="22" t="s">
        <v>632</v>
      </c>
      <c r="V62" s="22" t="s">
        <v>689</v>
      </c>
      <c r="W62" s="15"/>
    </row>
    <row r="63" customFormat="false" ht="26.25" hidden="false" customHeight="true" outlineLevel="0" collapsed="false">
      <c r="A63" s="15" t="s">
        <v>332</v>
      </c>
      <c r="B63" s="15" t="s">
        <v>312</v>
      </c>
      <c r="C63" s="15" t="s">
        <v>327</v>
      </c>
      <c r="D63" s="15" t="s">
        <v>109</v>
      </c>
      <c r="E63" s="15" t="s">
        <v>629</v>
      </c>
      <c r="F63" s="15" t="s">
        <v>333</v>
      </c>
      <c r="G63" s="19" t="n">
        <v>65</v>
      </c>
      <c r="H63" s="15" t="s">
        <v>333</v>
      </c>
      <c r="I63" s="15" t="s">
        <v>111</v>
      </c>
      <c r="J63" s="20" t="n">
        <v>2229000</v>
      </c>
      <c r="K63" s="19" t="n">
        <v>538</v>
      </c>
      <c r="L63" s="15" t="s">
        <v>115</v>
      </c>
      <c r="M63" s="15" t="s">
        <v>696</v>
      </c>
      <c r="N63" s="15" t="s">
        <v>112</v>
      </c>
      <c r="O63" s="21" t="n">
        <v>2229000</v>
      </c>
      <c r="P63" s="22" t="n">
        <v>65</v>
      </c>
      <c r="Q63" s="22" t="n">
        <v>538</v>
      </c>
      <c r="R63" s="15" t="str">
        <f aca="false">IF(O63="","",IF(O63=J63,"Match","MISMATCH"))</f>
        <v>Match</v>
      </c>
      <c r="S63" s="15" t="str">
        <f aca="false">IF(P63="","",IF(P63=G63,"Match","MISMATCH"))</f>
        <v>Match</v>
      </c>
      <c r="T63" s="15" t="str">
        <f aca="false">IF(Q63="","",IF(Q63=K63,"Match","MISMATCH"))</f>
        <v>Match</v>
      </c>
      <c r="U63" s="22" t="s">
        <v>632</v>
      </c>
      <c r="V63" s="22" t="s">
        <v>689</v>
      </c>
      <c r="W63" s="15"/>
    </row>
    <row r="64" customFormat="false" ht="26.25" hidden="false" customHeight="true" outlineLevel="0" collapsed="false">
      <c r="A64" s="15" t="s">
        <v>335</v>
      </c>
      <c r="B64" s="15" t="s">
        <v>312</v>
      </c>
      <c r="C64" s="15" t="s">
        <v>327</v>
      </c>
      <c r="D64" s="15" t="s">
        <v>109</v>
      </c>
      <c r="E64" s="15" t="s">
        <v>629</v>
      </c>
      <c r="F64" s="15" t="s">
        <v>336</v>
      </c>
      <c r="G64" s="19" t="n">
        <v>65</v>
      </c>
      <c r="H64" s="15" t="s">
        <v>336</v>
      </c>
      <c r="I64" s="15" t="s">
        <v>111</v>
      </c>
      <c r="J64" s="20" t="n">
        <v>2429000</v>
      </c>
      <c r="K64" s="19" t="n">
        <v>538</v>
      </c>
      <c r="L64" s="15" t="s">
        <v>115</v>
      </c>
      <c r="M64" s="15" t="s">
        <v>696</v>
      </c>
      <c r="N64" s="15" t="s">
        <v>112</v>
      </c>
      <c r="O64" s="21" t="n">
        <v>2429000</v>
      </c>
      <c r="P64" s="22" t="n">
        <v>65</v>
      </c>
      <c r="Q64" s="22" t="n">
        <v>538</v>
      </c>
      <c r="R64" s="15" t="str">
        <f aca="false">IF(O64="","",IF(O64=J64,"Match","MISMATCH"))</f>
        <v>Match</v>
      </c>
      <c r="S64" s="15" t="str">
        <f aca="false">IF(P64="","",IF(P64=G64,"Match","MISMATCH"))</f>
        <v>Match</v>
      </c>
      <c r="T64" s="15" t="str">
        <f aca="false">IF(Q64="","",IF(Q64=K64,"Match","MISMATCH"))</f>
        <v>Match</v>
      </c>
      <c r="U64" s="22" t="s">
        <v>632</v>
      </c>
      <c r="V64" s="22" t="s">
        <v>689</v>
      </c>
      <c r="W64" s="15"/>
    </row>
    <row r="65" customFormat="false" ht="26.25" hidden="false" customHeight="true" outlineLevel="0" collapsed="false">
      <c r="A65" s="15" t="s">
        <v>338</v>
      </c>
      <c r="B65" s="15" t="s">
        <v>312</v>
      </c>
      <c r="C65" s="15" t="s">
        <v>327</v>
      </c>
      <c r="D65" s="15" t="s">
        <v>109</v>
      </c>
      <c r="E65" s="15" t="s">
        <v>629</v>
      </c>
      <c r="F65" s="15" t="s">
        <v>339</v>
      </c>
      <c r="G65" s="19" t="n">
        <v>75</v>
      </c>
      <c r="H65" s="15" t="s">
        <v>339</v>
      </c>
      <c r="I65" s="15" t="s">
        <v>111</v>
      </c>
      <c r="J65" s="20" t="n">
        <v>2529000</v>
      </c>
      <c r="K65" s="19" t="n">
        <v>627</v>
      </c>
      <c r="L65" s="15" t="s">
        <v>115</v>
      </c>
      <c r="M65" s="15" t="s">
        <v>696</v>
      </c>
      <c r="N65" s="15" t="s">
        <v>112</v>
      </c>
      <c r="O65" s="21" t="n">
        <v>2529000</v>
      </c>
      <c r="P65" s="22" t="n">
        <v>75</v>
      </c>
      <c r="Q65" s="22" t="n">
        <v>627</v>
      </c>
      <c r="R65" s="15" t="str">
        <f aca="false">IF(O65="","",IF(O65=J65,"Match","MISMATCH"))</f>
        <v>Match</v>
      </c>
      <c r="S65" s="15" t="str">
        <f aca="false">IF(P65="","",IF(P65=G65,"Match","MISMATCH"))</f>
        <v>Match</v>
      </c>
      <c r="T65" s="15" t="str">
        <f aca="false">IF(Q65="","",IF(Q65=K65,"Match","MISMATCH"))</f>
        <v>Match</v>
      </c>
      <c r="U65" s="22" t="s">
        <v>632</v>
      </c>
      <c r="V65" s="22" t="s">
        <v>689</v>
      </c>
      <c r="W65" s="15"/>
    </row>
    <row r="66" customFormat="false" ht="26.25" hidden="false" customHeight="true" outlineLevel="0" collapsed="false">
      <c r="A66" s="15" t="s">
        <v>346</v>
      </c>
      <c r="B66" s="15" t="s">
        <v>312</v>
      </c>
      <c r="C66" s="15" t="s">
        <v>327</v>
      </c>
      <c r="D66" s="15" t="s">
        <v>109</v>
      </c>
      <c r="E66" s="15" t="s">
        <v>629</v>
      </c>
      <c r="F66" s="15" t="s">
        <v>347</v>
      </c>
      <c r="G66" s="19" t="n">
        <v>75</v>
      </c>
      <c r="H66" s="15" t="s">
        <v>347</v>
      </c>
      <c r="I66" s="15" t="s">
        <v>111</v>
      </c>
      <c r="J66" s="20" t="n">
        <v>2779000</v>
      </c>
      <c r="K66" s="19" t="n">
        <v>627</v>
      </c>
      <c r="L66" s="15" t="s">
        <v>115</v>
      </c>
      <c r="M66" s="15" t="s">
        <v>696</v>
      </c>
      <c r="N66" s="15" t="s">
        <v>112</v>
      </c>
      <c r="O66" s="21" t="n">
        <v>2779000</v>
      </c>
      <c r="P66" s="22" t="n">
        <v>75</v>
      </c>
      <c r="Q66" s="22" t="n">
        <v>627</v>
      </c>
      <c r="R66" s="15" t="str">
        <f aca="false">IF(O66="","",IF(O66=J66,"Match","MISMATCH"))</f>
        <v>Match</v>
      </c>
      <c r="S66" s="15" t="str">
        <f aca="false">IF(P66="","",IF(P66=G66,"Match","MISMATCH"))</f>
        <v>Match</v>
      </c>
      <c r="T66" s="15" t="str">
        <f aca="false">IF(Q66="","",IF(Q66=K66,"Match","MISMATCH"))</f>
        <v>Match</v>
      </c>
      <c r="U66" s="22" t="s">
        <v>632</v>
      </c>
      <c r="V66" s="22" t="s">
        <v>689</v>
      </c>
      <c r="W66" s="15" t="s">
        <v>697</v>
      </c>
    </row>
    <row r="67" customFormat="false" ht="26.25" hidden="false" customHeight="true" outlineLevel="0" collapsed="false">
      <c r="A67" s="15" t="s">
        <v>341</v>
      </c>
      <c r="B67" s="15" t="s">
        <v>312</v>
      </c>
      <c r="C67" s="15" t="s">
        <v>327</v>
      </c>
      <c r="D67" s="15" t="s">
        <v>109</v>
      </c>
      <c r="E67" s="15" t="s">
        <v>629</v>
      </c>
      <c r="F67" s="15" t="s">
        <v>698</v>
      </c>
      <c r="G67" s="19" t="n">
        <v>75</v>
      </c>
      <c r="H67" s="15" t="s">
        <v>342</v>
      </c>
      <c r="I67" s="15" t="s">
        <v>111</v>
      </c>
      <c r="J67" s="20" t="n">
        <v>2679000</v>
      </c>
      <c r="K67" s="19" t="n">
        <v>622</v>
      </c>
      <c r="L67" s="15" t="s">
        <v>115</v>
      </c>
      <c r="M67" s="15" t="s">
        <v>696</v>
      </c>
      <c r="N67" s="15" t="s">
        <v>112</v>
      </c>
      <c r="O67" s="21" t="n">
        <v>2679000</v>
      </c>
      <c r="P67" s="22" t="n">
        <v>75</v>
      </c>
      <c r="Q67" s="22" t="n">
        <v>622</v>
      </c>
      <c r="R67" s="15" t="str">
        <f aca="false">IF(O67="","",IF(O67=J67,"Match","MISMATCH"))</f>
        <v>Match</v>
      </c>
      <c r="S67" s="15" t="str">
        <f aca="false">IF(P67="","",IF(P67=G67,"Match","MISMATCH"))</f>
        <v>Match</v>
      </c>
      <c r="T67" s="15" t="str">
        <f aca="false">IF(Q67="","",IF(Q67=K67,"Match","MISMATCH"))</f>
        <v>Match</v>
      </c>
      <c r="U67" s="22" t="s">
        <v>632</v>
      </c>
      <c r="V67" s="22" t="s">
        <v>689</v>
      </c>
      <c r="W67" s="15" t="s">
        <v>699</v>
      </c>
    </row>
    <row r="68" customFormat="false" ht="26.25" hidden="false" customHeight="true" outlineLevel="0" collapsed="false">
      <c r="A68" s="15" t="s">
        <v>349</v>
      </c>
      <c r="B68" s="15" t="s">
        <v>312</v>
      </c>
      <c r="C68" s="15" t="s">
        <v>327</v>
      </c>
      <c r="D68" s="15" t="s">
        <v>109</v>
      </c>
      <c r="E68" s="15" t="s">
        <v>629</v>
      </c>
      <c r="F68" s="15" t="s">
        <v>700</v>
      </c>
      <c r="G68" s="19" t="n">
        <v>75</v>
      </c>
      <c r="H68" s="15" t="s">
        <v>350</v>
      </c>
      <c r="I68" s="15" t="s">
        <v>111</v>
      </c>
      <c r="J68" s="20" t="n">
        <v>2929000</v>
      </c>
      <c r="K68" s="19" t="n">
        <v>622</v>
      </c>
      <c r="L68" s="15" t="s">
        <v>115</v>
      </c>
      <c r="M68" s="15" t="s">
        <v>696</v>
      </c>
      <c r="N68" s="15" t="s">
        <v>112</v>
      </c>
      <c r="O68" s="21" t="n">
        <v>2929000</v>
      </c>
      <c r="P68" s="22" t="n">
        <v>75</v>
      </c>
      <c r="Q68" s="22" t="n">
        <v>622</v>
      </c>
      <c r="R68" s="15" t="str">
        <f aca="false">IF(O68="","",IF(O68=J68,"Match","MISMATCH"))</f>
        <v>Match</v>
      </c>
      <c r="S68" s="15" t="str">
        <f aca="false">IF(P68="","",IF(P68=G68,"Match","MISMATCH"))</f>
        <v>Match</v>
      </c>
      <c r="T68" s="15" t="str">
        <f aca="false">IF(Q68="","",IF(Q68=K68,"Match","MISMATCH"))</f>
        <v>Match</v>
      </c>
      <c r="U68" s="22" t="s">
        <v>632</v>
      </c>
      <c r="V68" s="22" t="s">
        <v>689</v>
      </c>
      <c r="W68" s="15" t="s">
        <v>697</v>
      </c>
    </row>
    <row r="69" customFormat="false" ht="26.25" hidden="false" customHeight="true" outlineLevel="0" collapsed="false">
      <c r="A69" s="15" t="s">
        <v>398</v>
      </c>
      <c r="B69" s="15" t="s">
        <v>312</v>
      </c>
      <c r="C69" s="15" t="s">
        <v>399</v>
      </c>
      <c r="D69" s="15" t="s">
        <v>109</v>
      </c>
      <c r="E69" s="15" t="s">
        <v>629</v>
      </c>
      <c r="F69" s="15" t="s">
        <v>400</v>
      </c>
      <c r="G69" s="19" t="n">
        <v>63</v>
      </c>
      <c r="H69" s="15" t="s">
        <v>400</v>
      </c>
      <c r="I69" s="15" t="s">
        <v>111</v>
      </c>
      <c r="J69" s="20" t="n">
        <v>1879000</v>
      </c>
      <c r="K69" s="19" t="n">
        <v>566</v>
      </c>
      <c r="L69" s="15" t="s">
        <v>115</v>
      </c>
      <c r="M69" s="15" t="s">
        <v>701</v>
      </c>
      <c r="N69" s="15" t="s">
        <v>112</v>
      </c>
      <c r="O69" s="21" t="n">
        <v>1879000</v>
      </c>
      <c r="P69" s="22" t="n">
        <v>63</v>
      </c>
      <c r="Q69" s="22" t="n">
        <v>566</v>
      </c>
      <c r="R69" s="15" t="str">
        <f aca="false">IF(O69="","",IF(O69=J69,"Match","MISMATCH"))</f>
        <v>Match</v>
      </c>
      <c r="S69" s="15" t="str">
        <f aca="false">IF(P69="","",IF(P69=G69,"Match","MISMATCH"))</f>
        <v>Match</v>
      </c>
      <c r="T69" s="15" t="str">
        <f aca="false">IF(Q69="","",IF(Q69=K69,"Match","MISMATCH"))</f>
        <v>Match</v>
      </c>
      <c r="U69" s="22" t="s">
        <v>632</v>
      </c>
      <c r="V69" s="22" t="s">
        <v>689</v>
      </c>
      <c r="W69" s="15"/>
    </row>
    <row r="70" customFormat="false" ht="26.25" hidden="false" customHeight="true" outlineLevel="0" collapsed="false">
      <c r="A70" s="15" t="s">
        <v>403</v>
      </c>
      <c r="B70" s="15" t="s">
        <v>312</v>
      </c>
      <c r="C70" s="15" t="s">
        <v>399</v>
      </c>
      <c r="D70" s="15" t="s">
        <v>109</v>
      </c>
      <c r="E70" s="15" t="s">
        <v>629</v>
      </c>
      <c r="F70" s="15" t="s">
        <v>404</v>
      </c>
      <c r="G70" s="19" t="n">
        <v>63</v>
      </c>
      <c r="H70" s="15" t="s">
        <v>404</v>
      </c>
      <c r="I70" s="15" t="s">
        <v>111</v>
      </c>
      <c r="J70" s="20" t="n">
        <v>1999000</v>
      </c>
      <c r="K70" s="19" t="n">
        <v>566</v>
      </c>
      <c r="L70" s="15" t="s">
        <v>115</v>
      </c>
      <c r="M70" s="15" t="s">
        <v>701</v>
      </c>
      <c r="N70" s="15" t="s">
        <v>112</v>
      </c>
      <c r="O70" s="21" t="n">
        <v>1999000</v>
      </c>
      <c r="P70" s="22" t="n">
        <v>63</v>
      </c>
      <c r="Q70" s="22" t="n">
        <v>566</v>
      </c>
      <c r="R70" s="15" t="str">
        <f aca="false">IF(O70="","",IF(O70=J70,"Match","MISMATCH"))</f>
        <v>Match</v>
      </c>
      <c r="S70" s="15" t="str">
        <f aca="false">IF(P70="","",IF(P70=G70,"Match","MISMATCH"))</f>
        <v>Match</v>
      </c>
      <c r="T70" s="15" t="str">
        <f aca="false">IF(Q70="","",IF(Q70=K70,"Match","MISMATCH"))</f>
        <v>Match</v>
      </c>
      <c r="U70" s="22" t="s">
        <v>632</v>
      </c>
      <c r="V70" s="22" t="s">
        <v>689</v>
      </c>
      <c r="W70" s="15"/>
    </row>
    <row r="71" customFormat="false" ht="26.25" hidden="false" customHeight="true" outlineLevel="0" collapsed="false">
      <c r="A71" s="15" t="s">
        <v>406</v>
      </c>
      <c r="B71" s="15" t="s">
        <v>312</v>
      </c>
      <c r="C71" s="15" t="s">
        <v>399</v>
      </c>
      <c r="D71" s="15" t="s">
        <v>109</v>
      </c>
      <c r="E71" s="15" t="s">
        <v>629</v>
      </c>
      <c r="F71" s="15" t="s">
        <v>407</v>
      </c>
      <c r="G71" s="19" t="n">
        <v>63</v>
      </c>
      <c r="H71" s="15" t="s">
        <v>407</v>
      </c>
      <c r="I71" s="15" t="s">
        <v>111</v>
      </c>
      <c r="J71" s="20" t="n">
        <v>2099000</v>
      </c>
      <c r="K71" s="19" t="n">
        <v>566</v>
      </c>
      <c r="L71" s="15" t="s">
        <v>115</v>
      </c>
      <c r="M71" s="15" t="s">
        <v>701</v>
      </c>
      <c r="N71" s="15" t="s">
        <v>112</v>
      </c>
      <c r="O71" s="21" t="n">
        <v>2099000</v>
      </c>
      <c r="P71" s="22" t="n">
        <v>63</v>
      </c>
      <c r="Q71" s="22" t="n">
        <v>566</v>
      </c>
      <c r="R71" s="15" t="str">
        <f aca="false">IF(O71="","",IF(O71=J71,"Match","MISMATCH"))</f>
        <v>Match</v>
      </c>
      <c r="S71" s="15" t="str">
        <f aca="false">IF(P71="","",IF(P71=G71,"Match","MISMATCH"))</f>
        <v>Match</v>
      </c>
      <c r="T71" s="15" t="str">
        <f aca="false">IF(Q71="","",IF(Q71=K71,"Match","MISMATCH"))</f>
        <v>Match</v>
      </c>
      <c r="U71" s="22" t="s">
        <v>632</v>
      </c>
      <c r="V71" s="22" t="s">
        <v>689</v>
      </c>
      <c r="W71" s="15"/>
    </row>
    <row r="72" customFormat="false" ht="26.25" hidden="false" customHeight="true" outlineLevel="0" collapsed="false">
      <c r="A72" s="15" t="s">
        <v>409</v>
      </c>
      <c r="B72" s="15" t="s">
        <v>312</v>
      </c>
      <c r="C72" s="15" t="s">
        <v>399</v>
      </c>
      <c r="D72" s="15" t="s">
        <v>109</v>
      </c>
      <c r="E72" s="15" t="s">
        <v>629</v>
      </c>
      <c r="F72" s="15" t="s">
        <v>410</v>
      </c>
      <c r="G72" s="19" t="n">
        <v>75</v>
      </c>
      <c r="H72" s="15" t="s">
        <v>410</v>
      </c>
      <c r="I72" s="15" t="s">
        <v>111</v>
      </c>
      <c r="J72" s="20" t="n">
        <v>2219000</v>
      </c>
      <c r="K72" s="19" t="n">
        <v>665</v>
      </c>
      <c r="L72" s="15" t="s">
        <v>115</v>
      </c>
      <c r="M72" s="15" t="s">
        <v>701</v>
      </c>
      <c r="N72" s="15" t="s">
        <v>112</v>
      </c>
      <c r="O72" s="21" t="n">
        <v>2219000</v>
      </c>
      <c r="P72" s="22" t="n">
        <v>75</v>
      </c>
      <c r="Q72" s="22" t="n">
        <v>665</v>
      </c>
      <c r="R72" s="15" t="str">
        <f aca="false">IF(O72="","",IF(O72=J72,"Match","MISMATCH"))</f>
        <v>Match</v>
      </c>
      <c r="S72" s="15" t="str">
        <f aca="false">IF(P72="","",IF(P72=G72,"Match","MISMATCH"))</f>
        <v>Match</v>
      </c>
      <c r="T72" s="15" t="str">
        <f aca="false">IF(Q72="","",IF(Q72=K72,"Match","MISMATCH"))</f>
        <v>Match</v>
      </c>
      <c r="U72" s="22" t="s">
        <v>632</v>
      </c>
      <c r="V72" s="22" t="s">
        <v>689</v>
      </c>
      <c r="W72" s="15"/>
    </row>
    <row r="73" customFormat="false" ht="26.25" hidden="false" customHeight="true" outlineLevel="0" collapsed="false">
      <c r="A73" s="15" t="s">
        <v>412</v>
      </c>
      <c r="B73" s="15" t="s">
        <v>312</v>
      </c>
      <c r="C73" s="15" t="s">
        <v>399</v>
      </c>
      <c r="D73" s="15" t="s">
        <v>109</v>
      </c>
      <c r="E73" s="15" t="s">
        <v>629</v>
      </c>
      <c r="F73" s="15" t="s">
        <v>413</v>
      </c>
      <c r="G73" s="19" t="n">
        <v>63</v>
      </c>
      <c r="H73" s="15" t="s">
        <v>413</v>
      </c>
      <c r="I73" s="15" t="s">
        <v>111</v>
      </c>
      <c r="J73" s="20" t="n">
        <v>2279000</v>
      </c>
      <c r="K73" s="19" t="n">
        <v>566</v>
      </c>
      <c r="L73" s="15" t="s">
        <v>115</v>
      </c>
      <c r="M73" s="15" t="s">
        <v>701</v>
      </c>
      <c r="N73" s="15" t="s">
        <v>112</v>
      </c>
      <c r="O73" s="21" t="n">
        <v>2279000</v>
      </c>
      <c r="P73" s="22" t="n">
        <v>63</v>
      </c>
      <c r="Q73" s="22" t="n">
        <v>566</v>
      </c>
      <c r="R73" s="15" t="str">
        <f aca="false">IF(O73="","",IF(O73=J73,"Match","MISMATCH"))</f>
        <v>Match</v>
      </c>
      <c r="S73" s="15" t="str">
        <f aca="false">IF(P73="","",IF(P73=G73,"Match","MISMATCH"))</f>
        <v>Match</v>
      </c>
      <c r="T73" s="15" t="str">
        <f aca="false">IF(Q73="","",IF(Q73=K73,"Match","MISMATCH"))</f>
        <v>Match</v>
      </c>
      <c r="U73" s="22" t="s">
        <v>632</v>
      </c>
      <c r="V73" s="22" t="s">
        <v>689</v>
      </c>
      <c r="W73" s="15"/>
    </row>
    <row r="74" customFormat="false" ht="26.25" hidden="false" customHeight="true" outlineLevel="0" collapsed="false">
      <c r="A74" s="15" t="s">
        <v>415</v>
      </c>
      <c r="B74" s="15" t="s">
        <v>312</v>
      </c>
      <c r="C74" s="15" t="s">
        <v>399</v>
      </c>
      <c r="D74" s="15" t="s">
        <v>109</v>
      </c>
      <c r="E74" s="15" t="s">
        <v>629</v>
      </c>
      <c r="F74" s="15" t="s">
        <v>347</v>
      </c>
      <c r="G74" s="19" t="n">
        <v>75</v>
      </c>
      <c r="H74" s="15" t="s">
        <v>347</v>
      </c>
      <c r="I74" s="15" t="s">
        <v>111</v>
      </c>
      <c r="J74" s="20" t="n">
        <v>2379000</v>
      </c>
      <c r="K74" s="19" t="n">
        <v>665</v>
      </c>
      <c r="L74" s="15" t="s">
        <v>115</v>
      </c>
      <c r="M74" s="15" t="s">
        <v>701</v>
      </c>
      <c r="N74" s="15" t="s">
        <v>112</v>
      </c>
      <c r="O74" s="21" t="n">
        <v>2379000</v>
      </c>
      <c r="P74" s="22" t="n">
        <v>75</v>
      </c>
      <c r="Q74" s="22" t="n">
        <v>665</v>
      </c>
      <c r="R74" s="15" t="str">
        <f aca="false">IF(O74="","",IF(O74=J74,"Match","MISMATCH"))</f>
        <v>Match</v>
      </c>
      <c r="S74" s="15" t="str">
        <f aca="false">IF(P74="","",IF(P74=G74,"Match","MISMATCH"))</f>
        <v>Match</v>
      </c>
      <c r="T74" s="15" t="str">
        <f aca="false">IF(Q74="","",IF(Q74=K74,"Match","MISMATCH"))</f>
        <v>Match</v>
      </c>
      <c r="U74" s="22" t="s">
        <v>632</v>
      </c>
      <c r="V74" s="22" t="s">
        <v>689</v>
      </c>
      <c r="W74" s="15"/>
    </row>
    <row r="75" customFormat="false" ht="26.25" hidden="false" customHeight="true" outlineLevel="0" collapsed="false">
      <c r="A75" s="15" t="s">
        <v>417</v>
      </c>
      <c r="B75" s="15" t="s">
        <v>312</v>
      </c>
      <c r="C75" s="15" t="s">
        <v>399</v>
      </c>
      <c r="D75" s="15" t="s">
        <v>109</v>
      </c>
      <c r="E75" s="15" t="s">
        <v>629</v>
      </c>
      <c r="F75" s="15" t="s">
        <v>418</v>
      </c>
      <c r="G75" s="19" t="n">
        <v>75</v>
      </c>
      <c r="H75" s="15" t="s">
        <v>418</v>
      </c>
      <c r="I75" s="15" t="s">
        <v>111</v>
      </c>
      <c r="J75" s="20" t="n">
        <v>2479000</v>
      </c>
      <c r="K75" s="19" t="n">
        <v>665</v>
      </c>
      <c r="L75" s="15" t="s">
        <v>115</v>
      </c>
      <c r="M75" s="15" t="s">
        <v>701</v>
      </c>
      <c r="N75" s="15" t="s">
        <v>112</v>
      </c>
      <c r="O75" s="21" t="n">
        <v>2479000</v>
      </c>
      <c r="P75" s="22" t="n">
        <v>75</v>
      </c>
      <c r="Q75" s="22" t="n">
        <v>665</v>
      </c>
      <c r="R75" s="15" t="str">
        <f aca="false">IF(O75="","",IF(O75=J75,"Match","MISMATCH"))</f>
        <v>Match</v>
      </c>
      <c r="S75" s="15" t="str">
        <f aca="false">IF(P75="","",IF(P75=G75,"Match","MISMATCH"))</f>
        <v>Match</v>
      </c>
      <c r="T75" s="15" t="str">
        <f aca="false">IF(Q75="","",IF(Q75=K75,"Match","MISMATCH"))</f>
        <v>Match</v>
      </c>
      <c r="U75" s="22" t="s">
        <v>632</v>
      </c>
      <c r="V75" s="22" t="s">
        <v>689</v>
      </c>
      <c r="W75" s="15"/>
    </row>
    <row r="76" customFormat="false" ht="26.25" hidden="false" customHeight="true" outlineLevel="0" collapsed="false">
      <c r="A76" s="15" t="s">
        <v>420</v>
      </c>
      <c r="B76" s="15" t="s">
        <v>312</v>
      </c>
      <c r="C76" s="15" t="s">
        <v>399</v>
      </c>
      <c r="D76" s="15" t="s">
        <v>109</v>
      </c>
      <c r="E76" s="15" t="s">
        <v>629</v>
      </c>
      <c r="F76" s="15" t="s">
        <v>702</v>
      </c>
      <c r="G76" s="19" t="n">
        <v>75</v>
      </c>
      <c r="H76" s="15" t="s">
        <v>421</v>
      </c>
      <c r="I76" s="15" t="s">
        <v>111</v>
      </c>
      <c r="J76" s="20" t="n">
        <v>2599000</v>
      </c>
      <c r="K76" s="19" t="n">
        <v>624</v>
      </c>
      <c r="L76" s="15" t="s">
        <v>115</v>
      </c>
      <c r="M76" s="15" t="s">
        <v>701</v>
      </c>
      <c r="N76" s="15" t="s">
        <v>112</v>
      </c>
      <c r="O76" s="21" t="n">
        <v>2599000</v>
      </c>
      <c r="P76" s="22" t="n">
        <v>75</v>
      </c>
      <c r="Q76" s="22" t="n">
        <v>624</v>
      </c>
      <c r="R76" s="15" t="str">
        <f aca="false">IF(O76="","",IF(O76=J76,"Match","MISMATCH"))</f>
        <v>Match</v>
      </c>
      <c r="S76" s="15" t="str">
        <f aca="false">IF(P76="","",IF(P76=G76,"Match","MISMATCH"))</f>
        <v>Match</v>
      </c>
      <c r="T76" s="15" t="str">
        <f aca="false">IF(Q76="","",IF(Q76=K76,"Match","MISMATCH"))</f>
        <v>Match</v>
      </c>
      <c r="U76" s="22" t="s">
        <v>632</v>
      </c>
      <c r="V76" s="22" t="s">
        <v>689</v>
      </c>
      <c r="W76" s="15"/>
    </row>
    <row r="77" customFormat="false" ht="26.25" hidden="false" customHeight="true" outlineLevel="0" collapsed="false">
      <c r="A77" s="15" t="s">
        <v>423</v>
      </c>
      <c r="B77" s="15" t="s">
        <v>312</v>
      </c>
      <c r="C77" s="15" t="s">
        <v>424</v>
      </c>
      <c r="D77" s="15" t="s">
        <v>425</v>
      </c>
      <c r="E77" s="15" t="s">
        <v>629</v>
      </c>
      <c r="F77" s="15" t="s">
        <v>426</v>
      </c>
      <c r="G77" s="19" t="n">
        <v>19.2</v>
      </c>
      <c r="H77" s="15" t="s">
        <v>426</v>
      </c>
      <c r="I77" s="15" t="s">
        <v>111</v>
      </c>
      <c r="J77" s="20" t="n">
        <v>699000</v>
      </c>
      <c r="K77" s="19" t="n">
        <v>226</v>
      </c>
      <c r="L77" s="15" t="s">
        <v>427</v>
      </c>
      <c r="M77" s="15" t="s">
        <v>703</v>
      </c>
      <c r="N77" s="15" t="s">
        <v>112</v>
      </c>
      <c r="O77" s="21" t="n">
        <v>699000</v>
      </c>
      <c r="P77" s="22" t="n">
        <v>19.2</v>
      </c>
      <c r="Q77" s="22" t="n">
        <v>226</v>
      </c>
      <c r="R77" s="15" t="str">
        <f aca="false">IF(O77="","",IF(O77=J77,"Match","MISMATCH"))</f>
        <v>Match</v>
      </c>
      <c r="S77" s="15" t="str">
        <f aca="false">IF(P77="","",IF(P77=G77,"Match","MISMATCH"))</f>
        <v>Match</v>
      </c>
      <c r="T77" s="15" t="str">
        <f aca="false">IF(Q77="","",IF(Q77=K77,"Match","MISMATCH"))</f>
        <v>Match</v>
      </c>
      <c r="U77" s="22" t="s">
        <v>632</v>
      </c>
      <c r="V77" s="22" t="s">
        <v>689</v>
      </c>
      <c r="W77" s="15"/>
    </row>
    <row r="78" customFormat="false" ht="26.25" hidden="false" customHeight="true" outlineLevel="0" collapsed="false">
      <c r="A78" s="15" t="s">
        <v>432</v>
      </c>
      <c r="B78" s="15" t="s">
        <v>312</v>
      </c>
      <c r="C78" s="15" t="s">
        <v>424</v>
      </c>
      <c r="D78" s="15" t="s">
        <v>425</v>
      </c>
      <c r="E78" s="15" t="s">
        <v>629</v>
      </c>
      <c r="F78" s="15" t="s">
        <v>433</v>
      </c>
      <c r="G78" s="19" t="n">
        <v>19.2</v>
      </c>
      <c r="H78" s="15" t="s">
        <v>433</v>
      </c>
      <c r="I78" s="15" t="s">
        <v>111</v>
      </c>
      <c r="J78" s="20" t="n">
        <v>864000</v>
      </c>
      <c r="K78" s="19" t="n">
        <v>226</v>
      </c>
      <c r="L78" s="15" t="s">
        <v>427</v>
      </c>
      <c r="M78" s="15" t="s">
        <v>703</v>
      </c>
      <c r="N78" s="15" t="s">
        <v>112</v>
      </c>
      <c r="O78" s="21" t="n">
        <v>864000</v>
      </c>
      <c r="P78" s="22" t="n">
        <v>19.2</v>
      </c>
      <c r="Q78" s="22" t="n">
        <v>226</v>
      </c>
      <c r="R78" s="15" t="str">
        <f aca="false">IF(O78="","",IF(O78=J78,"Match","MISMATCH"))</f>
        <v>Match</v>
      </c>
      <c r="S78" s="15" t="str">
        <f aca="false">IF(P78="","",IF(P78=G78,"Match","MISMATCH"))</f>
        <v>Match</v>
      </c>
      <c r="T78" s="15" t="str">
        <f aca="false">IF(Q78="","",IF(Q78=K78,"Match","MISMATCH"))</f>
        <v>Match</v>
      </c>
      <c r="U78" s="22" t="s">
        <v>632</v>
      </c>
      <c r="V78" s="22" t="s">
        <v>689</v>
      </c>
      <c r="W78" s="15"/>
    </row>
    <row r="79" customFormat="false" ht="26.25" hidden="false" customHeight="true" outlineLevel="0" collapsed="false">
      <c r="A79" s="15" t="s">
        <v>435</v>
      </c>
      <c r="B79" s="15" t="s">
        <v>312</v>
      </c>
      <c r="C79" s="15" t="s">
        <v>424</v>
      </c>
      <c r="D79" s="15" t="s">
        <v>425</v>
      </c>
      <c r="E79" s="15" t="s">
        <v>629</v>
      </c>
      <c r="F79" s="15" t="s">
        <v>436</v>
      </c>
      <c r="G79" s="19" t="n">
        <v>24</v>
      </c>
      <c r="H79" s="15" t="s">
        <v>436</v>
      </c>
      <c r="I79" s="15" t="s">
        <v>111</v>
      </c>
      <c r="J79" s="20" t="n">
        <v>964000</v>
      </c>
      <c r="K79" s="19" t="n">
        <v>285</v>
      </c>
      <c r="L79" s="15" t="s">
        <v>427</v>
      </c>
      <c r="M79" s="15" t="s">
        <v>703</v>
      </c>
      <c r="N79" s="15" t="s">
        <v>112</v>
      </c>
      <c r="O79" s="21" t="n">
        <v>964000</v>
      </c>
      <c r="P79" s="22" t="n">
        <v>24</v>
      </c>
      <c r="Q79" s="22" t="n">
        <v>285</v>
      </c>
      <c r="R79" s="15" t="str">
        <f aca="false">IF(O79="","",IF(O79=J79,"Match","MISMATCH"))</f>
        <v>Match</v>
      </c>
      <c r="S79" s="15" t="str">
        <f aca="false">IF(P79="","",IF(P79=G79,"Match","MISMATCH"))</f>
        <v>Match</v>
      </c>
      <c r="T79" s="15" t="str">
        <f aca="false">IF(Q79="","",IF(Q79=K79,"Match","MISMATCH"))</f>
        <v>Match</v>
      </c>
      <c r="U79" s="22" t="s">
        <v>632</v>
      </c>
      <c r="V79" s="22" t="s">
        <v>689</v>
      </c>
      <c r="W79" s="15"/>
    </row>
    <row r="80" customFormat="false" ht="26.25" hidden="false" customHeight="true" outlineLevel="0" collapsed="false">
      <c r="A80" s="15" t="s">
        <v>439</v>
      </c>
      <c r="B80" s="15" t="s">
        <v>312</v>
      </c>
      <c r="C80" s="15" t="s">
        <v>424</v>
      </c>
      <c r="D80" s="15" t="s">
        <v>425</v>
      </c>
      <c r="E80" s="15" t="s">
        <v>629</v>
      </c>
      <c r="F80" s="15" t="s">
        <v>440</v>
      </c>
      <c r="G80" s="19" t="n">
        <v>24</v>
      </c>
      <c r="H80" s="15" t="s">
        <v>440</v>
      </c>
      <c r="I80" s="15" t="s">
        <v>111</v>
      </c>
      <c r="J80" s="20" t="n">
        <v>1009000</v>
      </c>
      <c r="K80" s="19" t="n">
        <v>285</v>
      </c>
      <c r="L80" s="15" t="s">
        <v>427</v>
      </c>
      <c r="M80" s="15" t="s">
        <v>703</v>
      </c>
      <c r="N80" s="15" t="s">
        <v>112</v>
      </c>
      <c r="O80" s="21" t="n">
        <v>1009000</v>
      </c>
      <c r="P80" s="22" t="n">
        <v>24</v>
      </c>
      <c r="Q80" s="22" t="n">
        <v>285</v>
      </c>
      <c r="R80" s="15" t="str">
        <f aca="false">IF(O80="","",IF(O80=J80,"Match","MISMATCH"))</f>
        <v>Match</v>
      </c>
      <c r="S80" s="15" t="str">
        <f aca="false">IF(P80="","",IF(P80=G80,"Match","MISMATCH"))</f>
        <v>Match</v>
      </c>
      <c r="T80" s="15" t="str">
        <f aca="false">IF(Q80="","",IF(Q80=K80,"Match","MISMATCH"))</f>
        <v>Match</v>
      </c>
      <c r="U80" s="22" t="s">
        <v>632</v>
      </c>
      <c r="V80" s="22" t="s">
        <v>689</v>
      </c>
      <c r="W80" s="15" t="s">
        <v>704</v>
      </c>
    </row>
    <row r="81" customFormat="false" ht="26.25" hidden="false" customHeight="true" outlineLevel="0" collapsed="false">
      <c r="A81" s="15" t="s">
        <v>443</v>
      </c>
      <c r="B81" s="15" t="s">
        <v>312</v>
      </c>
      <c r="C81" s="15" t="s">
        <v>444</v>
      </c>
      <c r="D81" s="15" t="s">
        <v>445</v>
      </c>
      <c r="E81" s="15" t="s">
        <v>629</v>
      </c>
      <c r="F81" s="15" t="s">
        <v>446</v>
      </c>
      <c r="G81" s="19" t="n">
        <v>26</v>
      </c>
      <c r="H81" s="15" t="s">
        <v>446</v>
      </c>
      <c r="I81" s="15" t="s">
        <v>111</v>
      </c>
      <c r="J81" s="20" t="n">
        <v>1249000</v>
      </c>
      <c r="K81" s="19" t="n">
        <v>315</v>
      </c>
      <c r="L81" s="15" t="s">
        <v>427</v>
      </c>
      <c r="M81" s="15" t="s">
        <v>705</v>
      </c>
      <c r="N81" s="15" t="s">
        <v>112</v>
      </c>
      <c r="O81" s="21" t="n">
        <v>1249000</v>
      </c>
      <c r="P81" s="22" t="n">
        <v>26</v>
      </c>
      <c r="Q81" s="22" t="n">
        <v>315</v>
      </c>
      <c r="R81" s="15" t="str">
        <f aca="false">IF(O81="","",IF(O81=J81,"Match","MISMATCH"))</f>
        <v>Match</v>
      </c>
      <c r="S81" s="15" t="str">
        <f aca="false">IF(P81="","",IF(P81=G81,"Match","MISMATCH"))</f>
        <v>Match</v>
      </c>
      <c r="T81" s="15" t="str">
        <f aca="false">IF(Q81="","",IF(Q81=K81,"Match","MISMATCH"))</f>
        <v>Match</v>
      </c>
      <c r="U81" s="22" t="s">
        <v>632</v>
      </c>
      <c r="V81" s="22" t="s">
        <v>689</v>
      </c>
      <c r="W81" s="15" t="s">
        <v>706</v>
      </c>
    </row>
    <row r="82" customFormat="false" ht="26.25" hidden="false" customHeight="true" outlineLevel="0" collapsed="false">
      <c r="A82" s="15" t="s">
        <v>449</v>
      </c>
      <c r="B82" s="15" t="s">
        <v>312</v>
      </c>
      <c r="C82" s="15" t="s">
        <v>444</v>
      </c>
      <c r="D82" s="15" t="s">
        <v>445</v>
      </c>
      <c r="E82" s="15" t="s">
        <v>629</v>
      </c>
      <c r="F82" s="15" t="s">
        <v>450</v>
      </c>
      <c r="G82" s="19" t="n">
        <v>26</v>
      </c>
      <c r="H82" s="15" t="s">
        <v>450</v>
      </c>
      <c r="I82" s="15" t="s">
        <v>111</v>
      </c>
      <c r="J82" s="20" t="n">
        <v>1299000</v>
      </c>
      <c r="K82" s="19" t="n">
        <v>315</v>
      </c>
      <c r="L82" s="15" t="s">
        <v>427</v>
      </c>
      <c r="M82" s="15" t="s">
        <v>705</v>
      </c>
      <c r="N82" s="15" t="s">
        <v>112</v>
      </c>
      <c r="O82" s="21" t="n">
        <v>1299000</v>
      </c>
      <c r="P82" s="22" t="n">
        <v>26</v>
      </c>
      <c r="Q82" s="22" t="n">
        <v>315</v>
      </c>
      <c r="R82" s="15" t="str">
        <f aca="false">IF(O82="","",IF(O82=J82,"Match","MISMATCH"))</f>
        <v>Match</v>
      </c>
      <c r="S82" s="15" t="str">
        <f aca="false">IF(P82="","",IF(P82=G82,"Match","MISMATCH"))</f>
        <v>Match</v>
      </c>
      <c r="T82" s="15" t="str">
        <f aca="false">IF(Q82="","",IF(Q82=K82,"Match","MISMATCH"))</f>
        <v>Match</v>
      </c>
      <c r="U82" s="22" t="s">
        <v>632</v>
      </c>
      <c r="V82" s="22" t="s">
        <v>689</v>
      </c>
      <c r="W82" s="15"/>
    </row>
    <row r="83" customFormat="false" ht="26.25" hidden="false" customHeight="true" outlineLevel="0" collapsed="false">
      <c r="A83" s="15" t="s">
        <v>452</v>
      </c>
      <c r="B83" s="15" t="s">
        <v>312</v>
      </c>
      <c r="C83" s="15" t="s">
        <v>444</v>
      </c>
      <c r="D83" s="15" t="s">
        <v>445</v>
      </c>
      <c r="E83" s="15" t="s">
        <v>629</v>
      </c>
      <c r="F83" s="15" t="s">
        <v>453</v>
      </c>
      <c r="G83" s="19" t="n">
        <v>26</v>
      </c>
      <c r="H83" s="15" t="s">
        <v>453</v>
      </c>
      <c r="I83" s="15" t="s">
        <v>111</v>
      </c>
      <c r="J83" s="20" t="n">
        <v>1349000</v>
      </c>
      <c r="K83" s="19" t="n">
        <v>315</v>
      </c>
      <c r="L83" s="15" t="s">
        <v>427</v>
      </c>
      <c r="M83" s="15" t="s">
        <v>705</v>
      </c>
      <c r="N83" s="15" t="s">
        <v>112</v>
      </c>
      <c r="O83" s="21" t="n">
        <v>1349000</v>
      </c>
      <c r="P83" s="22" t="n">
        <v>26</v>
      </c>
      <c r="Q83" s="22" t="n">
        <v>315</v>
      </c>
      <c r="R83" s="15" t="str">
        <f aca="false">IF(O83="","",IF(O83=J83,"Match","MISMATCH"))</f>
        <v>Match</v>
      </c>
      <c r="S83" s="15" t="str">
        <f aca="false">IF(P83="","",IF(P83=G83,"Match","MISMATCH"))</f>
        <v>Match</v>
      </c>
      <c r="T83" s="15" t="str">
        <f aca="false">IF(Q83="","",IF(Q83=K83,"Match","MISMATCH"))</f>
        <v>Match</v>
      </c>
      <c r="U83" s="22" t="s">
        <v>632</v>
      </c>
      <c r="V83" s="22" t="s">
        <v>689</v>
      </c>
      <c r="W83" s="15"/>
    </row>
    <row r="84" customFormat="false" ht="26.25" hidden="false" customHeight="true" outlineLevel="0" collapsed="false">
      <c r="A84" s="15" t="s">
        <v>455</v>
      </c>
      <c r="B84" s="15" t="s">
        <v>312</v>
      </c>
      <c r="C84" s="15" t="s">
        <v>444</v>
      </c>
      <c r="D84" s="15" t="s">
        <v>445</v>
      </c>
      <c r="E84" s="15" t="s">
        <v>629</v>
      </c>
      <c r="F84" s="15" t="s">
        <v>456</v>
      </c>
      <c r="G84" s="19" t="n">
        <v>26</v>
      </c>
      <c r="H84" s="15" t="s">
        <v>456</v>
      </c>
      <c r="I84" s="15" t="s">
        <v>111</v>
      </c>
      <c r="J84" s="20" t="n">
        <v>1375000</v>
      </c>
      <c r="K84" s="19" t="n">
        <v>315</v>
      </c>
      <c r="L84" s="15" t="s">
        <v>427</v>
      </c>
      <c r="M84" s="15" t="s">
        <v>705</v>
      </c>
      <c r="N84" s="15" t="s">
        <v>112</v>
      </c>
      <c r="O84" s="21" t="n">
        <v>1375000</v>
      </c>
      <c r="P84" s="22" t="n">
        <v>26</v>
      </c>
      <c r="Q84" s="22" t="n">
        <v>315</v>
      </c>
      <c r="R84" s="15" t="str">
        <f aca="false">IF(O84="","",IF(O84=J84,"Match","MISMATCH"))</f>
        <v>Match</v>
      </c>
      <c r="S84" s="15" t="str">
        <f aca="false">IF(P84="","",IF(P84=G84,"Match","MISMATCH"))</f>
        <v>Match</v>
      </c>
      <c r="T84" s="15" t="str">
        <f aca="false">IF(Q84="","",IF(Q84=K84,"Match","MISMATCH"))</f>
        <v>Match</v>
      </c>
      <c r="U84" s="22" t="s">
        <v>632</v>
      </c>
      <c r="V84" s="22" t="s">
        <v>689</v>
      </c>
      <c r="W84" s="15"/>
    </row>
    <row r="85" customFormat="false" ht="39" hidden="false" customHeight="true" outlineLevel="0" collapsed="false">
      <c r="A85" s="15" t="s">
        <v>211</v>
      </c>
      <c r="B85" s="15" t="s">
        <v>107</v>
      </c>
      <c r="C85" s="15" t="s">
        <v>196</v>
      </c>
      <c r="D85" s="15" t="s">
        <v>109</v>
      </c>
      <c r="E85" s="15" t="s">
        <v>629</v>
      </c>
      <c r="F85" s="15" t="s">
        <v>675</v>
      </c>
      <c r="G85" s="19" t="n">
        <v>70</v>
      </c>
      <c r="H85" s="15" t="s">
        <v>212</v>
      </c>
      <c r="I85" s="15" t="s">
        <v>111</v>
      </c>
      <c r="J85" s="20" t="n">
        <v>2525000</v>
      </c>
      <c r="K85" s="19" t="n">
        <v>600</v>
      </c>
      <c r="L85" s="15" t="s">
        <v>115</v>
      </c>
      <c r="M85" s="15" t="s">
        <v>672</v>
      </c>
      <c r="N85" s="15" t="s">
        <v>128</v>
      </c>
      <c r="O85" s="21"/>
      <c r="P85" s="22" t="n">
        <v>70</v>
      </c>
      <c r="Q85" s="22" t="n">
        <v>600</v>
      </c>
      <c r="R85" s="15" t="str">
        <f aca="false">IF(O85="","",IF(O85=J85,"Match","MISMATCH"))</f>
        <v/>
      </c>
      <c r="S85" s="15" t="str">
        <f aca="false">IF(P85="","",IF(P85=G85,"Match","MISMATCH"))</f>
        <v>Match</v>
      </c>
      <c r="T85" s="15" t="str">
        <f aca="false">IF(Q85="","",IF(Q85=K85,"Match","MISMATCH"))</f>
        <v>Match</v>
      </c>
      <c r="U85" s="22" t="s">
        <v>632</v>
      </c>
      <c r="V85" s="22" t="s">
        <v>689</v>
      </c>
      <c r="W85" s="15" t="s">
        <v>707</v>
      </c>
    </row>
    <row r="86" customFormat="false" ht="39" hidden="false" customHeight="true" outlineLevel="0" collapsed="false">
      <c r="A86" s="15" t="s">
        <v>218</v>
      </c>
      <c r="B86" s="15" t="s">
        <v>107</v>
      </c>
      <c r="C86" s="15" t="s">
        <v>196</v>
      </c>
      <c r="D86" s="15" t="s">
        <v>109</v>
      </c>
      <c r="E86" s="15" t="s">
        <v>629</v>
      </c>
      <c r="F86" s="15" t="s">
        <v>675</v>
      </c>
      <c r="G86" s="19" t="n">
        <v>79</v>
      </c>
      <c r="H86" s="15" t="s">
        <v>219</v>
      </c>
      <c r="I86" s="15" t="s">
        <v>111</v>
      </c>
      <c r="J86" s="20" t="n">
        <v>2615000</v>
      </c>
      <c r="K86" s="19" t="n">
        <v>679</v>
      </c>
      <c r="L86" s="15" t="s">
        <v>115</v>
      </c>
      <c r="M86" s="15" t="s">
        <v>672</v>
      </c>
      <c r="N86" s="15" t="s">
        <v>128</v>
      </c>
      <c r="O86" s="21"/>
      <c r="P86" s="22" t="n">
        <v>79</v>
      </c>
      <c r="Q86" s="22" t="n">
        <v>679</v>
      </c>
      <c r="R86" s="15" t="str">
        <f aca="false">IF(O86="","",IF(O86=J86,"Match","MISMATCH"))</f>
        <v/>
      </c>
      <c r="S86" s="15" t="str">
        <f aca="false">IF(P86="","",IF(P86=G86,"Match","MISMATCH"))</f>
        <v>Match</v>
      </c>
      <c r="T86" s="15" t="str">
        <f aca="false">IF(Q86="","",IF(Q86=K86,"Match","MISMATCH"))</f>
        <v>Match</v>
      </c>
      <c r="U86" s="22" t="s">
        <v>632</v>
      </c>
      <c r="V86" s="22" t="s">
        <v>689</v>
      </c>
      <c r="W86" s="15" t="s">
        <v>707</v>
      </c>
    </row>
    <row r="87" customFormat="false" ht="39" hidden="false" customHeight="true" outlineLevel="0" collapsed="false">
      <c r="A87" s="15" t="s">
        <v>224</v>
      </c>
      <c r="B87" s="15" t="s">
        <v>107</v>
      </c>
      <c r="C87" s="15" t="s">
        <v>196</v>
      </c>
      <c r="D87" s="15" t="s">
        <v>109</v>
      </c>
      <c r="E87" s="15" t="s">
        <v>629</v>
      </c>
      <c r="F87" s="15" t="s">
        <v>661</v>
      </c>
      <c r="G87" s="19" t="n">
        <v>79</v>
      </c>
      <c r="H87" s="15" t="s">
        <v>225</v>
      </c>
      <c r="I87" s="15" t="s">
        <v>111</v>
      </c>
      <c r="J87" s="20" t="n">
        <v>2805000</v>
      </c>
      <c r="K87" s="19" t="n">
        <v>679</v>
      </c>
      <c r="L87" s="15" t="s">
        <v>115</v>
      </c>
      <c r="M87" s="15" t="s">
        <v>672</v>
      </c>
      <c r="N87" s="15" t="s">
        <v>128</v>
      </c>
      <c r="O87" s="21"/>
      <c r="P87" s="22" t="n">
        <v>79</v>
      </c>
      <c r="Q87" s="22" t="n">
        <v>679</v>
      </c>
      <c r="R87" s="15" t="str">
        <f aca="false">IF(O87="","",IF(O87=J87,"Match","MISMATCH"))</f>
        <v/>
      </c>
      <c r="S87" s="15" t="str">
        <f aca="false">IF(P87="","",IF(P87=G87,"Match","MISMATCH"))</f>
        <v>Match</v>
      </c>
      <c r="T87" s="15" t="str">
        <f aca="false">IF(Q87="","",IF(Q87=K87,"Match","MISMATCH"))</f>
        <v>Match</v>
      </c>
      <c r="U87" s="22" t="s">
        <v>632</v>
      </c>
      <c r="V87" s="22" t="s">
        <v>689</v>
      </c>
      <c r="W87" s="15" t="s">
        <v>707</v>
      </c>
    </row>
    <row r="88" customFormat="false" ht="39" hidden="false" customHeight="true" outlineLevel="0" collapsed="false">
      <c r="A88" s="15" t="s">
        <v>227</v>
      </c>
      <c r="B88" s="15" t="s">
        <v>107</v>
      </c>
      <c r="C88" s="15" t="s">
        <v>196</v>
      </c>
      <c r="D88" s="15" t="s">
        <v>109</v>
      </c>
      <c r="E88" s="15" t="s">
        <v>629</v>
      </c>
      <c r="F88" s="15" t="s">
        <v>679</v>
      </c>
      <c r="G88" s="19" t="n">
        <v>79</v>
      </c>
      <c r="H88" s="15" t="s">
        <v>228</v>
      </c>
      <c r="I88" s="15" t="s">
        <v>111</v>
      </c>
      <c r="J88" s="20" t="n">
        <v>2995000</v>
      </c>
      <c r="K88" s="19" t="n">
        <v>679</v>
      </c>
      <c r="L88" s="15" t="s">
        <v>115</v>
      </c>
      <c r="M88" s="15" t="s">
        <v>708</v>
      </c>
      <c r="N88" s="15" t="s">
        <v>128</v>
      </c>
      <c r="O88" s="21"/>
      <c r="P88" s="22" t="n">
        <v>79</v>
      </c>
      <c r="Q88" s="22" t="n">
        <v>679</v>
      </c>
      <c r="R88" s="15" t="str">
        <f aca="false">IF(O88="","",IF(O88=J88,"Match","MISMATCH"))</f>
        <v/>
      </c>
      <c r="S88" s="15" t="str">
        <f aca="false">IF(P88="","",IF(P88=G88,"Match","MISMATCH"))</f>
        <v>Match</v>
      </c>
      <c r="T88" s="15" t="str">
        <f aca="false">IF(Q88="","",IF(Q88=K88,"Match","MISMATCH"))</f>
        <v>Match</v>
      </c>
      <c r="U88" s="22" t="s">
        <v>632</v>
      </c>
      <c r="V88" s="22" t="s">
        <v>689</v>
      </c>
      <c r="W88" s="15" t="s">
        <v>709</v>
      </c>
    </row>
    <row r="89" customFormat="false" ht="15" hidden="false" customHeight="true" outlineLevel="0" collapsed="false">
      <c r="J89" s="24"/>
      <c r="O89" s="25"/>
      <c r="P89" s="26"/>
      <c r="Q89" s="26"/>
      <c r="U89" s="26"/>
      <c r="V89" s="26"/>
    </row>
    <row r="90" customFormat="false" ht="15" hidden="false" customHeight="true" outlineLevel="0" collapsed="false">
      <c r="J90" s="24"/>
      <c r="O90" s="25"/>
      <c r="P90" s="26"/>
      <c r="Q90" s="26"/>
      <c r="U90" s="26"/>
      <c r="V90" s="26"/>
    </row>
    <row r="91" customFormat="false" ht="15" hidden="false" customHeight="true" outlineLevel="0" collapsed="false">
      <c r="J91" s="24"/>
      <c r="O91" s="25"/>
      <c r="P91" s="26"/>
      <c r="Q91" s="26"/>
      <c r="U91" s="26"/>
      <c r="V91" s="26"/>
    </row>
    <row r="92" customFormat="false" ht="15" hidden="false" customHeight="true" outlineLevel="0" collapsed="false">
      <c r="J92" s="24"/>
      <c r="O92" s="25"/>
      <c r="P92" s="26"/>
      <c r="Q92" s="26"/>
      <c r="U92" s="26"/>
      <c r="V92" s="26"/>
    </row>
    <row r="93" customFormat="false" ht="15" hidden="false" customHeight="true" outlineLevel="0" collapsed="false">
      <c r="J93" s="24"/>
      <c r="O93" s="25"/>
      <c r="P93" s="26"/>
      <c r="Q93" s="26"/>
      <c r="U93" s="26"/>
      <c r="V93" s="26"/>
    </row>
    <row r="94" customFormat="false" ht="15" hidden="false" customHeight="true" outlineLevel="0" collapsed="false">
      <c r="J94" s="24"/>
      <c r="O94" s="25"/>
      <c r="P94" s="26"/>
      <c r="Q94" s="26"/>
      <c r="U94" s="26"/>
      <c r="V94" s="26"/>
    </row>
    <row r="95" customFormat="false" ht="15" hidden="false" customHeight="true" outlineLevel="0" collapsed="false">
      <c r="J95" s="24"/>
      <c r="O95" s="25"/>
      <c r="P95" s="26"/>
      <c r="Q95" s="26"/>
      <c r="U95" s="26"/>
      <c r="V95" s="26"/>
    </row>
    <row r="96" customFormat="false" ht="15" hidden="false" customHeight="true" outlineLevel="0" collapsed="false">
      <c r="J96" s="24"/>
      <c r="O96" s="25"/>
      <c r="P96" s="26"/>
      <c r="Q96" s="26"/>
      <c r="U96" s="26"/>
      <c r="V96" s="26"/>
    </row>
    <row r="97" customFormat="false" ht="15" hidden="false" customHeight="true" outlineLevel="0" collapsed="false">
      <c r="J97" s="24"/>
      <c r="O97" s="25"/>
      <c r="P97" s="26"/>
      <c r="Q97" s="26"/>
      <c r="U97" s="26"/>
      <c r="V97" s="26"/>
    </row>
    <row r="98" customFormat="false" ht="15" hidden="false" customHeight="true" outlineLevel="0" collapsed="false">
      <c r="J98" s="24"/>
      <c r="O98" s="25"/>
      <c r="P98" s="26"/>
      <c r="Q98" s="26"/>
      <c r="U98" s="26"/>
      <c r="V98" s="26"/>
    </row>
    <row r="99" customFormat="false" ht="15" hidden="false" customHeight="true" outlineLevel="0" collapsed="false">
      <c r="J99" s="24"/>
      <c r="O99" s="25"/>
      <c r="P99" s="26"/>
      <c r="Q99" s="26"/>
      <c r="U99" s="26"/>
      <c r="V99" s="26"/>
    </row>
    <row r="100" customFormat="false" ht="15" hidden="false" customHeight="true" outlineLevel="0" collapsed="false">
      <c r="J100" s="24"/>
      <c r="O100" s="25"/>
      <c r="P100" s="26"/>
      <c r="Q100" s="26"/>
      <c r="U100" s="26"/>
      <c r="V100" s="26"/>
    </row>
    <row r="101" customFormat="false" ht="15" hidden="false" customHeight="true" outlineLevel="0" collapsed="false">
      <c r="J101" s="24"/>
      <c r="O101" s="25"/>
      <c r="P101" s="26"/>
      <c r="Q101" s="26"/>
      <c r="U101" s="26"/>
      <c r="V101" s="26"/>
    </row>
    <row r="102" customFormat="false" ht="15" hidden="false" customHeight="true" outlineLevel="0" collapsed="false">
      <c r="J102" s="24"/>
      <c r="O102" s="25"/>
      <c r="P102" s="26"/>
      <c r="Q102" s="26"/>
      <c r="U102" s="26"/>
      <c r="V102" s="26"/>
    </row>
    <row r="103" customFormat="false" ht="15" hidden="false" customHeight="true" outlineLevel="0" collapsed="false">
      <c r="J103" s="24"/>
      <c r="O103" s="25"/>
      <c r="P103" s="26"/>
      <c r="Q103" s="26"/>
      <c r="U103" s="26"/>
      <c r="V103" s="26"/>
    </row>
    <row r="104" customFormat="false" ht="15" hidden="false" customHeight="true" outlineLevel="0" collapsed="false">
      <c r="J104" s="24"/>
      <c r="O104" s="25"/>
      <c r="P104" s="26"/>
      <c r="Q104" s="26"/>
      <c r="U104" s="26"/>
      <c r="V104" s="26"/>
    </row>
    <row r="105" customFormat="false" ht="15" hidden="false" customHeight="true" outlineLevel="0" collapsed="false">
      <c r="J105" s="24"/>
      <c r="O105" s="25"/>
      <c r="P105" s="26"/>
      <c r="Q105" s="26"/>
      <c r="U105" s="26"/>
      <c r="V105" s="26"/>
    </row>
    <row r="106" customFormat="false" ht="15" hidden="false" customHeight="true" outlineLevel="0" collapsed="false">
      <c r="J106" s="24"/>
      <c r="O106" s="25"/>
      <c r="P106" s="26"/>
      <c r="Q106" s="26"/>
      <c r="U106" s="26"/>
      <c r="V106" s="26"/>
    </row>
    <row r="107" customFormat="false" ht="15" hidden="false" customHeight="true" outlineLevel="0" collapsed="false">
      <c r="J107" s="24"/>
      <c r="O107" s="25"/>
      <c r="P107" s="26"/>
      <c r="Q107" s="26"/>
      <c r="U107" s="26"/>
      <c r="V107" s="26"/>
    </row>
    <row r="108" customFormat="false" ht="15" hidden="false" customHeight="true" outlineLevel="0" collapsed="false">
      <c r="J108" s="24"/>
      <c r="O108" s="25"/>
      <c r="P108" s="26"/>
      <c r="Q108" s="26"/>
      <c r="U108" s="26"/>
      <c r="V108" s="26"/>
    </row>
    <row r="109" customFormat="false" ht="15" hidden="false" customHeight="true" outlineLevel="0" collapsed="false">
      <c r="J109" s="24"/>
      <c r="O109" s="24"/>
      <c r="P109" s="26"/>
      <c r="Q109" s="26"/>
      <c r="U109" s="26"/>
      <c r="V109" s="26"/>
    </row>
    <row r="110" customFormat="false" ht="15" hidden="false" customHeight="true" outlineLevel="0" collapsed="false">
      <c r="J110" s="24"/>
      <c r="O110" s="24"/>
      <c r="P110" s="26"/>
      <c r="Q110" s="26"/>
      <c r="U110" s="26"/>
      <c r="V110" s="26"/>
    </row>
    <row r="111" customFormat="false" ht="15" hidden="false" customHeight="true" outlineLevel="0" collapsed="false">
      <c r="J111" s="24"/>
      <c r="O111" s="24"/>
      <c r="P111" s="26"/>
      <c r="Q111" s="26"/>
      <c r="U111" s="26"/>
      <c r="V111" s="26"/>
    </row>
    <row r="112" customFormat="false" ht="15" hidden="false" customHeight="true" outlineLevel="0" collapsed="false">
      <c r="J112" s="24"/>
      <c r="O112" s="24"/>
      <c r="P112" s="26"/>
      <c r="Q112" s="26"/>
      <c r="U112" s="26"/>
      <c r="V112" s="26"/>
    </row>
    <row r="113" customFormat="false" ht="15" hidden="false" customHeight="true" outlineLevel="0" collapsed="false">
      <c r="J113" s="24"/>
      <c r="O113" s="24"/>
      <c r="P113" s="26"/>
      <c r="Q113" s="26"/>
      <c r="U113" s="26"/>
      <c r="V113" s="26"/>
    </row>
    <row r="114" customFormat="false" ht="15" hidden="false" customHeight="true" outlineLevel="0" collapsed="false">
      <c r="J114" s="24"/>
      <c r="O114" s="24"/>
      <c r="P114" s="26"/>
      <c r="Q114" s="26"/>
      <c r="U114" s="26"/>
      <c r="V114" s="26"/>
    </row>
    <row r="115" customFormat="false" ht="15" hidden="false" customHeight="true" outlineLevel="0" collapsed="false">
      <c r="J115" s="24"/>
      <c r="O115" s="24"/>
      <c r="P115" s="26"/>
      <c r="Q115" s="26"/>
      <c r="U115" s="26"/>
      <c r="V115" s="26"/>
    </row>
    <row r="116" customFormat="false" ht="15" hidden="false" customHeight="true" outlineLevel="0" collapsed="false">
      <c r="J116" s="24"/>
      <c r="O116" s="24"/>
      <c r="P116" s="26"/>
      <c r="Q116" s="26"/>
      <c r="U116" s="26"/>
      <c r="V116" s="26"/>
    </row>
    <row r="117" customFormat="false" ht="15" hidden="false" customHeight="true" outlineLevel="0" collapsed="false">
      <c r="J117" s="24"/>
      <c r="O117" s="24"/>
      <c r="P117" s="26"/>
      <c r="Q117" s="26"/>
      <c r="U117" s="26"/>
      <c r="V117" s="26"/>
    </row>
    <row r="118" customFormat="false" ht="15" hidden="false" customHeight="true" outlineLevel="0" collapsed="false">
      <c r="J118" s="24"/>
      <c r="O118" s="24"/>
      <c r="P118" s="26"/>
      <c r="Q118" s="26"/>
      <c r="U118" s="26"/>
      <c r="V118" s="26"/>
    </row>
    <row r="119" customFormat="false" ht="15" hidden="false" customHeight="true" outlineLevel="0" collapsed="false">
      <c r="J119" s="24"/>
      <c r="O119" s="24"/>
      <c r="P119" s="26"/>
      <c r="Q119" s="26"/>
      <c r="U119" s="26"/>
      <c r="V119" s="26"/>
    </row>
    <row r="120" customFormat="false" ht="15" hidden="false" customHeight="true" outlineLevel="0" collapsed="false">
      <c r="J120" s="24"/>
      <c r="O120" s="24"/>
      <c r="P120" s="26"/>
      <c r="Q120" s="26"/>
      <c r="U120" s="26"/>
      <c r="V120" s="26"/>
    </row>
    <row r="121" customFormat="false" ht="15" hidden="false" customHeight="true" outlineLevel="0" collapsed="false">
      <c r="J121" s="24"/>
      <c r="O121" s="24"/>
      <c r="P121" s="26"/>
      <c r="Q121" s="26"/>
      <c r="U121" s="26"/>
      <c r="V121" s="26"/>
    </row>
    <row r="122" customFormat="false" ht="15" hidden="false" customHeight="true" outlineLevel="0" collapsed="false">
      <c r="J122" s="24"/>
      <c r="O122" s="24"/>
      <c r="P122" s="26"/>
      <c r="Q122" s="26"/>
      <c r="U122" s="26"/>
      <c r="V122" s="26"/>
    </row>
    <row r="123" customFormat="false" ht="15" hidden="false" customHeight="true" outlineLevel="0" collapsed="false">
      <c r="J123" s="24"/>
      <c r="O123" s="24"/>
      <c r="P123" s="26"/>
      <c r="Q123" s="26"/>
      <c r="U123" s="26"/>
      <c r="V123" s="26"/>
    </row>
    <row r="124" customFormat="false" ht="15" hidden="false" customHeight="true" outlineLevel="0" collapsed="false">
      <c r="J124" s="24"/>
      <c r="O124" s="24"/>
      <c r="P124" s="26"/>
      <c r="Q124" s="26"/>
      <c r="U124" s="26"/>
      <c r="V124" s="26"/>
    </row>
    <row r="125" customFormat="false" ht="15" hidden="false" customHeight="true" outlineLevel="0" collapsed="false">
      <c r="J125" s="24"/>
      <c r="O125" s="24"/>
      <c r="P125" s="26"/>
      <c r="Q125" s="26"/>
      <c r="U125" s="26"/>
      <c r="V125" s="26"/>
    </row>
    <row r="126" customFormat="false" ht="15" hidden="false" customHeight="true" outlineLevel="0" collapsed="false">
      <c r="J126" s="24"/>
      <c r="O126" s="24"/>
      <c r="P126" s="26"/>
      <c r="Q126" s="26"/>
      <c r="U126" s="26"/>
      <c r="V126" s="26"/>
    </row>
    <row r="127" customFormat="false" ht="15" hidden="false" customHeight="true" outlineLevel="0" collapsed="false">
      <c r="J127" s="24"/>
      <c r="O127" s="24"/>
      <c r="P127" s="26"/>
      <c r="Q127" s="26"/>
      <c r="U127" s="26"/>
      <c r="V127" s="26"/>
    </row>
    <row r="128" customFormat="false" ht="15" hidden="false" customHeight="true" outlineLevel="0" collapsed="false">
      <c r="J128" s="24"/>
      <c r="O128" s="24"/>
      <c r="P128" s="26"/>
      <c r="Q128" s="26"/>
      <c r="U128" s="26"/>
      <c r="V128" s="26"/>
    </row>
    <row r="129" customFormat="false" ht="15" hidden="false" customHeight="true" outlineLevel="0" collapsed="false">
      <c r="J129" s="24"/>
      <c r="O129" s="24"/>
      <c r="Q129" s="26"/>
      <c r="U129" s="26"/>
      <c r="V129" s="26"/>
    </row>
    <row r="130" customFormat="false" ht="15" hidden="false" customHeight="true" outlineLevel="0" collapsed="false">
      <c r="J130" s="24"/>
      <c r="O130" s="24"/>
      <c r="Q130" s="26"/>
      <c r="U130" s="26"/>
      <c r="V130" s="26"/>
    </row>
    <row r="131" customFormat="false" ht="15" hidden="false" customHeight="true" outlineLevel="0" collapsed="false">
      <c r="J131" s="24"/>
      <c r="O131" s="24"/>
      <c r="Q131" s="26"/>
      <c r="U131" s="26"/>
      <c r="V131" s="26"/>
    </row>
    <row r="132" customFormat="false" ht="15" hidden="false" customHeight="true" outlineLevel="0" collapsed="false">
      <c r="J132" s="24"/>
      <c r="O132" s="24"/>
      <c r="Q132" s="26"/>
      <c r="U132" s="26"/>
      <c r="V132" s="26"/>
    </row>
    <row r="133" customFormat="false" ht="15" hidden="false" customHeight="true" outlineLevel="0" collapsed="false">
      <c r="J133" s="24"/>
      <c r="O133" s="24"/>
      <c r="Q133" s="26"/>
      <c r="U133" s="26"/>
      <c r="V133" s="26"/>
    </row>
    <row r="134" customFormat="false" ht="15" hidden="false" customHeight="true" outlineLevel="0" collapsed="false">
      <c r="J134" s="24"/>
      <c r="O134" s="24"/>
      <c r="Q134" s="26"/>
      <c r="U134" s="26"/>
      <c r="V134" s="26"/>
    </row>
    <row r="135" customFormat="false" ht="15" hidden="false" customHeight="true" outlineLevel="0" collapsed="false">
      <c r="J135" s="24"/>
      <c r="O135" s="24"/>
      <c r="Q135" s="26"/>
      <c r="U135" s="26"/>
      <c r="V135" s="26"/>
    </row>
    <row r="136" customFormat="false" ht="15" hidden="false" customHeight="true" outlineLevel="0" collapsed="false">
      <c r="J136" s="24"/>
      <c r="O136" s="24"/>
      <c r="Q136" s="26"/>
      <c r="U136" s="26"/>
      <c r="V136" s="26"/>
    </row>
    <row r="137" customFormat="false" ht="15" hidden="false" customHeight="true" outlineLevel="0" collapsed="false">
      <c r="J137" s="24"/>
      <c r="O137" s="24"/>
      <c r="Q137" s="26"/>
      <c r="U137" s="26"/>
      <c r="V137" s="26"/>
    </row>
    <row r="138" customFormat="false" ht="15" hidden="false" customHeight="true" outlineLevel="0" collapsed="false">
      <c r="J138" s="24"/>
      <c r="O138" s="24"/>
      <c r="Q138" s="26"/>
      <c r="U138" s="26"/>
      <c r="V138" s="26"/>
    </row>
    <row r="139" customFormat="false" ht="15" hidden="false" customHeight="true" outlineLevel="0" collapsed="false">
      <c r="J139" s="24"/>
      <c r="O139" s="24"/>
      <c r="Q139" s="26"/>
      <c r="U139" s="26"/>
      <c r="V139" s="26"/>
    </row>
    <row r="140" customFormat="false" ht="15" hidden="false" customHeight="true" outlineLevel="0" collapsed="false">
      <c r="J140" s="24"/>
      <c r="O140" s="24"/>
      <c r="Q140" s="26"/>
      <c r="U140" s="26"/>
      <c r="V140" s="26"/>
    </row>
    <row r="141" customFormat="false" ht="15" hidden="false" customHeight="true" outlineLevel="0" collapsed="false">
      <c r="J141" s="24"/>
      <c r="O141" s="24"/>
      <c r="Q141" s="26"/>
      <c r="U141" s="26"/>
      <c r="V141" s="26"/>
    </row>
    <row r="142" customFormat="false" ht="15" hidden="false" customHeight="true" outlineLevel="0" collapsed="false">
      <c r="J142" s="24"/>
      <c r="O142" s="24"/>
      <c r="Q142" s="26"/>
      <c r="U142" s="26"/>
      <c r="V142" s="26"/>
    </row>
    <row r="143" customFormat="false" ht="15" hidden="false" customHeight="true" outlineLevel="0" collapsed="false">
      <c r="J143" s="24"/>
      <c r="O143" s="24"/>
      <c r="Q143" s="26"/>
      <c r="U143" s="26"/>
      <c r="V143" s="26"/>
    </row>
    <row r="144" customFormat="false" ht="15" hidden="false" customHeight="true" outlineLevel="0" collapsed="false">
      <c r="J144" s="24"/>
      <c r="O144" s="24"/>
      <c r="Q144" s="26"/>
      <c r="U144" s="26"/>
      <c r="V144" s="26"/>
    </row>
    <row r="145" customFormat="false" ht="15" hidden="false" customHeight="true" outlineLevel="0" collapsed="false">
      <c r="J145" s="24"/>
      <c r="O145" s="24"/>
      <c r="Q145" s="26"/>
      <c r="U145" s="26"/>
      <c r="V145" s="26"/>
    </row>
    <row r="146" customFormat="false" ht="15" hidden="false" customHeight="true" outlineLevel="0" collapsed="false">
      <c r="J146" s="24"/>
      <c r="O146" s="24"/>
      <c r="Q146" s="26"/>
      <c r="U146" s="26"/>
      <c r="V146" s="26"/>
    </row>
    <row r="147" customFormat="false" ht="15" hidden="false" customHeight="true" outlineLevel="0" collapsed="false">
      <c r="J147" s="24"/>
      <c r="O147" s="24"/>
      <c r="Q147" s="26"/>
      <c r="U147" s="26"/>
      <c r="V147" s="26"/>
    </row>
    <row r="148" customFormat="false" ht="15" hidden="false" customHeight="true" outlineLevel="0" collapsed="false">
      <c r="J148" s="24"/>
      <c r="O148" s="24"/>
      <c r="Q148" s="26"/>
      <c r="U148" s="26"/>
      <c r="V148" s="26"/>
    </row>
    <row r="149" customFormat="false" ht="15" hidden="false" customHeight="true" outlineLevel="0" collapsed="false">
      <c r="J149" s="24"/>
      <c r="O149" s="24"/>
      <c r="U149" s="26"/>
      <c r="V149" s="26"/>
    </row>
    <row r="150" customFormat="false" ht="15" hidden="false" customHeight="true" outlineLevel="0" collapsed="false">
      <c r="J150" s="24"/>
      <c r="O150" s="24"/>
      <c r="U150" s="26"/>
      <c r="V150" s="26"/>
    </row>
    <row r="151" customFormat="false" ht="15" hidden="false" customHeight="true" outlineLevel="0" collapsed="false">
      <c r="J151" s="24"/>
      <c r="O151" s="24"/>
      <c r="U151" s="26"/>
      <c r="V151" s="26"/>
    </row>
    <row r="152" customFormat="false" ht="15" hidden="false" customHeight="true" outlineLevel="0" collapsed="false">
      <c r="J152" s="24"/>
      <c r="O152" s="24"/>
      <c r="U152" s="26"/>
      <c r="V152" s="26"/>
    </row>
    <row r="153" customFormat="false" ht="15" hidden="false" customHeight="true" outlineLevel="0" collapsed="false">
      <c r="J153" s="24"/>
      <c r="O153" s="24"/>
      <c r="U153" s="26"/>
      <c r="V153" s="26"/>
    </row>
    <row r="154" customFormat="false" ht="15" hidden="false" customHeight="true" outlineLevel="0" collapsed="false">
      <c r="J154" s="24"/>
      <c r="O154" s="24"/>
      <c r="U154" s="26"/>
      <c r="V154" s="26"/>
    </row>
    <row r="155" customFormat="false" ht="15" hidden="false" customHeight="true" outlineLevel="0" collapsed="false">
      <c r="J155" s="24"/>
      <c r="O155" s="24"/>
      <c r="U155" s="26"/>
      <c r="V155" s="26"/>
    </row>
    <row r="156" customFormat="false" ht="15" hidden="false" customHeight="true" outlineLevel="0" collapsed="false">
      <c r="J156" s="24"/>
      <c r="O156" s="24"/>
      <c r="U156" s="26"/>
      <c r="V156" s="26"/>
    </row>
    <row r="157" customFormat="false" ht="15" hidden="false" customHeight="true" outlineLevel="0" collapsed="false">
      <c r="J157" s="24"/>
      <c r="O157" s="24"/>
      <c r="U157" s="26"/>
      <c r="V157" s="26"/>
    </row>
    <row r="158" customFormat="false" ht="15" hidden="false" customHeight="true" outlineLevel="0" collapsed="false">
      <c r="J158" s="24"/>
      <c r="O158" s="24"/>
      <c r="U158" s="26"/>
      <c r="V158" s="26"/>
    </row>
    <row r="159" customFormat="false" ht="15" hidden="false" customHeight="true" outlineLevel="0" collapsed="false">
      <c r="J159" s="24"/>
      <c r="O159" s="24"/>
      <c r="U159" s="26"/>
      <c r="V159" s="26"/>
    </row>
    <row r="160" customFormat="false" ht="15" hidden="false" customHeight="true" outlineLevel="0" collapsed="false">
      <c r="J160" s="24"/>
      <c r="O160" s="24"/>
      <c r="U160" s="26"/>
      <c r="V160" s="26"/>
    </row>
    <row r="161" customFormat="false" ht="15" hidden="false" customHeight="true" outlineLevel="0" collapsed="false">
      <c r="J161" s="24"/>
      <c r="O161" s="24"/>
      <c r="U161" s="26"/>
      <c r="V161" s="26"/>
    </row>
    <row r="162" customFormat="false" ht="15" hidden="false" customHeight="true" outlineLevel="0" collapsed="false">
      <c r="J162" s="24"/>
      <c r="O162" s="24"/>
      <c r="U162" s="26"/>
      <c r="V162" s="26"/>
    </row>
    <row r="163" customFormat="false" ht="15" hidden="false" customHeight="true" outlineLevel="0" collapsed="false">
      <c r="J163" s="24"/>
      <c r="O163" s="24"/>
      <c r="U163" s="26"/>
      <c r="V163" s="26"/>
    </row>
    <row r="164" customFormat="false" ht="15" hidden="false" customHeight="true" outlineLevel="0" collapsed="false">
      <c r="J164" s="24"/>
      <c r="O164" s="24"/>
      <c r="U164" s="26"/>
      <c r="V164" s="26"/>
    </row>
    <row r="165" customFormat="false" ht="15" hidden="false" customHeight="true" outlineLevel="0" collapsed="false">
      <c r="J165" s="24"/>
      <c r="O165" s="24"/>
      <c r="U165" s="26"/>
      <c r="V165" s="26"/>
    </row>
    <row r="166" customFormat="false" ht="15" hidden="false" customHeight="true" outlineLevel="0" collapsed="false">
      <c r="J166" s="24"/>
      <c r="O166" s="24"/>
      <c r="U166" s="26"/>
      <c r="V166" s="26"/>
    </row>
    <row r="167" customFormat="false" ht="15" hidden="false" customHeight="true" outlineLevel="0" collapsed="false">
      <c r="J167" s="24"/>
      <c r="O167" s="24"/>
      <c r="U167" s="26"/>
      <c r="V167" s="26"/>
    </row>
    <row r="168" customFormat="false" ht="15" hidden="false" customHeight="true" outlineLevel="0" collapsed="false">
      <c r="J168" s="24"/>
      <c r="O168" s="24"/>
      <c r="U168" s="26"/>
      <c r="V168" s="26"/>
    </row>
    <row r="169" customFormat="false" ht="15" hidden="false" customHeight="true" outlineLevel="0" collapsed="false">
      <c r="J169" s="24"/>
      <c r="O169" s="24"/>
      <c r="V169" s="26"/>
    </row>
    <row r="170" customFormat="false" ht="15" hidden="false" customHeight="true" outlineLevel="0" collapsed="false">
      <c r="J170" s="24"/>
      <c r="O170" s="24"/>
      <c r="V170" s="26"/>
    </row>
    <row r="171" customFormat="false" ht="15" hidden="false" customHeight="true" outlineLevel="0" collapsed="false">
      <c r="J171" s="24"/>
      <c r="O171" s="24"/>
      <c r="V171" s="26"/>
    </row>
    <row r="172" customFormat="false" ht="15" hidden="false" customHeight="true" outlineLevel="0" collapsed="false">
      <c r="J172" s="24"/>
      <c r="O172" s="24"/>
      <c r="V172" s="26"/>
    </row>
    <row r="173" customFormat="false" ht="15" hidden="false" customHeight="true" outlineLevel="0" collapsed="false">
      <c r="J173" s="24"/>
      <c r="O173" s="24"/>
      <c r="V173" s="26"/>
    </row>
    <row r="174" customFormat="false" ht="15" hidden="false" customHeight="true" outlineLevel="0" collapsed="false">
      <c r="J174" s="24"/>
      <c r="O174" s="24"/>
      <c r="V174" s="26"/>
    </row>
    <row r="175" customFormat="false" ht="15" hidden="false" customHeight="true" outlineLevel="0" collapsed="false">
      <c r="J175" s="24"/>
      <c r="O175" s="24"/>
      <c r="V175" s="26"/>
    </row>
    <row r="176" customFormat="false" ht="15" hidden="false" customHeight="true" outlineLevel="0" collapsed="false">
      <c r="J176" s="24"/>
      <c r="O176" s="24"/>
      <c r="V176" s="26"/>
    </row>
    <row r="177" customFormat="false" ht="15" hidden="false" customHeight="true" outlineLevel="0" collapsed="false">
      <c r="J177" s="24"/>
      <c r="O177" s="24"/>
      <c r="V177" s="26"/>
    </row>
    <row r="178" customFormat="false" ht="15" hidden="false" customHeight="true" outlineLevel="0" collapsed="false">
      <c r="J178" s="24"/>
      <c r="O178" s="24"/>
      <c r="V178" s="26"/>
    </row>
    <row r="179" customFormat="false" ht="15" hidden="false" customHeight="true" outlineLevel="0" collapsed="false">
      <c r="J179" s="24"/>
      <c r="O179" s="24"/>
      <c r="V179" s="26"/>
    </row>
    <row r="180" customFormat="false" ht="15" hidden="false" customHeight="true" outlineLevel="0" collapsed="false">
      <c r="J180" s="24"/>
      <c r="O180" s="24"/>
      <c r="V180" s="26"/>
    </row>
    <row r="181" customFormat="false" ht="15" hidden="false" customHeight="true" outlineLevel="0" collapsed="false">
      <c r="J181" s="24"/>
      <c r="O181" s="24"/>
      <c r="V181" s="26"/>
    </row>
    <row r="182" customFormat="false" ht="15" hidden="false" customHeight="true" outlineLevel="0" collapsed="false">
      <c r="J182" s="24"/>
      <c r="O182" s="24"/>
      <c r="V182" s="26"/>
    </row>
    <row r="183" customFormat="false" ht="15" hidden="false" customHeight="true" outlineLevel="0" collapsed="false">
      <c r="J183" s="24"/>
      <c r="O183" s="24"/>
      <c r="V183" s="26"/>
    </row>
    <row r="184" customFormat="false" ht="15" hidden="false" customHeight="true" outlineLevel="0" collapsed="false">
      <c r="J184" s="24"/>
      <c r="O184" s="24"/>
      <c r="V184" s="26"/>
    </row>
    <row r="185" customFormat="false" ht="15" hidden="false" customHeight="true" outlineLevel="0" collapsed="false">
      <c r="J185" s="24"/>
      <c r="O185" s="24"/>
      <c r="V185" s="26"/>
    </row>
    <row r="186" customFormat="false" ht="15" hidden="false" customHeight="true" outlineLevel="0" collapsed="false">
      <c r="J186" s="24"/>
      <c r="O186" s="24"/>
      <c r="V186" s="26"/>
    </row>
    <row r="187" customFormat="false" ht="15" hidden="false" customHeight="true" outlineLevel="0" collapsed="false">
      <c r="J187" s="24"/>
      <c r="O187" s="24"/>
      <c r="V187" s="26"/>
    </row>
    <row r="188" customFormat="false" ht="15" hidden="false" customHeight="true" outlineLevel="0" collapsed="false">
      <c r="J188" s="24"/>
      <c r="O188" s="24"/>
      <c r="V188" s="26"/>
    </row>
  </sheetData>
  <conditionalFormatting sqref="R2:T200">
    <cfRule type="expression" priority="2" aboveAverage="0" equalAverage="0" bottom="0" percent="0" rank="0" text="" dxfId="3">
      <formula>R2="MISMATCH"</formula>
    </cfRule>
    <cfRule type="expression" priority="3" aboveAverage="0" equalAverage="0" bottom="0" percent="0" rank="0" text="" dxfId="4">
      <formula>R2="Match"</formula>
    </cfRule>
  </conditionalFormatting>
  <conditionalFormatting sqref="N2:N200">
    <cfRule type="expression" priority="4" aboveAverage="0" equalAverage="0" bottom="0" percent="0" rank="0" text="" dxfId="4">
      <formula>N2="verified"</formula>
    </cfRule>
    <cfRule type="expression" priority="5" aboveAverage="0" equalAverage="0" bottom="0" percent="0" rank="0" text="" dxfId="3">
      <formula>N2="conflicting"</formula>
    </cfRule>
    <cfRule type="expression" priority="6" aboveAverage="0" equalAverage="0" bottom="0" percent="0" rank="0" text="" dxfId="5">
      <formula>N2="corroborated"</formula>
    </cfRule>
  </conditionalFormatting>
  <dataValidations count="2">
    <dataValidation allowBlank="true" errorStyle="stop" operator="between" showDropDown="false" showErrorMessage="false" showInputMessage="false" sqref="N2:N200" type="list">
      <formula1>"pending,corroborated,verified,conflicting,rejected"</formula1>
      <formula2>0</formula2>
    </dataValidation>
    <dataValidation allowBlank="true" errorStyle="stop" operator="between" showDropDown="false" showErrorMessage="false" showInputMessage="false" sqref="I2:I200" type="list">
      <formula1>"battery included,BaaS"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50"/>
  </cols>
  <sheetData>
    <row r="1" customFormat="false" ht="31.5" hidden="false" customHeight="true" outlineLevel="0" collapsed="false">
      <c r="A1" s="10" t="s">
        <v>611</v>
      </c>
      <c r="B1" s="10" t="s">
        <v>710</v>
      </c>
      <c r="C1" s="10" t="s">
        <v>711</v>
      </c>
      <c r="D1" s="10" t="s">
        <v>712</v>
      </c>
      <c r="E1" s="10" t="s">
        <v>713</v>
      </c>
      <c r="F1" s="10" t="s">
        <v>618</v>
      </c>
      <c r="G1" s="10" t="s">
        <v>619</v>
      </c>
      <c r="H1" s="10" t="s">
        <v>628</v>
      </c>
    </row>
    <row r="2" customFormat="false" ht="26.25" hidden="false" customHeight="true" outlineLevel="0" collapsed="false">
      <c r="A2" s="15" t="s">
        <v>106</v>
      </c>
      <c r="B2" s="15" t="s">
        <v>110</v>
      </c>
      <c r="C2" s="15" t="s">
        <v>714</v>
      </c>
      <c r="D2" s="15" t="n">
        <v>360</v>
      </c>
      <c r="E2" s="15" t="s">
        <v>715</v>
      </c>
      <c r="F2" s="15" t="s">
        <v>716</v>
      </c>
      <c r="G2" s="15" t="s">
        <v>112</v>
      </c>
      <c r="H2" s="15" t="s">
        <v>717</v>
      </c>
    </row>
    <row r="3" customFormat="false" ht="15" hidden="false" customHeight="true" outlineLevel="0" collapsed="false">
      <c r="A3" s="15" t="s">
        <v>106</v>
      </c>
      <c r="B3" s="15" t="s">
        <v>110</v>
      </c>
      <c r="C3" s="15" t="s">
        <v>718</v>
      </c>
      <c r="D3" s="15" t="s">
        <v>113</v>
      </c>
      <c r="E3" s="15"/>
      <c r="F3" s="15" t="s">
        <v>716</v>
      </c>
      <c r="G3" s="15" t="s">
        <v>112</v>
      </c>
      <c r="H3" s="15"/>
    </row>
    <row r="4" customFormat="false" ht="15" hidden="false" customHeight="true" outlineLevel="0" collapsed="false">
      <c r="A4" s="15" t="s">
        <v>106</v>
      </c>
      <c r="B4" s="15" t="s">
        <v>110</v>
      </c>
      <c r="C4" s="15" t="s">
        <v>719</v>
      </c>
      <c r="D4" s="15" t="n">
        <v>20</v>
      </c>
      <c r="E4" s="15" t="s">
        <v>720</v>
      </c>
      <c r="F4" s="15" t="s">
        <v>716</v>
      </c>
      <c r="G4" s="15" t="s">
        <v>112</v>
      </c>
      <c r="H4" s="15"/>
    </row>
    <row r="5" customFormat="false" ht="15" hidden="false" customHeight="true" outlineLevel="0" collapsed="false">
      <c r="A5" s="15" t="s">
        <v>106</v>
      </c>
      <c r="B5" s="15" t="s">
        <v>110</v>
      </c>
      <c r="C5" s="15" t="s">
        <v>86</v>
      </c>
      <c r="D5" s="15" t="n">
        <v>6</v>
      </c>
      <c r="E5" s="15" t="s">
        <v>721</v>
      </c>
      <c r="F5" s="15" t="s">
        <v>716</v>
      </c>
      <c r="G5" s="15" t="s">
        <v>112</v>
      </c>
      <c r="H5" s="15"/>
    </row>
    <row r="6" customFormat="false" ht="15" hidden="false" customHeight="true" outlineLevel="0" collapsed="false">
      <c r="A6" s="15" t="s">
        <v>106</v>
      </c>
      <c r="B6" s="15" t="s">
        <v>110</v>
      </c>
      <c r="C6" s="15" t="s">
        <v>722</v>
      </c>
      <c r="D6" s="15" t="n">
        <v>455</v>
      </c>
      <c r="E6" s="15" t="s">
        <v>723</v>
      </c>
      <c r="F6" s="15" t="s">
        <v>716</v>
      </c>
      <c r="G6" s="15" t="s">
        <v>112</v>
      </c>
      <c r="H6" s="15"/>
    </row>
    <row r="7" customFormat="false" ht="15" hidden="false" customHeight="true" outlineLevel="0" collapsed="false">
      <c r="A7" s="15" t="s">
        <v>106</v>
      </c>
      <c r="B7" s="15" t="s">
        <v>110</v>
      </c>
      <c r="C7" s="15" t="s">
        <v>724</v>
      </c>
      <c r="D7" s="15" t="n">
        <v>45</v>
      </c>
      <c r="E7" s="15" t="s">
        <v>723</v>
      </c>
      <c r="F7" s="15" t="s">
        <v>716</v>
      </c>
      <c r="G7" s="15" t="s">
        <v>112</v>
      </c>
      <c r="H7" s="15"/>
    </row>
    <row r="8" customFormat="false" ht="15" hidden="false" customHeight="true" outlineLevel="0" collapsed="false">
      <c r="A8" s="15" t="s">
        <v>106</v>
      </c>
      <c r="B8" s="15" t="s">
        <v>110</v>
      </c>
      <c r="C8" s="15" t="s">
        <v>84</v>
      </c>
      <c r="D8" s="15" t="n">
        <v>207</v>
      </c>
      <c r="E8" s="15" t="s">
        <v>725</v>
      </c>
      <c r="F8" s="15" t="s">
        <v>716</v>
      </c>
      <c r="G8" s="15" t="s">
        <v>112</v>
      </c>
      <c r="H8" s="15"/>
    </row>
    <row r="9" customFormat="false" ht="15" hidden="false" customHeight="true" outlineLevel="0" collapsed="false">
      <c r="A9" s="15" t="s">
        <v>106</v>
      </c>
      <c r="B9" s="15" t="s">
        <v>110</v>
      </c>
      <c r="C9" s="15" t="s">
        <v>726</v>
      </c>
      <c r="D9" s="15" t="n">
        <v>4371</v>
      </c>
      <c r="E9" s="15" t="s">
        <v>725</v>
      </c>
      <c r="F9" s="15" t="s">
        <v>716</v>
      </c>
      <c r="G9" s="15" t="s">
        <v>112</v>
      </c>
      <c r="H9" s="15"/>
    </row>
    <row r="10" customFormat="false" ht="15" hidden="false" customHeight="true" outlineLevel="0" collapsed="false">
      <c r="A10" s="15" t="s">
        <v>106</v>
      </c>
      <c r="B10" s="15" t="s">
        <v>110</v>
      </c>
      <c r="C10" s="15" t="s">
        <v>727</v>
      </c>
      <c r="D10" s="15" t="n">
        <v>1907</v>
      </c>
      <c r="E10" s="15" t="s">
        <v>725</v>
      </c>
      <c r="F10" s="15" t="s">
        <v>716</v>
      </c>
      <c r="G10" s="15" t="s">
        <v>112</v>
      </c>
      <c r="H10" s="15"/>
    </row>
    <row r="11" customFormat="false" ht="15" hidden="false" customHeight="true" outlineLevel="0" collapsed="false">
      <c r="A11" s="15" t="s">
        <v>106</v>
      </c>
      <c r="B11" s="15" t="s">
        <v>110</v>
      </c>
      <c r="C11" s="15" t="s">
        <v>728</v>
      </c>
      <c r="D11" s="15" t="n">
        <v>1627</v>
      </c>
      <c r="E11" s="15" t="s">
        <v>725</v>
      </c>
      <c r="F11" s="15" t="s">
        <v>716</v>
      </c>
      <c r="G11" s="15" t="s">
        <v>112</v>
      </c>
      <c r="H11" s="15"/>
    </row>
    <row r="12" customFormat="false" ht="15" hidden="false" customHeight="true" outlineLevel="0" collapsed="false">
      <c r="A12" s="15" t="s">
        <v>106</v>
      </c>
      <c r="B12" s="15" t="s">
        <v>110</v>
      </c>
      <c r="C12" s="15" t="s">
        <v>729</v>
      </c>
      <c r="D12" s="15" t="n">
        <v>2775</v>
      </c>
      <c r="E12" s="15" t="s">
        <v>725</v>
      </c>
      <c r="F12" s="15" t="s">
        <v>716</v>
      </c>
      <c r="G12" s="15" t="s">
        <v>112</v>
      </c>
      <c r="H12" s="15"/>
    </row>
    <row r="13" customFormat="false" ht="15" hidden="false" customHeight="true" outlineLevel="0" collapsed="false">
      <c r="A13" s="15" t="s">
        <v>106</v>
      </c>
      <c r="B13" s="15" t="s">
        <v>110</v>
      </c>
      <c r="C13" s="15" t="s">
        <v>730</v>
      </c>
      <c r="D13" s="15" t="n">
        <v>10</v>
      </c>
      <c r="E13" s="15" t="s">
        <v>731</v>
      </c>
      <c r="F13" s="15" t="s">
        <v>716</v>
      </c>
      <c r="G13" s="15" t="s">
        <v>112</v>
      </c>
      <c r="H13" s="15"/>
    </row>
    <row r="14" customFormat="false" ht="26.25" hidden="false" customHeight="true" outlineLevel="0" collapsed="false">
      <c r="A14" s="15" t="s">
        <v>106</v>
      </c>
      <c r="B14" s="15" t="s">
        <v>110</v>
      </c>
      <c r="C14" s="15" t="s">
        <v>98</v>
      </c>
      <c r="D14" s="15" t="s">
        <v>732</v>
      </c>
      <c r="E14" s="15"/>
      <c r="F14" s="15" t="s">
        <v>716</v>
      </c>
      <c r="G14" s="15" t="s">
        <v>112</v>
      </c>
      <c r="H14" s="15"/>
    </row>
    <row r="15" customFormat="false" ht="26.25" hidden="false" customHeight="true" outlineLevel="0" collapsed="false">
      <c r="A15" s="15" t="s">
        <v>106</v>
      </c>
      <c r="B15" s="15" t="s">
        <v>110</v>
      </c>
      <c r="C15" s="15" t="s">
        <v>733</v>
      </c>
      <c r="D15" s="15" t="s">
        <v>734</v>
      </c>
      <c r="E15" s="15"/>
      <c r="F15" s="15" t="s">
        <v>735</v>
      </c>
      <c r="G15" s="15" t="s">
        <v>112</v>
      </c>
      <c r="H15" s="15" t="s">
        <v>736</v>
      </c>
    </row>
    <row r="16" customFormat="false" ht="15" hidden="false" customHeight="true" outlineLevel="0" collapsed="false">
      <c r="A16" s="15" t="s">
        <v>106</v>
      </c>
      <c r="B16" s="15" t="s">
        <v>110</v>
      </c>
      <c r="C16" s="15" t="s">
        <v>737</v>
      </c>
      <c r="D16" s="15" t="n">
        <v>170</v>
      </c>
      <c r="E16" s="15" t="s">
        <v>738</v>
      </c>
      <c r="F16" s="15" t="s">
        <v>716</v>
      </c>
      <c r="G16" s="15" t="s">
        <v>112</v>
      </c>
      <c r="H16" s="15"/>
    </row>
    <row r="17" customFormat="false" ht="15" hidden="false" customHeight="true" outlineLevel="0" collapsed="false">
      <c r="A17" s="15" t="s">
        <v>106</v>
      </c>
      <c r="B17" s="15" t="s">
        <v>110</v>
      </c>
      <c r="C17" s="15" t="s">
        <v>739</v>
      </c>
      <c r="D17" s="15" t="n">
        <v>140</v>
      </c>
      <c r="E17" s="15" t="s">
        <v>738</v>
      </c>
      <c r="F17" s="15" t="s">
        <v>716</v>
      </c>
      <c r="G17" s="15" t="s">
        <v>112</v>
      </c>
      <c r="H17" s="15"/>
    </row>
    <row r="18" customFormat="false" ht="26.25" hidden="false" customHeight="true" outlineLevel="0" collapsed="false">
      <c r="A18" s="15" t="s">
        <v>106</v>
      </c>
      <c r="B18" s="15" t="s">
        <v>110</v>
      </c>
      <c r="C18" s="15" t="s">
        <v>740</v>
      </c>
      <c r="D18" s="15" t="n">
        <v>6</v>
      </c>
      <c r="E18" s="15" t="s">
        <v>741</v>
      </c>
      <c r="F18" s="15" t="s">
        <v>716</v>
      </c>
      <c r="G18" s="15" t="s">
        <v>112</v>
      </c>
      <c r="H18" s="15"/>
    </row>
    <row r="19" customFormat="false" ht="15" hidden="false" customHeight="true" outlineLevel="0" collapsed="false">
      <c r="A19" s="15" t="s">
        <v>106</v>
      </c>
      <c r="B19" s="15" t="s">
        <v>110</v>
      </c>
      <c r="C19" s="15" t="s">
        <v>742</v>
      </c>
      <c r="D19" s="15" t="n">
        <v>8.7</v>
      </c>
      <c r="E19" s="15" t="s">
        <v>741</v>
      </c>
      <c r="F19" s="15" t="s">
        <v>716</v>
      </c>
      <c r="G19" s="15" t="s">
        <v>112</v>
      </c>
      <c r="H19" s="15"/>
    </row>
    <row r="20" customFormat="false" ht="15" hidden="false" customHeight="true" outlineLevel="0" collapsed="false">
      <c r="A20" s="15" t="s">
        <v>106</v>
      </c>
      <c r="B20" s="15" t="s">
        <v>110</v>
      </c>
      <c r="C20" s="15" t="s">
        <v>743</v>
      </c>
      <c r="D20" s="15" t="s">
        <v>744</v>
      </c>
      <c r="E20" s="15"/>
      <c r="F20" s="15" t="s">
        <v>716</v>
      </c>
      <c r="G20" s="15" t="s">
        <v>112</v>
      </c>
      <c r="H20" s="15"/>
    </row>
    <row r="21" customFormat="false" ht="15" hidden="false" customHeight="true" outlineLevel="0" collapsed="false">
      <c r="A21" s="15" t="s">
        <v>106</v>
      </c>
      <c r="B21" s="15" t="s">
        <v>110</v>
      </c>
      <c r="C21" s="15" t="s">
        <v>745</v>
      </c>
      <c r="D21" s="15" t="s">
        <v>746</v>
      </c>
      <c r="E21" s="15"/>
      <c r="F21" s="15" t="s">
        <v>716</v>
      </c>
      <c r="G21" s="15" t="s">
        <v>112</v>
      </c>
      <c r="H21" s="15"/>
    </row>
    <row r="22" customFormat="false" ht="15" hidden="false" customHeight="true" outlineLevel="0" collapsed="false">
      <c r="A22" s="15" t="s">
        <v>106</v>
      </c>
      <c r="B22" s="15" t="s">
        <v>110</v>
      </c>
      <c r="C22" s="15" t="s">
        <v>747</v>
      </c>
      <c r="D22" s="15" t="s">
        <v>748</v>
      </c>
      <c r="E22" s="15"/>
      <c r="F22" s="15" t="s">
        <v>716</v>
      </c>
      <c r="G22" s="15" t="s">
        <v>112</v>
      </c>
      <c r="H22" s="15"/>
    </row>
    <row r="23" customFormat="false" ht="15" hidden="false" customHeight="true" outlineLevel="0" collapsed="false">
      <c r="A23" s="15" t="s">
        <v>106</v>
      </c>
      <c r="B23" s="15" t="s">
        <v>110</v>
      </c>
      <c r="C23" s="15" t="s">
        <v>749</v>
      </c>
      <c r="D23" s="15" t="s">
        <v>750</v>
      </c>
      <c r="E23" s="15"/>
      <c r="F23" s="15" t="s">
        <v>716</v>
      </c>
      <c r="G23" s="15" t="s">
        <v>112</v>
      </c>
      <c r="H23" s="15" t="s">
        <v>751</v>
      </c>
    </row>
    <row r="24" customFormat="false" ht="15" hidden="false" customHeight="true" outlineLevel="0" collapsed="false">
      <c r="A24" s="15" t="s">
        <v>106</v>
      </c>
      <c r="B24" s="15" t="s">
        <v>110</v>
      </c>
      <c r="C24" s="15" t="s">
        <v>752</v>
      </c>
      <c r="D24" s="15" t="s">
        <v>753</v>
      </c>
      <c r="E24" s="15"/>
      <c r="F24" s="15" t="s">
        <v>716</v>
      </c>
      <c r="G24" s="15" t="s">
        <v>112</v>
      </c>
      <c r="H24" s="15"/>
    </row>
    <row r="25" customFormat="false" ht="15" hidden="false" customHeight="true" outlineLevel="0" collapsed="false">
      <c r="A25" s="15" t="s">
        <v>106</v>
      </c>
      <c r="B25" s="15" t="s">
        <v>110</v>
      </c>
      <c r="C25" s="15" t="s">
        <v>90</v>
      </c>
      <c r="D25" s="15" t="s">
        <v>120</v>
      </c>
      <c r="E25" s="15"/>
      <c r="F25" s="15" t="s">
        <v>716</v>
      </c>
      <c r="G25" s="15" t="s">
        <v>112</v>
      </c>
      <c r="H25" s="15"/>
    </row>
    <row r="26" customFormat="false" ht="15" hidden="false" customHeight="true" outlineLevel="0" collapsed="false">
      <c r="A26" s="15" t="s">
        <v>106</v>
      </c>
      <c r="B26" s="15" t="s">
        <v>110</v>
      </c>
      <c r="C26" s="15" t="s">
        <v>754</v>
      </c>
      <c r="D26" s="15" t="s">
        <v>755</v>
      </c>
      <c r="E26" s="15"/>
      <c r="F26" s="15" t="s">
        <v>716</v>
      </c>
      <c r="G26" s="15" t="s">
        <v>112</v>
      </c>
      <c r="H26" s="15"/>
    </row>
    <row r="27" customFormat="false" ht="15" hidden="false" customHeight="true" outlineLevel="0" collapsed="false">
      <c r="A27" s="15" t="s">
        <v>106</v>
      </c>
      <c r="B27" s="15" t="s">
        <v>110</v>
      </c>
      <c r="C27" s="15" t="s">
        <v>756</v>
      </c>
      <c r="D27" s="15" t="s">
        <v>755</v>
      </c>
      <c r="E27" s="15"/>
      <c r="F27" s="15" t="s">
        <v>716</v>
      </c>
      <c r="G27" s="15" t="s">
        <v>112</v>
      </c>
      <c r="H27" s="15"/>
    </row>
    <row r="28" customFormat="false" ht="15" hidden="false" customHeight="true" outlineLevel="0" collapsed="false">
      <c r="A28" s="15" t="s">
        <v>106</v>
      </c>
      <c r="B28" s="15" t="s">
        <v>110</v>
      </c>
      <c r="C28" s="15" t="s">
        <v>757</v>
      </c>
      <c r="D28" s="15" t="s">
        <v>758</v>
      </c>
      <c r="E28" s="15"/>
      <c r="F28" s="15" t="s">
        <v>716</v>
      </c>
      <c r="G28" s="15" t="s">
        <v>112</v>
      </c>
      <c r="H28" s="15"/>
    </row>
    <row r="29" customFormat="false" ht="15" hidden="false" customHeight="true" outlineLevel="0" collapsed="false">
      <c r="A29" s="15" t="s">
        <v>106</v>
      </c>
      <c r="B29" s="15" t="s">
        <v>110</v>
      </c>
      <c r="C29" s="15" t="s">
        <v>759</v>
      </c>
      <c r="D29" s="15" t="s">
        <v>760</v>
      </c>
      <c r="E29" s="15"/>
      <c r="F29" s="15" t="s">
        <v>716</v>
      </c>
      <c r="G29" s="15" t="s">
        <v>112</v>
      </c>
      <c r="H29" s="15"/>
    </row>
    <row r="30" customFormat="false" ht="15" hidden="false" customHeight="true" outlineLevel="0" collapsed="false">
      <c r="A30" s="15" t="s">
        <v>106</v>
      </c>
      <c r="B30" s="15" t="s">
        <v>110</v>
      </c>
      <c r="C30" s="15" t="s">
        <v>761</v>
      </c>
      <c r="D30" s="15" t="s">
        <v>755</v>
      </c>
      <c r="E30" s="15"/>
      <c r="F30" s="15" t="s">
        <v>716</v>
      </c>
      <c r="G30" s="15" t="s">
        <v>112</v>
      </c>
      <c r="H30" s="15"/>
    </row>
    <row r="31" customFormat="false" ht="15" hidden="false" customHeight="true" outlineLevel="0" collapsed="false">
      <c r="A31" s="15" t="s">
        <v>106</v>
      </c>
      <c r="B31" s="15" t="s">
        <v>110</v>
      </c>
      <c r="C31" s="15" t="s">
        <v>762</v>
      </c>
      <c r="D31" s="15" t="s">
        <v>755</v>
      </c>
      <c r="E31" s="15"/>
      <c r="F31" s="15" t="s">
        <v>716</v>
      </c>
      <c r="G31" s="15" t="s">
        <v>112</v>
      </c>
      <c r="H31" s="15"/>
    </row>
    <row r="32" customFormat="false" ht="15" hidden="false" customHeight="true" outlineLevel="0" collapsed="false">
      <c r="A32" s="15" t="s">
        <v>106</v>
      </c>
      <c r="B32" s="15" t="s">
        <v>110</v>
      </c>
      <c r="C32" s="15" t="s">
        <v>92</v>
      </c>
      <c r="D32" s="15" t="s">
        <v>755</v>
      </c>
      <c r="E32" s="15"/>
      <c r="F32" s="15" t="s">
        <v>716</v>
      </c>
      <c r="G32" s="15" t="s">
        <v>112</v>
      </c>
      <c r="H32" s="15"/>
    </row>
    <row r="33" customFormat="false" ht="15" hidden="false" customHeight="true" outlineLevel="0" collapsed="false">
      <c r="A33" s="15" t="s">
        <v>106</v>
      </c>
      <c r="B33" s="15" t="s">
        <v>110</v>
      </c>
      <c r="C33" s="15" t="s">
        <v>763</v>
      </c>
      <c r="D33" s="15" t="s">
        <v>755</v>
      </c>
      <c r="E33" s="15"/>
      <c r="F33" s="15" t="s">
        <v>716</v>
      </c>
      <c r="G33" s="15" t="s">
        <v>112</v>
      </c>
      <c r="H33" s="15"/>
    </row>
    <row r="34" customFormat="false" ht="15" hidden="false" customHeight="true" outlineLevel="0" collapsed="false">
      <c r="A34" s="15" t="s">
        <v>106</v>
      </c>
      <c r="B34" s="15" t="s">
        <v>110</v>
      </c>
      <c r="C34" s="15" t="s">
        <v>764</v>
      </c>
      <c r="D34" s="15" t="s">
        <v>755</v>
      </c>
      <c r="E34" s="15"/>
      <c r="F34" s="15" t="s">
        <v>716</v>
      </c>
      <c r="G34" s="15" t="s">
        <v>112</v>
      </c>
      <c r="H34" s="15"/>
    </row>
    <row r="35" customFormat="false" ht="15" hidden="false" customHeight="true" outlineLevel="0" collapsed="false">
      <c r="A35" s="15" t="s">
        <v>106</v>
      </c>
      <c r="B35" s="15" t="s">
        <v>110</v>
      </c>
      <c r="C35" s="15" t="s">
        <v>765</v>
      </c>
      <c r="D35" s="15" t="s">
        <v>766</v>
      </c>
      <c r="E35" s="15"/>
      <c r="F35" s="15" t="s">
        <v>716</v>
      </c>
      <c r="G35" s="15" t="s">
        <v>112</v>
      </c>
      <c r="H35" s="15"/>
    </row>
    <row r="36" customFormat="false" ht="15" hidden="false" customHeight="true" outlineLevel="0" collapsed="false">
      <c r="A36" s="15" t="s">
        <v>106</v>
      </c>
      <c r="B36" s="15" t="s">
        <v>110</v>
      </c>
      <c r="C36" s="15" t="s">
        <v>767</v>
      </c>
      <c r="D36" s="15" t="s">
        <v>768</v>
      </c>
      <c r="E36" s="15"/>
      <c r="F36" s="15" t="s">
        <v>716</v>
      </c>
      <c r="G36" s="15" t="s">
        <v>112</v>
      </c>
      <c r="H36" s="15"/>
    </row>
    <row r="37" customFormat="false" ht="26.25" hidden="false" customHeight="true" outlineLevel="0" collapsed="false">
      <c r="A37" s="15" t="s">
        <v>106</v>
      </c>
      <c r="B37" s="15" t="s">
        <v>110</v>
      </c>
      <c r="C37" s="15" t="s">
        <v>769</v>
      </c>
      <c r="D37" s="15" t="n">
        <v>5</v>
      </c>
      <c r="E37" s="15" t="s">
        <v>721</v>
      </c>
      <c r="F37" s="15" t="s">
        <v>770</v>
      </c>
      <c r="G37" s="15" t="s">
        <v>293</v>
      </c>
      <c r="H37" s="15" t="s">
        <v>771</v>
      </c>
    </row>
    <row r="38" customFormat="false" ht="26.25" hidden="false" customHeight="true" outlineLevel="0" collapsed="false">
      <c r="A38" s="15" t="s">
        <v>106</v>
      </c>
      <c r="B38" s="15" t="s">
        <v>110</v>
      </c>
      <c r="C38" s="15" t="s">
        <v>772</v>
      </c>
      <c r="D38" s="15" t="n">
        <v>50000</v>
      </c>
      <c r="E38" s="15" t="s">
        <v>773</v>
      </c>
      <c r="F38" s="15" t="s">
        <v>770</v>
      </c>
      <c r="G38" s="15" t="s">
        <v>293</v>
      </c>
      <c r="H38" s="15" t="s">
        <v>774</v>
      </c>
    </row>
    <row r="39" customFormat="false" ht="26.25" hidden="false" customHeight="true" outlineLevel="0" collapsed="false">
      <c r="A39" s="15" t="s">
        <v>106</v>
      </c>
      <c r="B39" s="15" t="s">
        <v>110</v>
      </c>
      <c r="C39" s="15" t="s">
        <v>775</v>
      </c>
      <c r="D39" s="15" t="n">
        <v>75000</v>
      </c>
      <c r="E39" s="15" t="s">
        <v>773</v>
      </c>
      <c r="F39" s="15" t="s">
        <v>770</v>
      </c>
      <c r="G39" s="15" t="s">
        <v>293</v>
      </c>
      <c r="H39" s="15" t="s">
        <v>774</v>
      </c>
    </row>
    <row r="40" customFormat="false" ht="39" hidden="false" customHeight="true" outlineLevel="0" collapsed="false">
      <c r="A40" s="15" t="s">
        <v>106</v>
      </c>
      <c r="B40" s="15" t="s">
        <v>110</v>
      </c>
      <c r="C40" s="15" t="s">
        <v>776</v>
      </c>
      <c r="D40" s="15" t="s">
        <v>777</v>
      </c>
      <c r="E40" s="15"/>
      <c r="F40" s="15" t="s">
        <v>778</v>
      </c>
      <c r="G40" s="15" t="s">
        <v>293</v>
      </c>
      <c r="H40" s="15" t="s">
        <v>779</v>
      </c>
    </row>
    <row r="41" customFormat="false" ht="39" hidden="false" customHeight="true" outlineLevel="0" collapsed="false">
      <c r="A41" s="15" t="s">
        <v>106</v>
      </c>
      <c r="B41" s="15" t="s">
        <v>110</v>
      </c>
      <c r="C41" s="15" t="s">
        <v>780</v>
      </c>
      <c r="D41" s="15" t="s">
        <v>781</v>
      </c>
      <c r="E41" s="15"/>
      <c r="F41" s="15" t="s">
        <v>778</v>
      </c>
      <c r="G41" s="15" t="s">
        <v>293</v>
      </c>
      <c r="H41" s="15" t="s">
        <v>779</v>
      </c>
    </row>
    <row r="42" customFormat="false" ht="39" hidden="false" customHeight="true" outlineLevel="0" collapsed="false">
      <c r="A42" s="15" t="s">
        <v>106</v>
      </c>
      <c r="B42" s="15" t="s">
        <v>110</v>
      </c>
      <c r="C42" s="15" t="s">
        <v>782</v>
      </c>
      <c r="D42" s="15" t="n">
        <v>36</v>
      </c>
      <c r="E42" s="15" t="s">
        <v>783</v>
      </c>
      <c r="F42" s="15" t="s">
        <v>778</v>
      </c>
      <c r="G42" s="15" t="s">
        <v>293</v>
      </c>
      <c r="H42" s="15" t="s">
        <v>779</v>
      </c>
    </row>
    <row r="43" customFormat="false" ht="39" hidden="false" customHeight="true" outlineLevel="0" collapsed="false">
      <c r="A43" s="15" t="s">
        <v>106</v>
      </c>
      <c r="B43" s="15" t="s">
        <v>110</v>
      </c>
      <c r="C43" s="15" t="s">
        <v>784</v>
      </c>
      <c r="D43" s="15" t="n">
        <v>11</v>
      </c>
      <c r="E43" s="15" t="s">
        <v>738</v>
      </c>
      <c r="F43" s="15" t="s">
        <v>778</v>
      </c>
      <c r="G43" s="15" t="s">
        <v>293</v>
      </c>
      <c r="H43" s="15" t="s">
        <v>779</v>
      </c>
    </row>
    <row r="44" customFormat="false" ht="39" hidden="false" customHeight="true" outlineLevel="0" collapsed="false">
      <c r="A44" s="15" t="s">
        <v>106</v>
      </c>
      <c r="B44" s="15" t="s">
        <v>110</v>
      </c>
      <c r="C44" s="15" t="s">
        <v>785</v>
      </c>
      <c r="D44" s="15" t="n">
        <v>307</v>
      </c>
      <c r="E44" s="15" t="s">
        <v>786</v>
      </c>
      <c r="F44" s="15" t="s">
        <v>778</v>
      </c>
      <c r="G44" s="15" t="s">
        <v>293</v>
      </c>
      <c r="H44" s="15" t="s">
        <v>779</v>
      </c>
    </row>
    <row r="45" customFormat="false" ht="39" hidden="false" customHeight="true" outlineLevel="0" collapsed="false">
      <c r="A45" s="15" t="s">
        <v>106</v>
      </c>
      <c r="B45" s="15" t="s">
        <v>110</v>
      </c>
      <c r="C45" s="15" t="s">
        <v>787</v>
      </c>
      <c r="D45" s="15" t="s">
        <v>788</v>
      </c>
      <c r="E45" s="15"/>
      <c r="F45" s="15" t="s">
        <v>778</v>
      </c>
      <c r="G45" s="15" t="s">
        <v>293</v>
      </c>
      <c r="H45" s="15" t="s">
        <v>779</v>
      </c>
    </row>
    <row r="46" customFormat="false" ht="39" hidden="false" customHeight="true" outlineLevel="0" collapsed="false">
      <c r="A46" s="15" t="s">
        <v>106</v>
      </c>
      <c r="B46" s="15" t="s">
        <v>110</v>
      </c>
      <c r="C46" s="15" t="s">
        <v>789</v>
      </c>
      <c r="D46" s="15" t="s">
        <v>790</v>
      </c>
      <c r="E46" s="15"/>
      <c r="F46" s="15" t="s">
        <v>778</v>
      </c>
      <c r="G46" s="15" t="s">
        <v>293</v>
      </c>
      <c r="H46" s="15" t="s">
        <v>779</v>
      </c>
    </row>
    <row r="47" customFormat="false" ht="39" hidden="false" customHeight="true" outlineLevel="0" collapsed="false">
      <c r="A47" s="15" t="s">
        <v>106</v>
      </c>
      <c r="B47" s="15" t="s">
        <v>110</v>
      </c>
      <c r="C47" s="15" t="s">
        <v>791</v>
      </c>
      <c r="D47" s="15" t="s">
        <v>792</v>
      </c>
      <c r="E47" s="15"/>
      <c r="F47" s="15" t="s">
        <v>778</v>
      </c>
      <c r="G47" s="15" t="s">
        <v>293</v>
      </c>
      <c r="H47" s="15" t="s">
        <v>779</v>
      </c>
    </row>
    <row r="48" customFormat="false" ht="26.25" hidden="false" customHeight="true" outlineLevel="0" collapsed="false">
      <c r="A48" s="15" t="s">
        <v>162</v>
      </c>
      <c r="B48" s="15" t="s">
        <v>163</v>
      </c>
      <c r="C48" s="15" t="s">
        <v>714</v>
      </c>
      <c r="D48" s="15" t="n">
        <v>360</v>
      </c>
      <c r="E48" s="15" t="s">
        <v>715</v>
      </c>
      <c r="F48" s="15" t="s">
        <v>716</v>
      </c>
      <c r="G48" s="15" t="s">
        <v>112</v>
      </c>
      <c r="H48" s="15" t="s">
        <v>717</v>
      </c>
    </row>
    <row r="49" customFormat="false" ht="15" hidden="false" customHeight="true" outlineLevel="0" collapsed="false">
      <c r="A49" s="15" t="s">
        <v>162</v>
      </c>
      <c r="B49" s="15" t="s">
        <v>163</v>
      </c>
      <c r="C49" s="15" t="s">
        <v>718</v>
      </c>
      <c r="D49" s="15" t="s">
        <v>113</v>
      </c>
      <c r="E49" s="15"/>
      <c r="F49" s="15" t="s">
        <v>716</v>
      </c>
      <c r="G49" s="15" t="s">
        <v>112</v>
      </c>
      <c r="H49" s="15"/>
    </row>
    <row r="50" customFormat="false" ht="15" hidden="false" customHeight="true" outlineLevel="0" collapsed="false">
      <c r="A50" s="15" t="s">
        <v>162</v>
      </c>
      <c r="B50" s="15" t="s">
        <v>163</v>
      </c>
      <c r="C50" s="15" t="s">
        <v>719</v>
      </c>
      <c r="D50" s="15" t="n">
        <v>20</v>
      </c>
      <c r="E50" s="15" t="s">
        <v>720</v>
      </c>
      <c r="F50" s="15" t="s">
        <v>716</v>
      </c>
      <c r="G50" s="15" t="s">
        <v>112</v>
      </c>
      <c r="H50" s="15"/>
    </row>
    <row r="51" customFormat="false" ht="15" hidden="false" customHeight="true" outlineLevel="0" collapsed="false">
      <c r="A51" s="15" t="s">
        <v>162</v>
      </c>
      <c r="B51" s="15" t="s">
        <v>163</v>
      </c>
      <c r="C51" s="15" t="s">
        <v>86</v>
      </c>
      <c r="D51" s="15" t="n">
        <v>6</v>
      </c>
      <c r="E51" s="15" t="s">
        <v>721</v>
      </c>
      <c r="F51" s="15" t="s">
        <v>716</v>
      </c>
      <c r="G51" s="15" t="s">
        <v>112</v>
      </c>
      <c r="H51" s="15"/>
    </row>
    <row r="52" customFormat="false" ht="15" hidden="false" customHeight="true" outlineLevel="0" collapsed="false">
      <c r="A52" s="15" t="s">
        <v>162</v>
      </c>
      <c r="B52" s="15" t="s">
        <v>163</v>
      </c>
      <c r="C52" s="15" t="s">
        <v>722</v>
      </c>
      <c r="D52" s="15" t="n">
        <v>455</v>
      </c>
      <c r="E52" s="15" t="s">
        <v>723</v>
      </c>
      <c r="F52" s="15" t="s">
        <v>716</v>
      </c>
      <c r="G52" s="15" t="s">
        <v>112</v>
      </c>
      <c r="H52" s="15"/>
    </row>
    <row r="53" customFormat="false" ht="15" hidden="false" customHeight="true" outlineLevel="0" collapsed="false">
      <c r="A53" s="15" t="s">
        <v>162</v>
      </c>
      <c r="B53" s="15" t="s">
        <v>163</v>
      </c>
      <c r="C53" s="15" t="s">
        <v>724</v>
      </c>
      <c r="D53" s="15" t="n">
        <v>45</v>
      </c>
      <c r="E53" s="15" t="s">
        <v>723</v>
      </c>
      <c r="F53" s="15" t="s">
        <v>716</v>
      </c>
      <c r="G53" s="15" t="s">
        <v>112</v>
      </c>
      <c r="H53" s="15"/>
    </row>
    <row r="54" customFormat="false" ht="15" hidden="false" customHeight="true" outlineLevel="0" collapsed="false">
      <c r="A54" s="15" t="s">
        <v>162</v>
      </c>
      <c r="B54" s="15" t="s">
        <v>163</v>
      </c>
      <c r="C54" s="15" t="s">
        <v>84</v>
      </c>
      <c r="D54" s="15" t="n">
        <v>207</v>
      </c>
      <c r="E54" s="15" t="s">
        <v>725</v>
      </c>
      <c r="F54" s="15" t="s">
        <v>716</v>
      </c>
      <c r="G54" s="15" t="s">
        <v>112</v>
      </c>
      <c r="H54" s="15"/>
    </row>
    <row r="55" customFormat="false" ht="15" hidden="false" customHeight="true" outlineLevel="0" collapsed="false">
      <c r="A55" s="15" t="s">
        <v>162</v>
      </c>
      <c r="B55" s="15" t="s">
        <v>163</v>
      </c>
      <c r="C55" s="15" t="s">
        <v>726</v>
      </c>
      <c r="D55" s="15" t="n">
        <v>4371</v>
      </c>
      <c r="E55" s="15" t="s">
        <v>725</v>
      </c>
      <c r="F55" s="15" t="s">
        <v>716</v>
      </c>
      <c r="G55" s="15" t="s">
        <v>112</v>
      </c>
      <c r="H55" s="15"/>
    </row>
    <row r="56" customFormat="false" ht="15" hidden="false" customHeight="true" outlineLevel="0" collapsed="false">
      <c r="A56" s="15" t="s">
        <v>162</v>
      </c>
      <c r="B56" s="15" t="s">
        <v>163</v>
      </c>
      <c r="C56" s="15" t="s">
        <v>727</v>
      </c>
      <c r="D56" s="15" t="n">
        <v>1907</v>
      </c>
      <c r="E56" s="15" t="s">
        <v>725</v>
      </c>
      <c r="F56" s="15" t="s">
        <v>716</v>
      </c>
      <c r="G56" s="15" t="s">
        <v>112</v>
      </c>
      <c r="H56" s="15"/>
    </row>
    <row r="57" customFormat="false" ht="15" hidden="false" customHeight="true" outlineLevel="0" collapsed="false">
      <c r="A57" s="15" t="s">
        <v>162</v>
      </c>
      <c r="B57" s="15" t="s">
        <v>163</v>
      </c>
      <c r="C57" s="15" t="s">
        <v>728</v>
      </c>
      <c r="D57" s="15" t="n">
        <v>1627</v>
      </c>
      <c r="E57" s="15" t="s">
        <v>725</v>
      </c>
      <c r="F57" s="15" t="s">
        <v>716</v>
      </c>
      <c r="G57" s="15" t="s">
        <v>112</v>
      </c>
      <c r="H57" s="15"/>
    </row>
    <row r="58" customFormat="false" ht="15" hidden="false" customHeight="true" outlineLevel="0" collapsed="false">
      <c r="A58" s="15" t="s">
        <v>162</v>
      </c>
      <c r="B58" s="15" t="s">
        <v>163</v>
      </c>
      <c r="C58" s="15" t="s">
        <v>729</v>
      </c>
      <c r="D58" s="15" t="n">
        <v>2775</v>
      </c>
      <c r="E58" s="15" t="s">
        <v>725</v>
      </c>
      <c r="F58" s="15" t="s">
        <v>716</v>
      </c>
      <c r="G58" s="15" t="s">
        <v>112</v>
      </c>
      <c r="H58" s="15"/>
    </row>
    <row r="59" customFormat="false" ht="15" hidden="false" customHeight="true" outlineLevel="0" collapsed="false">
      <c r="A59" s="15" t="s">
        <v>162</v>
      </c>
      <c r="B59" s="15" t="s">
        <v>163</v>
      </c>
      <c r="C59" s="15" t="s">
        <v>730</v>
      </c>
      <c r="D59" s="15" t="n">
        <v>10</v>
      </c>
      <c r="E59" s="15" t="s">
        <v>731</v>
      </c>
      <c r="F59" s="15" t="s">
        <v>716</v>
      </c>
      <c r="G59" s="15" t="s">
        <v>112</v>
      </c>
      <c r="H59" s="15"/>
    </row>
    <row r="60" customFormat="false" ht="26.25" hidden="false" customHeight="true" outlineLevel="0" collapsed="false">
      <c r="A60" s="15" t="s">
        <v>162</v>
      </c>
      <c r="B60" s="15" t="s">
        <v>163</v>
      </c>
      <c r="C60" s="15" t="s">
        <v>98</v>
      </c>
      <c r="D60" s="15" t="s">
        <v>732</v>
      </c>
      <c r="E60" s="15"/>
      <c r="F60" s="15" t="s">
        <v>716</v>
      </c>
      <c r="G60" s="15" t="s">
        <v>112</v>
      </c>
      <c r="H60" s="15"/>
    </row>
    <row r="61" customFormat="false" ht="26.25" hidden="false" customHeight="true" outlineLevel="0" collapsed="false">
      <c r="A61" s="15" t="s">
        <v>162</v>
      </c>
      <c r="B61" s="15" t="s">
        <v>163</v>
      </c>
      <c r="C61" s="15" t="s">
        <v>733</v>
      </c>
      <c r="D61" s="15" t="s">
        <v>734</v>
      </c>
      <c r="E61" s="15"/>
      <c r="F61" s="15" t="s">
        <v>735</v>
      </c>
      <c r="G61" s="15" t="s">
        <v>112</v>
      </c>
      <c r="H61" s="15" t="s">
        <v>736</v>
      </c>
    </row>
    <row r="62" customFormat="false" ht="15" hidden="false" customHeight="true" outlineLevel="0" collapsed="false">
      <c r="A62" s="15" t="s">
        <v>162</v>
      </c>
      <c r="B62" s="15" t="s">
        <v>163</v>
      </c>
      <c r="C62" s="15" t="s">
        <v>737</v>
      </c>
      <c r="D62" s="15" t="n">
        <v>170</v>
      </c>
      <c r="E62" s="15" t="s">
        <v>738</v>
      </c>
      <c r="F62" s="15" t="s">
        <v>716</v>
      </c>
      <c r="G62" s="15" t="s">
        <v>112</v>
      </c>
      <c r="H62" s="15"/>
    </row>
    <row r="63" customFormat="false" ht="15" hidden="false" customHeight="true" outlineLevel="0" collapsed="false">
      <c r="A63" s="15" t="s">
        <v>162</v>
      </c>
      <c r="B63" s="15" t="s">
        <v>163</v>
      </c>
      <c r="C63" s="15" t="s">
        <v>739</v>
      </c>
      <c r="D63" s="15" t="n">
        <v>140</v>
      </c>
      <c r="E63" s="15" t="s">
        <v>738</v>
      </c>
      <c r="F63" s="15" t="s">
        <v>716</v>
      </c>
      <c r="G63" s="15" t="s">
        <v>112</v>
      </c>
      <c r="H63" s="15"/>
    </row>
    <row r="64" customFormat="false" ht="26.25" hidden="false" customHeight="true" outlineLevel="0" collapsed="false">
      <c r="A64" s="15" t="s">
        <v>162</v>
      </c>
      <c r="B64" s="15" t="s">
        <v>163</v>
      </c>
      <c r="C64" s="15" t="s">
        <v>740</v>
      </c>
      <c r="D64" s="15" t="n">
        <v>6</v>
      </c>
      <c r="E64" s="15" t="s">
        <v>741</v>
      </c>
      <c r="F64" s="15" t="s">
        <v>716</v>
      </c>
      <c r="G64" s="15" t="s">
        <v>112</v>
      </c>
      <c r="H64" s="15"/>
    </row>
    <row r="65" customFormat="false" ht="15" hidden="false" customHeight="true" outlineLevel="0" collapsed="false">
      <c r="A65" s="15" t="s">
        <v>162</v>
      </c>
      <c r="B65" s="15" t="s">
        <v>163</v>
      </c>
      <c r="C65" s="15" t="s">
        <v>742</v>
      </c>
      <c r="D65" s="15" t="n">
        <v>8.7</v>
      </c>
      <c r="E65" s="15" t="s">
        <v>741</v>
      </c>
      <c r="F65" s="15" t="s">
        <v>716</v>
      </c>
      <c r="G65" s="15" t="s">
        <v>112</v>
      </c>
      <c r="H65" s="15"/>
    </row>
    <row r="66" customFormat="false" ht="15" hidden="false" customHeight="true" outlineLevel="0" collapsed="false">
      <c r="A66" s="15" t="s">
        <v>162</v>
      </c>
      <c r="B66" s="15" t="s">
        <v>163</v>
      </c>
      <c r="C66" s="15" t="s">
        <v>743</v>
      </c>
      <c r="D66" s="15" t="s">
        <v>744</v>
      </c>
      <c r="E66" s="15"/>
      <c r="F66" s="15" t="s">
        <v>716</v>
      </c>
      <c r="G66" s="15" t="s">
        <v>112</v>
      </c>
      <c r="H66" s="15"/>
    </row>
    <row r="67" customFormat="false" ht="15" hidden="false" customHeight="true" outlineLevel="0" collapsed="false">
      <c r="A67" s="15" t="s">
        <v>162</v>
      </c>
      <c r="B67" s="15" t="s">
        <v>163</v>
      </c>
      <c r="C67" s="15" t="s">
        <v>745</v>
      </c>
      <c r="D67" s="15" t="s">
        <v>746</v>
      </c>
      <c r="E67" s="15"/>
      <c r="F67" s="15" t="s">
        <v>716</v>
      </c>
      <c r="G67" s="15" t="s">
        <v>112</v>
      </c>
      <c r="H67" s="15"/>
    </row>
    <row r="68" customFormat="false" ht="15" hidden="false" customHeight="true" outlineLevel="0" collapsed="false">
      <c r="A68" s="15" t="s">
        <v>162</v>
      </c>
      <c r="B68" s="15" t="s">
        <v>163</v>
      </c>
      <c r="C68" s="15" t="s">
        <v>747</v>
      </c>
      <c r="D68" s="15" t="s">
        <v>748</v>
      </c>
      <c r="E68" s="15"/>
      <c r="F68" s="15" t="s">
        <v>716</v>
      </c>
      <c r="G68" s="15" t="s">
        <v>112</v>
      </c>
      <c r="H68" s="15"/>
    </row>
    <row r="69" customFormat="false" ht="15" hidden="false" customHeight="true" outlineLevel="0" collapsed="false">
      <c r="A69" s="15" t="s">
        <v>162</v>
      </c>
      <c r="B69" s="15" t="s">
        <v>163</v>
      </c>
      <c r="C69" s="15" t="s">
        <v>749</v>
      </c>
      <c r="D69" s="15" t="s">
        <v>750</v>
      </c>
      <c r="E69" s="15"/>
      <c r="F69" s="15" t="s">
        <v>716</v>
      </c>
      <c r="G69" s="15" t="s">
        <v>112</v>
      </c>
      <c r="H69" s="15" t="s">
        <v>751</v>
      </c>
    </row>
    <row r="70" customFormat="false" ht="15" hidden="false" customHeight="true" outlineLevel="0" collapsed="false">
      <c r="A70" s="15" t="s">
        <v>162</v>
      </c>
      <c r="B70" s="15" t="s">
        <v>163</v>
      </c>
      <c r="C70" s="15" t="s">
        <v>752</v>
      </c>
      <c r="D70" s="15" t="s">
        <v>753</v>
      </c>
      <c r="E70" s="15"/>
      <c r="F70" s="15" t="s">
        <v>716</v>
      </c>
      <c r="G70" s="15" t="s">
        <v>112</v>
      </c>
      <c r="H70" s="15"/>
    </row>
    <row r="71" customFormat="false" ht="15" hidden="false" customHeight="true" outlineLevel="0" collapsed="false">
      <c r="A71" s="15" t="s">
        <v>162</v>
      </c>
      <c r="B71" s="15" t="s">
        <v>163</v>
      </c>
      <c r="C71" s="15" t="s">
        <v>90</v>
      </c>
      <c r="D71" s="15" t="s">
        <v>120</v>
      </c>
      <c r="E71" s="15"/>
      <c r="F71" s="15" t="s">
        <v>716</v>
      </c>
      <c r="G71" s="15" t="s">
        <v>112</v>
      </c>
      <c r="H71" s="15"/>
    </row>
    <row r="72" customFormat="false" ht="15" hidden="false" customHeight="true" outlineLevel="0" collapsed="false">
      <c r="A72" s="15" t="s">
        <v>162</v>
      </c>
      <c r="B72" s="15" t="s">
        <v>163</v>
      </c>
      <c r="C72" s="15" t="s">
        <v>754</v>
      </c>
      <c r="D72" s="15" t="s">
        <v>755</v>
      </c>
      <c r="E72" s="15"/>
      <c r="F72" s="15" t="s">
        <v>716</v>
      </c>
      <c r="G72" s="15" t="s">
        <v>112</v>
      </c>
      <c r="H72" s="15"/>
    </row>
    <row r="73" customFormat="false" ht="15" hidden="false" customHeight="true" outlineLevel="0" collapsed="false">
      <c r="A73" s="15" t="s">
        <v>162</v>
      </c>
      <c r="B73" s="15" t="s">
        <v>163</v>
      </c>
      <c r="C73" s="15" t="s">
        <v>756</v>
      </c>
      <c r="D73" s="15" t="s">
        <v>755</v>
      </c>
      <c r="E73" s="15"/>
      <c r="F73" s="15" t="s">
        <v>716</v>
      </c>
      <c r="G73" s="15" t="s">
        <v>112</v>
      </c>
      <c r="H73" s="15"/>
    </row>
    <row r="74" customFormat="false" ht="15" hidden="false" customHeight="true" outlineLevel="0" collapsed="false">
      <c r="A74" s="15" t="s">
        <v>162</v>
      </c>
      <c r="B74" s="15" t="s">
        <v>163</v>
      </c>
      <c r="C74" s="15" t="s">
        <v>757</v>
      </c>
      <c r="D74" s="15" t="s">
        <v>758</v>
      </c>
      <c r="E74" s="15"/>
      <c r="F74" s="15" t="s">
        <v>716</v>
      </c>
      <c r="G74" s="15" t="s">
        <v>112</v>
      </c>
      <c r="H74" s="15"/>
    </row>
    <row r="75" customFormat="false" ht="15" hidden="false" customHeight="true" outlineLevel="0" collapsed="false">
      <c r="A75" s="15" t="s">
        <v>162</v>
      </c>
      <c r="B75" s="15" t="s">
        <v>163</v>
      </c>
      <c r="C75" s="15" t="s">
        <v>759</v>
      </c>
      <c r="D75" s="15" t="s">
        <v>760</v>
      </c>
      <c r="E75" s="15"/>
      <c r="F75" s="15" t="s">
        <v>716</v>
      </c>
      <c r="G75" s="15" t="s">
        <v>112</v>
      </c>
      <c r="H75" s="15"/>
    </row>
    <row r="76" customFormat="false" ht="15" hidden="false" customHeight="true" outlineLevel="0" collapsed="false">
      <c r="A76" s="15" t="s">
        <v>162</v>
      </c>
      <c r="B76" s="15" t="s">
        <v>163</v>
      </c>
      <c r="C76" s="15" t="s">
        <v>761</v>
      </c>
      <c r="D76" s="15" t="s">
        <v>755</v>
      </c>
      <c r="E76" s="15"/>
      <c r="F76" s="15" t="s">
        <v>716</v>
      </c>
      <c r="G76" s="15" t="s">
        <v>112</v>
      </c>
      <c r="H76" s="15"/>
    </row>
    <row r="77" customFormat="false" ht="15" hidden="false" customHeight="true" outlineLevel="0" collapsed="false">
      <c r="A77" s="15" t="s">
        <v>162</v>
      </c>
      <c r="B77" s="15" t="s">
        <v>163</v>
      </c>
      <c r="C77" s="15" t="s">
        <v>762</v>
      </c>
      <c r="D77" s="15" t="s">
        <v>755</v>
      </c>
      <c r="E77" s="15"/>
      <c r="F77" s="15" t="s">
        <v>716</v>
      </c>
      <c r="G77" s="15" t="s">
        <v>112</v>
      </c>
      <c r="H77" s="15"/>
    </row>
    <row r="78" customFormat="false" ht="15" hidden="false" customHeight="true" outlineLevel="0" collapsed="false">
      <c r="A78" s="15" t="s">
        <v>162</v>
      </c>
      <c r="B78" s="15" t="s">
        <v>163</v>
      </c>
      <c r="C78" s="15" t="s">
        <v>92</v>
      </c>
      <c r="D78" s="15" t="s">
        <v>755</v>
      </c>
      <c r="E78" s="15"/>
      <c r="F78" s="15" t="s">
        <v>716</v>
      </c>
      <c r="G78" s="15" t="s">
        <v>112</v>
      </c>
      <c r="H78" s="15"/>
    </row>
    <row r="79" customFormat="false" ht="15" hidden="false" customHeight="true" outlineLevel="0" collapsed="false">
      <c r="A79" s="15" t="s">
        <v>162</v>
      </c>
      <c r="B79" s="15" t="s">
        <v>163</v>
      </c>
      <c r="C79" s="15" t="s">
        <v>763</v>
      </c>
      <c r="D79" s="15" t="s">
        <v>755</v>
      </c>
      <c r="E79" s="15"/>
      <c r="F79" s="15" t="s">
        <v>716</v>
      </c>
      <c r="G79" s="15" t="s">
        <v>112</v>
      </c>
      <c r="H79" s="15"/>
    </row>
    <row r="80" customFormat="false" ht="15" hidden="false" customHeight="true" outlineLevel="0" collapsed="false">
      <c r="A80" s="15" t="s">
        <v>162</v>
      </c>
      <c r="B80" s="15" t="s">
        <v>163</v>
      </c>
      <c r="C80" s="15" t="s">
        <v>764</v>
      </c>
      <c r="D80" s="15" t="s">
        <v>755</v>
      </c>
      <c r="E80" s="15"/>
      <c r="F80" s="15" t="s">
        <v>716</v>
      </c>
      <c r="G80" s="15" t="s">
        <v>112</v>
      </c>
      <c r="H80" s="15"/>
    </row>
    <row r="81" customFormat="false" ht="15" hidden="false" customHeight="true" outlineLevel="0" collapsed="false">
      <c r="A81" s="15" t="s">
        <v>162</v>
      </c>
      <c r="B81" s="15" t="s">
        <v>163</v>
      </c>
      <c r="C81" s="15" t="s">
        <v>765</v>
      </c>
      <c r="D81" s="15" t="s">
        <v>766</v>
      </c>
      <c r="E81" s="15"/>
      <c r="F81" s="15" t="s">
        <v>716</v>
      </c>
      <c r="G81" s="15" t="s">
        <v>112</v>
      </c>
      <c r="H81" s="15"/>
    </row>
    <row r="82" customFormat="false" ht="15" hidden="false" customHeight="true" outlineLevel="0" collapsed="false">
      <c r="A82" s="15" t="s">
        <v>162</v>
      </c>
      <c r="B82" s="15" t="s">
        <v>163</v>
      </c>
      <c r="C82" s="15" t="s">
        <v>767</v>
      </c>
      <c r="D82" s="15" t="s">
        <v>768</v>
      </c>
      <c r="E82" s="15"/>
      <c r="F82" s="15" t="s">
        <v>716</v>
      </c>
      <c r="G82" s="15" t="s">
        <v>112</v>
      </c>
      <c r="H82" s="15"/>
    </row>
    <row r="83" customFormat="false" ht="26.25" hidden="false" customHeight="true" outlineLevel="0" collapsed="false">
      <c r="A83" s="15" t="s">
        <v>162</v>
      </c>
      <c r="B83" s="15" t="s">
        <v>163</v>
      </c>
      <c r="C83" s="15" t="s">
        <v>769</v>
      </c>
      <c r="D83" s="15" t="n">
        <v>5</v>
      </c>
      <c r="E83" s="15" t="s">
        <v>721</v>
      </c>
      <c r="F83" s="15" t="s">
        <v>770</v>
      </c>
      <c r="G83" s="15" t="s">
        <v>293</v>
      </c>
      <c r="H83" s="15" t="s">
        <v>771</v>
      </c>
    </row>
    <row r="84" customFormat="false" ht="26.25" hidden="false" customHeight="true" outlineLevel="0" collapsed="false">
      <c r="A84" s="15" t="s">
        <v>162</v>
      </c>
      <c r="B84" s="15" t="s">
        <v>163</v>
      </c>
      <c r="C84" s="15" t="s">
        <v>772</v>
      </c>
      <c r="D84" s="15" t="n">
        <v>50000</v>
      </c>
      <c r="E84" s="15" t="s">
        <v>773</v>
      </c>
      <c r="F84" s="15" t="s">
        <v>770</v>
      </c>
      <c r="G84" s="15" t="s">
        <v>293</v>
      </c>
      <c r="H84" s="15" t="s">
        <v>774</v>
      </c>
    </row>
    <row r="85" customFormat="false" ht="26.25" hidden="false" customHeight="true" outlineLevel="0" collapsed="false">
      <c r="A85" s="15" t="s">
        <v>162</v>
      </c>
      <c r="B85" s="15" t="s">
        <v>163</v>
      </c>
      <c r="C85" s="15" t="s">
        <v>775</v>
      </c>
      <c r="D85" s="15" t="n">
        <v>75000</v>
      </c>
      <c r="E85" s="15" t="s">
        <v>773</v>
      </c>
      <c r="F85" s="15" t="s">
        <v>770</v>
      </c>
      <c r="G85" s="15" t="s">
        <v>293</v>
      </c>
      <c r="H85" s="15" t="s">
        <v>774</v>
      </c>
    </row>
    <row r="86" customFormat="false" ht="39" hidden="false" customHeight="true" outlineLevel="0" collapsed="false">
      <c r="A86" s="15" t="s">
        <v>162</v>
      </c>
      <c r="B86" s="15" t="s">
        <v>163</v>
      </c>
      <c r="C86" s="15" t="s">
        <v>776</v>
      </c>
      <c r="D86" s="15" t="s">
        <v>777</v>
      </c>
      <c r="E86" s="15"/>
      <c r="F86" s="15" t="s">
        <v>778</v>
      </c>
      <c r="G86" s="15" t="s">
        <v>293</v>
      </c>
      <c r="H86" s="15" t="s">
        <v>779</v>
      </c>
    </row>
    <row r="87" customFormat="false" ht="39" hidden="false" customHeight="true" outlineLevel="0" collapsed="false">
      <c r="A87" s="15" t="s">
        <v>162</v>
      </c>
      <c r="B87" s="15" t="s">
        <v>163</v>
      </c>
      <c r="C87" s="15" t="s">
        <v>780</v>
      </c>
      <c r="D87" s="15" t="s">
        <v>781</v>
      </c>
      <c r="E87" s="15"/>
      <c r="F87" s="15" t="s">
        <v>778</v>
      </c>
      <c r="G87" s="15" t="s">
        <v>293</v>
      </c>
      <c r="H87" s="15" t="s">
        <v>779</v>
      </c>
    </row>
    <row r="88" customFormat="false" ht="39" hidden="false" customHeight="true" outlineLevel="0" collapsed="false">
      <c r="A88" s="15" t="s">
        <v>162</v>
      </c>
      <c r="B88" s="15" t="s">
        <v>163</v>
      </c>
      <c r="C88" s="15" t="s">
        <v>782</v>
      </c>
      <c r="D88" s="15" t="n">
        <v>36</v>
      </c>
      <c r="E88" s="15" t="s">
        <v>783</v>
      </c>
      <c r="F88" s="15" t="s">
        <v>778</v>
      </c>
      <c r="G88" s="15" t="s">
        <v>293</v>
      </c>
      <c r="H88" s="15" t="s">
        <v>779</v>
      </c>
    </row>
    <row r="89" customFormat="false" ht="39" hidden="false" customHeight="true" outlineLevel="0" collapsed="false">
      <c r="A89" s="15" t="s">
        <v>162</v>
      </c>
      <c r="B89" s="15" t="s">
        <v>163</v>
      </c>
      <c r="C89" s="15" t="s">
        <v>784</v>
      </c>
      <c r="D89" s="15" t="n">
        <v>11</v>
      </c>
      <c r="E89" s="15" t="s">
        <v>738</v>
      </c>
      <c r="F89" s="15" t="s">
        <v>778</v>
      </c>
      <c r="G89" s="15" t="s">
        <v>293</v>
      </c>
      <c r="H89" s="15" t="s">
        <v>779</v>
      </c>
    </row>
    <row r="90" customFormat="false" ht="39" hidden="false" customHeight="true" outlineLevel="0" collapsed="false">
      <c r="A90" s="15" t="s">
        <v>162</v>
      </c>
      <c r="B90" s="15" t="s">
        <v>163</v>
      </c>
      <c r="C90" s="15" t="s">
        <v>785</v>
      </c>
      <c r="D90" s="15" t="n">
        <v>307</v>
      </c>
      <c r="E90" s="15" t="s">
        <v>786</v>
      </c>
      <c r="F90" s="15" t="s">
        <v>778</v>
      </c>
      <c r="G90" s="15" t="s">
        <v>293</v>
      </c>
      <c r="H90" s="15" t="s">
        <v>779</v>
      </c>
    </row>
    <row r="91" customFormat="false" ht="39" hidden="false" customHeight="true" outlineLevel="0" collapsed="false">
      <c r="A91" s="15" t="s">
        <v>162</v>
      </c>
      <c r="B91" s="15" t="s">
        <v>163</v>
      </c>
      <c r="C91" s="15" t="s">
        <v>787</v>
      </c>
      <c r="D91" s="15" t="s">
        <v>788</v>
      </c>
      <c r="E91" s="15"/>
      <c r="F91" s="15" t="s">
        <v>778</v>
      </c>
      <c r="G91" s="15" t="s">
        <v>293</v>
      </c>
      <c r="H91" s="15" t="s">
        <v>779</v>
      </c>
    </row>
    <row r="92" customFormat="false" ht="39" hidden="false" customHeight="true" outlineLevel="0" collapsed="false">
      <c r="A92" s="15" t="s">
        <v>162</v>
      </c>
      <c r="B92" s="15" t="s">
        <v>163</v>
      </c>
      <c r="C92" s="15" t="s">
        <v>789</v>
      </c>
      <c r="D92" s="15" t="s">
        <v>790</v>
      </c>
      <c r="E92" s="15"/>
      <c r="F92" s="15" t="s">
        <v>778</v>
      </c>
      <c r="G92" s="15" t="s">
        <v>293</v>
      </c>
      <c r="H92" s="15" t="s">
        <v>779</v>
      </c>
    </row>
    <row r="93" customFormat="false" ht="39" hidden="false" customHeight="true" outlineLevel="0" collapsed="false">
      <c r="A93" s="15" t="s">
        <v>162</v>
      </c>
      <c r="B93" s="15" t="s">
        <v>163</v>
      </c>
      <c r="C93" s="15" t="s">
        <v>791</v>
      </c>
      <c r="D93" s="15" t="s">
        <v>792</v>
      </c>
      <c r="E93" s="15"/>
      <c r="F93" s="15" t="s">
        <v>778</v>
      </c>
      <c r="G93" s="15" t="s">
        <v>293</v>
      </c>
      <c r="H93" s="15" t="s">
        <v>779</v>
      </c>
    </row>
    <row r="94" customFormat="false" ht="26.25" hidden="false" customHeight="true" outlineLevel="0" collapsed="false">
      <c r="A94" s="15" t="s">
        <v>126</v>
      </c>
      <c r="B94" s="15" t="s">
        <v>127</v>
      </c>
      <c r="C94" s="15" t="s">
        <v>714</v>
      </c>
      <c r="D94" s="15" t="n">
        <v>360</v>
      </c>
      <c r="E94" s="15" t="s">
        <v>715</v>
      </c>
      <c r="F94" s="15" t="s">
        <v>716</v>
      </c>
      <c r="G94" s="15" t="s">
        <v>112</v>
      </c>
      <c r="H94" s="15" t="s">
        <v>717</v>
      </c>
    </row>
    <row r="95" customFormat="false" ht="15" hidden="false" customHeight="true" outlineLevel="0" collapsed="false">
      <c r="A95" s="15" t="s">
        <v>126</v>
      </c>
      <c r="B95" s="15" t="s">
        <v>127</v>
      </c>
      <c r="C95" s="15" t="s">
        <v>718</v>
      </c>
      <c r="D95" s="15" t="s">
        <v>113</v>
      </c>
      <c r="E95" s="15"/>
      <c r="F95" s="15" t="s">
        <v>716</v>
      </c>
      <c r="G95" s="15" t="s">
        <v>112</v>
      </c>
      <c r="H95" s="15"/>
    </row>
    <row r="96" customFormat="false" ht="15" hidden="false" customHeight="true" outlineLevel="0" collapsed="false">
      <c r="A96" s="15" t="s">
        <v>126</v>
      </c>
      <c r="B96" s="15" t="s">
        <v>127</v>
      </c>
      <c r="C96" s="15" t="s">
        <v>719</v>
      </c>
      <c r="D96" s="15" t="n">
        <v>20</v>
      </c>
      <c r="E96" s="15" t="s">
        <v>720</v>
      </c>
      <c r="F96" s="15" t="s">
        <v>716</v>
      </c>
      <c r="G96" s="15" t="s">
        <v>112</v>
      </c>
      <c r="H96" s="15"/>
    </row>
    <row r="97" customFormat="false" ht="15" hidden="false" customHeight="true" outlineLevel="0" collapsed="false">
      <c r="A97" s="15" t="s">
        <v>126</v>
      </c>
      <c r="B97" s="15" t="s">
        <v>127</v>
      </c>
      <c r="C97" s="15" t="s">
        <v>86</v>
      </c>
      <c r="D97" s="15" t="n">
        <v>6</v>
      </c>
      <c r="E97" s="15" t="s">
        <v>721</v>
      </c>
      <c r="F97" s="15" t="s">
        <v>716</v>
      </c>
      <c r="G97" s="15" t="s">
        <v>112</v>
      </c>
      <c r="H97" s="15"/>
    </row>
    <row r="98" customFormat="false" ht="15" hidden="false" customHeight="true" outlineLevel="0" collapsed="false">
      <c r="A98" s="15" t="s">
        <v>126</v>
      </c>
      <c r="B98" s="15" t="s">
        <v>127</v>
      </c>
      <c r="C98" s="15" t="s">
        <v>722</v>
      </c>
      <c r="D98" s="15" t="n">
        <v>455</v>
      </c>
      <c r="E98" s="15" t="s">
        <v>723</v>
      </c>
      <c r="F98" s="15" t="s">
        <v>716</v>
      </c>
      <c r="G98" s="15" t="s">
        <v>112</v>
      </c>
      <c r="H98" s="15"/>
    </row>
    <row r="99" customFormat="false" ht="15" hidden="false" customHeight="true" outlineLevel="0" collapsed="false">
      <c r="A99" s="15" t="s">
        <v>126</v>
      </c>
      <c r="B99" s="15" t="s">
        <v>127</v>
      </c>
      <c r="C99" s="15" t="s">
        <v>724</v>
      </c>
      <c r="D99" s="15" t="n">
        <v>45</v>
      </c>
      <c r="E99" s="15" t="s">
        <v>723</v>
      </c>
      <c r="F99" s="15" t="s">
        <v>716</v>
      </c>
      <c r="G99" s="15" t="s">
        <v>112</v>
      </c>
      <c r="H99" s="15"/>
    </row>
    <row r="100" customFormat="false" ht="15" hidden="false" customHeight="true" outlineLevel="0" collapsed="false">
      <c r="A100" s="15" t="s">
        <v>126</v>
      </c>
      <c r="B100" s="15" t="s">
        <v>127</v>
      </c>
      <c r="C100" s="15" t="s">
        <v>84</v>
      </c>
      <c r="D100" s="15" t="n">
        <v>207</v>
      </c>
      <c r="E100" s="15" t="s">
        <v>725</v>
      </c>
      <c r="F100" s="15" t="s">
        <v>716</v>
      </c>
      <c r="G100" s="15" t="s">
        <v>112</v>
      </c>
      <c r="H100" s="15"/>
    </row>
    <row r="101" customFormat="false" ht="15" hidden="false" customHeight="true" outlineLevel="0" collapsed="false">
      <c r="A101" s="15" t="s">
        <v>126</v>
      </c>
      <c r="B101" s="15" t="s">
        <v>127</v>
      </c>
      <c r="C101" s="15" t="s">
        <v>726</v>
      </c>
      <c r="D101" s="15" t="n">
        <v>4371</v>
      </c>
      <c r="E101" s="15" t="s">
        <v>725</v>
      </c>
      <c r="F101" s="15" t="s">
        <v>716</v>
      </c>
      <c r="G101" s="15" t="s">
        <v>112</v>
      </c>
      <c r="H101" s="15"/>
    </row>
    <row r="102" customFormat="false" ht="15" hidden="false" customHeight="true" outlineLevel="0" collapsed="false">
      <c r="A102" s="15" t="s">
        <v>126</v>
      </c>
      <c r="B102" s="15" t="s">
        <v>127</v>
      </c>
      <c r="C102" s="15" t="s">
        <v>727</v>
      </c>
      <c r="D102" s="15" t="n">
        <v>1907</v>
      </c>
      <c r="E102" s="15" t="s">
        <v>725</v>
      </c>
      <c r="F102" s="15" t="s">
        <v>716</v>
      </c>
      <c r="G102" s="15" t="s">
        <v>112</v>
      </c>
      <c r="H102" s="15"/>
    </row>
    <row r="103" customFormat="false" ht="15" hidden="false" customHeight="true" outlineLevel="0" collapsed="false">
      <c r="A103" s="15" t="s">
        <v>126</v>
      </c>
      <c r="B103" s="15" t="s">
        <v>127</v>
      </c>
      <c r="C103" s="15" t="s">
        <v>728</v>
      </c>
      <c r="D103" s="15" t="n">
        <v>1627</v>
      </c>
      <c r="E103" s="15" t="s">
        <v>725</v>
      </c>
      <c r="F103" s="15" t="s">
        <v>716</v>
      </c>
      <c r="G103" s="15" t="s">
        <v>112</v>
      </c>
      <c r="H103" s="15"/>
    </row>
    <row r="104" customFormat="false" ht="15" hidden="false" customHeight="true" outlineLevel="0" collapsed="false">
      <c r="A104" s="15" t="s">
        <v>126</v>
      </c>
      <c r="B104" s="15" t="s">
        <v>127</v>
      </c>
      <c r="C104" s="15" t="s">
        <v>729</v>
      </c>
      <c r="D104" s="15" t="n">
        <v>2775</v>
      </c>
      <c r="E104" s="15" t="s">
        <v>725</v>
      </c>
      <c r="F104" s="15" t="s">
        <v>716</v>
      </c>
      <c r="G104" s="15" t="s">
        <v>112</v>
      </c>
      <c r="H104" s="15"/>
    </row>
    <row r="105" customFormat="false" ht="15" hidden="false" customHeight="true" outlineLevel="0" collapsed="false">
      <c r="A105" s="15" t="s">
        <v>126</v>
      </c>
      <c r="B105" s="15" t="s">
        <v>127</v>
      </c>
      <c r="C105" s="15" t="s">
        <v>730</v>
      </c>
      <c r="D105" s="15" t="n">
        <v>10</v>
      </c>
      <c r="E105" s="15" t="s">
        <v>731</v>
      </c>
      <c r="F105" s="15" t="s">
        <v>716</v>
      </c>
      <c r="G105" s="15" t="s">
        <v>112</v>
      </c>
      <c r="H105" s="15"/>
    </row>
    <row r="106" customFormat="false" ht="26.25" hidden="false" customHeight="true" outlineLevel="0" collapsed="false">
      <c r="A106" s="15" t="s">
        <v>126</v>
      </c>
      <c r="B106" s="15" t="s">
        <v>127</v>
      </c>
      <c r="C106" s="15" t="s">
        <v>98</v>
      </c>
      <c r="D106" s="15" t="s">
        <v>732</v>
      </c>
      <c r="E106" s="15"/>
      <c r="F106" s="15" t="s">
        <v>716</v>
      </c>
      <c r="G106" s="15" t="s">
        <v>112</v>
      </c>
      <c r="H106" s="15"/>
    </row>
    <row r="107" customFormat="false" ht="26.25" hidden="false" customHeight="true" outlineLevel="0" collapsed="false">
      <c r="A107" s="15" t="s">
        <v>126</v>
      </c>
      <c r="B107" s="15" t="s">
        <v>127</v>
      </c>
      <c r="C107" s="15" t="s">
        <v>733</v>
      </c>
      <c r="D107" s="15" t="s">
        <v>734</v>
      </c>
      <c r="E107" s="15"/>
      <c r="F107" s="15" t="s">
        <v>735</v>
      </c>
      <c r="G107" s="15" t="s">
        <v>112</v>
      </c>
      <c r="H107" s="15" t="s">
        <v>736</v>
      </c>
    </row>
    <row r="108" customFormat="false" ht="15" hidden="false" customHeight="true" outlineLevel="0" collapsed="false">
      <c r="A108" s="15" t="s">
        <v>126</v>
      </c>
      <c r="B108" s="15" t="s">
        <v>127</v>
      </c>
      <c r="C108" s="15" t="s">
        <v>737</v>
      </c>
      <c r="D108" s="15" t="n">
        <v>170</v>
      </c>
      <c r="E108" s="15" t="s">
        <v>738</v>
      </c>
      <c r="F108" s="15" t="s">
        <v>716</v>
      </c>
      <c r="G108" s="15" t="s">
        <v>112</v>
      </c>
      <c r="H108" s="15"/>
    </row>
    <row r="109" customFormat="false" ht="15" hidden="false" customHeight="true" outlineLevel="0" collapsed="false">
      <c r="A109" s="15" t="s">
        <v>126</v>
      </c>
      <c r="B109" s="15" t="s">
        <v>127</v>
      </c>
      <c r="C109" s="15" t="s">
        <v>739</v>
      </c>
      <c r="D109" s="15" t="n">
        <v>140</v>
      </c>
      <c r="E109" s="15" t="s">
        <v>738</v>
      </c>
      <c r="F109" s="15" t="s">
        <v>716</v>
      </c>
      <c r="G109" s="15" t="s">
        <v>112</v>
      </c>
      <c r="H109" s="15"/>
    </row>
    <row r="110" customFormat="false" ht="26.25" hidden="false" customHeight="true" outlineLevel="0" collapsed="false">
      <c r="A110" s="15" t="s">
        <v>126</v>
      </c>
      <c r="B110" s="15" t="s">
        <v>127</v>
      </c>
      <c r="C110" s="15" t="s">
        <v>740</v>
      </c>
      <c r="D110" s="15" t="n">
        <v>6</v>
      </c>
      <c r="E110" s="15" t="s">
        <v>741</v>
      </c>
      <c r="F110" s="15" t="s">
        <v>716</v>
      </c>
      <c r="G110" s="15" t="s">
        <v>112</v>
      </c>
      <c r="H110" s="15"/>
    </row>
    <row r="111" customFormat="false" ht="15" hidden="false" customHeight="true" outlineLevel="0" collapsed="false">
      <c r="A111" s="15" t="s">
        <v>126</v>
      </c>
      <c r="B111" s="15" t="s">
        <v>127</v>
      </c>
      <c r="C111" s="15" t="s">
        <v>742</v>
      </c>
      <c r="D111" s="15" t="n">
        <v>8.7</v>
      </c>
      <c r="E111" s="15" t="s">
        <v>741</v>
      </c>
      <c r="F111" s="15" t="s">
        <v>716</v>
      </c>
      <c r="G111" s="15" t="s">
        <v>112</v>
      </c>
      <c r="H111" s="15"/>
    </row>
    <row r="112" customFormat="false" ht="15" hidden="false" customHeight="true" outlineLevel="0" collapsed="false">
      <c r="A112" s="15" t="s">
        <v>126</v>
      </c>
      <c r="B112" s="15" t="s">
        <v>127</v>
      </c>
      <c r="C112" s="15" t="s">
        <v>743</v>
      </c>
      <c r="D112" s="15" t="s">
        <v>793</v>
      </c>
      <c r="E112" s="15"/>
      <c r="F112" s="15" t="s">
        <v>716</v>
      </c>
      <c r="G112" s="15" t="s">
        <v>112</v>
      </c>
      <c r="H112" s="15"/>
    </row>
    <row r="113" customFormat="false" ht="15" hidden="false" customHeight="true" outlineLevel="0" collapsed="false">
      <c r="A113" s="15" t="s">
        <v>126</v>
      </c>
      <c r="B113" s="15" t="s">
        <v>127</v>
      </c>
      <c r="C113" s="15" t="s">
        <v>745</v>
      </c>
      <c r="D113" s="15" t="s">
        <v>794</v>
      </c>
      <c r="E113" s="15"/>
      <c r="F113" s="15" t="s">
        <v>716</v>
      </c>
      <c r="G113" s="15" t="s">
        <v>112</v>
      </c>
      <c r="H113" s="15"/>
    </row>
    <row r="114" customFormat="false" ht="15" hidden="false" customHeight="true" outlineLevel="0" collapsed="false">
      <c r="A114" s="15" t="s">
        <v>126</v>
      </c>
      <c r="B114" s="15" t="s">
        <v>127</v>
      </c>
      <c r="C114" s="15" t="s">
        <v>747</v>
      </c>
      <c r="D114" s="15" t="s">
        <v>795</v>
      </c>
      <c r="E114" s="15"/>
      <c r="F114" s="15" t="s">
        <v>716</v>
      </c>
      <c r="G114" s="15" t="s">
        <v>112</v>
      </c>
      <c r="H114" s="15"/>
    </row>
    <row r="115" customFormat="false" ht="15" hidden="false" customHeight="true" outlineLevel="0" collapsed="false">
      <c r="A115" s="15" t="s">
        <v>126</v>
      </c>
      <c r="B115" s="15" t="s">
        <v>127</v>
      </c>
      <c r="C115" s="15" t="s">
        <v>749</v>
      </c>
      <c r="D115" s="15" t="s">
        <v>750</v>
      </c>
      <c r="E115" s="15"/>
      <c r="F115" s="15" t="s">
        <v>716</v>
      </c>
      <c r="G115" s="15" t="s">
        <v>112</v>
      </c>
      <c r="H115" s="15" t="s">
        <v>751</v>
      </c>
    </row>
    <row r="116" customFormat="false" ht="15" hidden="false" customHeight="true" outlineLevel="0" collapsed="false">
      <c r="A116" s="15" t="s">
        <v>126</v>
      </c>
      <c r="B116" s="15" t="s">
        <v>127</v>
      </c>
      <c r="C116" s="15" t="s">
        <v>752</v>
      </c>
      <c r="D116" s="15" t="s">
        <v>796</v>
      </c>
      <c r="E116" s="15"/>
      <c r="F116" s="15" t="s">
        <v>716</v>
      </c>
      <c r="G116" s="15" t="s">
        <v>112</v>
      </c>
      <c r="H116" s="15"/>
    </row>
    <row r="117" customFormat="false" ht="15" hidden="false" customHeight="true" outlineLevel="0" collapsed="false">
      <c r="A117" s="15" t="s">
        <v>126</v>
      </c>
      <c r="B117" s="15" t="s">
        <v>127</v>
      </c>
      <c r="C117" s="15" t="s">
        <v>90</v>
      </c>
      <c r="D117" s="15" t="s">
        <v>120</v>
      </c>
      <c r="E117" s="15"/>
      <c r="F117" s="15" t="s">
        <v>716</v>
      </c>
      <c r="G117" s="15" t="s">
        <v>112</v>
      </c>
      <c r="H117" s="15"/>
    </row>
    <row r="118" customFormat="false" ht="15" hidden="false" customHeight="true" outlineLevel="0" collapsed="false">
      <c r="A118" s="15" t="s">
        <v>126</v>
      </c>
      <c r="B118" s="15" t="s">
        <v>127</v>
      </c>
      <c r="C118" s="15" t="s">
        <v>754</v>
      </c>
      <c r="D118" s="15" t="s">
        <v>755</v>
      </c>
      <c r="E118" s="15"/>
      <c r="F118" s="15" t="s">
        <v>716</v>
      </c>
      <c r="G118" s="15" t="s">
        <v>112</v>
      </c>
      <c r="H118" s="15"/>
    </row>
    <row r="119" customFormat="false" ht="15" hidden="false" customHeight="true" outlineLevel="0" collapsed="false">
      <c r="A119" s="15" t="s">
        <v>126</v>
      </c>
      <c r="B119" s="15" t="s">
        <v>127</v>
      </c>
      <c r="C119" s="15" t="s">
        <v>756</v>
      </c>
      <c r="D119" s="15" t="s">
        <v>755</v>
      </c>
      <c r="E119" s="15"/>
      <c r="F119" s="15" t="s">
        <v>716</v>
      </c>
      <c r="G119" s="15" t="s">
        <v>112</v>
      </c>
      <c r="H119" s="15"/>
    </row>
    <row r="120" customFormat="false" ht="15" hidden="false" customHeight="true" outlineLevel="0" collapsed="false">
      <c r="A120" s="15" t="s">
        <v>126</v>
      </c>
      <c r="B120" s="15" t="s">
        <v>127</v>
      </c>
      <c r="C120" s="15" t="s">
        <v>757</v>
      </c>
      <c r="D120" s="15" t="s">
        <v>797</v>
      </c>
      <c r="E120" s="15"/>
      <c r="F120" s="15" t="s">
        <v>716</v>
      </c>
      <c r="G120" s="15" t="s">
        <v>112</v>
      </c>
      <c r="H120" s="15"/>
    </row>
    <row r="121" customFormat="false" ht="15" hidden="false" customHeight="true" outlineLevel="0" collapsed="false">
      <c r="A121" s="15" t="s">
        <v>126</v>
      </c>
      <c r="B121" s="15" t="s">
        <v>127</v>
      </c>
      <c r="C121" s="15" t="s">
        <v>759</v>
      </c>
      <c r="D121" s="15" t="s">
        <v>798</v>
      </c>
      <c r="E121" s="15"/>
      <c r="F121" s="15" t="s">
        <v>716</v>
      </c>
      <c r="G121" s="15" t="s">
        <v>112</v>
      </c>
      <c r="H121" s="15"/>
    </row>
    <row r="122" customFormat="false" ht="15" hidden="false" customHeight="true" outlineLevel="0" collapsed="false">
      <c r="A122" s="15" t="s">
        <v>126</v>
      </c>
      <c r="B122" s="15" t="s">
        <v>127</v>
      </c>
      <c r="C122" s="15" t="s">
        <v>761</v>
      </c>
      <c r="D122" s="15" t="s">
        <v>755</v>
      </c>
      <c r="E122" s="15"/>
      <c r="F122" s="15" t="s">
        <v>716</v>
      </c>
      <c r="G122" s="15" t="s">
        <v>112</v>
      </c>
      <c r="H122" s="15"/>
    </row>
    <row r="123" customFormat="false" ht="15" hidden="false" customHeight="true" outlineLevel="0" collapsed="false">
      <c r="A123" s="15" t="s">
        <v>126</v>
      </c>
      <c r="B123" s="15" t="s">
        <v>127</v>
      </c>
      <c r="C123" s="15" t="s">
        <v>762</v>
      </c>
      <c r="D123" s="15" t="s">
        <v>755</v>
      </c>
      <c r="E123" s="15"/>
      <c r="F123" s="15" t="s">
        <v>716</v>
      </c>
      <c r="G123" s="15" t="s">
        <v>112</v>
      </c>
      <c r="H123" s="15"/>
    </row>
    <row r="124" customFormat="false" ht="15" hidden="false" customHeight="true" outlineLevel="0" collapsed="false">
      <c r="A124" s="15" t="s">
        <v>126</v>
      </c>
      <c r="B124" s="15" t="s">
        <v>127</v>
      </c>
      <c r="C124" s="15" t="s">
        <v>92</v>
      </c>
      <c r="D124" s="15" t="s">
        <v>755</v>
      </c>
      <c r="E124" s="15"/>
      <c r="F124" s="15" t="s">
        <v>716</v>
      </c>
      <c r="G124" s="15" t="s">
        <v>112</v>
      </c>
      <c r="H124" s="15"/>
    </row>
    <row r="125" customFormat="false" ht="15" hidden="false" customHeight="true" outlineLevel="0" collapsed="false">
      <c r="A125" s="15" t="s">
        <v>126</v>
      </c>
      <c r="B125" s="15" t="s">
        <v>127</v>
      </c>
      <c r="C125" s="15" t="s">
        <v>763</v>
      </c>
      <c r="D125" s="15" t="s">
        <v>755</v>
      </c>
      <c r="E125" s="15"/>
      <c r="F125" s="15" t="s">
        <v>716</v>
      </c>
      <c r="G125" s="15" t="s">
        <v>112</v>
      </c>
      <c r="H125" s="15"/>
    </row>
    <row r="126" customFormat="false" ht="15" hidden="false" customHeight="true" outlineLevel="0" collapsed="false">
      <c r="A126" s="15" t="s">
        <v>126</v>
      </c>
      <c r="B126" s="15" t="s">
        <v>127</v>
      </c>
      <c r="C126" s="15" t="s">
        <v>764</v>
      </c>
      <c r="D126" s="15" t="s">
        <v>755</v>
      </c>
      <c r="E126" s="15"/>
      <c r="F126" s="15" t="s">
        <v>716</v>
      </c>
      <c r="G126" s="15" t="s">
        <v>112</v>
      </c>
      <c r="H126" s="15"/>
    </row>
    <row r="127" customFormat="false" ht="15" hidden="false" customHeight="true" outlineLevel="0" collapsed="false">
      <c r="A127" s="15" t="s">
        <v>126</v>
      </c>
      <c r="B127" s="15" t="s">
        <v>127</v>
      </c>
      <c r="C127" s="15" t="s">
        <v>765</v>
      </c>
      <c r="D127" s="15" t="s">
        <v>799</v>
      </c>
      <c r="E127" s="15"/>
      <c r="F127" s="15" t="s">
        <v>716</v>
      </c>
      <c r="G127" s="15" t="s">
        <v>112</v>
      </c>
      <c r="H127" s="15"/>
    </row>
    <row r="128" customFormat="false" ht="15" hidden="false" customHeight="true" outlineLevel="0" collapsed="false">
      <c r="A128" s="15" t="s">
        <v>126</v>
      </c>
      <c r="B128" s="15" t="s">
        <v>127</v>
      </c>
      <c r="C128" s="15" t="s">
        <v>767</v>
      </c>
      <c r="D128" s="15" t="s">
        <v>768</v>
      </c>
      <c r="E128" s="15"/>
      <c r="F128" s="15" t="s">
        <v>716</v>
      </c>
      <c r="G128" s="15" t="s">
        <v>112</v>
      </c>
      <c r="H128" s="15"/>
    </row>
    <row r="129" customFormat="false" ht="26.25" hidden="false" customHeight="true" outlineLevel="0" collapsed="false">
      <c r="A129" s="15" t="s">
        <v>126</v>
      </c>
      <c r="B129" s="15" t="s">
        <v>127</v>
      </c>
      <c r="C129" s="15" t="s">
        <v>769</v>
      </c>
      <c r="D129" s="15" t="n">
        <v>5</v>
      </c>
      <c r="E129" s="15" t="s">
        <v>721</v>
      </c>
      <c r="F129" s="15" t="s">
        <v>770</v>
      </c>
      <c r="G129" s="15" t="s">
        <v>293</v>
      </c>
      <c r="H129" s="15" t="s">
        <v>771</v>
      </c>
    </row>
    <row r="130" customFormat="false" ht="26.25" hidden="false" customHeight="true" outlineLevel="0" collapsed="false">
      <c r="A130" s="15" t="s">
        <v>126</v>
      </c>
      <c r="B130" s="15" t="s">
        <v>127</v>
      </c>
      <c r="C130" s="15" t="s">
        <v>772</v>
      </c>
      <c r="D130" s="15" t="n">
        <v>50000</v>
      </c>
      <c r="E130" s="15" t="s">
        <v>773</v>
      </c>
      <c r="F130" s="15" t="s">
        <v>770</v>
      </c>
      <c r="G130" s="15" t="s">
        <v>293</v>
      </c>
      <c r="H130" s="15" t="s">
        <v>774</v>
      </c>
    </row>
    <row r="131" customFormat="false" ht="26.25" hidden="false" customHeight="true" outlineLevel="0" collapsed="false">
      <c r="A131" s="15" t="s">
        <v>126</v>
      </c>
      <c r="B131" s="15" t="s">
        <v>127</v>
      </c>
      <c r="C131" s="15" t="s">
        <v>775</v>
      </c>
      <c r="D131" s="15" t="n">
        <v>75000</v>
      </c>
      <c r="E131" s="15" t="s">
        <v>773</v>
      </c>
      <c r="F131" s="15" t="s">
        <v>770</v>
      </c>
      <c r="G131" s="15" t="s">
        <v>293</v>
      </c>
      <c r="H131" s="15" t="s">
        <v>774</v>
      </c>
    </row>
    <row r="132" customFormat="false" ht="39" hidden="false" customHeight="true" outlineLevel="0" collapsed="false">
      <c r="A132" s="15" t="s">
        <v>126</v>
      </c>
      <c r="B132" s="15" t="s">
        <v>127</v>
      </c>
      <c r="C132" s="15" t="s">
        <v>776</v>
      </c>
      <c r="D132" s="15" t="s">
        <v>800</v>
      </c>
      <c r="E132" s="15"/>
      <c r="F132" s="15" t="s">
        <v>778</v>
      </c>
      <c r="G132" s="15" t="s">
        <v>293</v>
      </c>
      <c r="H132" s="15" t="s">
        <v>779</v>
      </c>
    </row>
    <row r="133" customFormat="false" ht="39" hidden="false" customHeight="true" outlineLevel="0" collapsed="false">
      <c r="A133" s="15" t="s">
        <v>126</v>
      </c>
      <c r="B133" s="15" t="s">
        <v>127</v>
      </c>
      <c r="C133" s="15" t="s">
        <v>780</v>
      </c>
      <c r="D133" s="15" t="s">
        <v>781</v>
      </c>
      <c r="E133" s="15"/>
      <c r="F133" s="15" t="s">
        <v>778</v>
      </c>
      <c r="G133" s="15" t="s">
        <v>293</v>
      </c>
      <c r="H133" s="15" t="s">
        <v>779</v>
      </c>
    </row>
    <row r="134" customFormat="false" ht="39" hidden="false" customHeight="true" outlineLevel="0" collapsed="false">
      <c r="A134" s="15" t="s">
        <v>126</v>
      </c>
      <c r="B134" s="15" t="s">
        <v>127</v>
      </c>
      <c r="C134" s="15" t="s">
        <v>782</v>
      </c>
      <c r="D134" s="15" t="n">
        <v>36</v>
      </c>
      <c r="E134" s="15" t="s">
        <v>783</v>
      </c>
      <c r="F134" s="15" t="s">
        <v>778</v>
      </c>
      <c r="G134" s="15" t="s">
        <v>293</v>
      </c>
      <c r="H134" s="15" t="s">
        <v>779</v>
      </c>
    </row>
    <row r="135" customFormat="false" ht="39" hidden="false" customHeight="true" outlineLevel="0" collapsed="false">
      <c r="A135" s="15" t="s">
        <v>126</v>
      </c>
      <c r="B135" s="15" t="s">
        <v>127</v>
      </c>
      <c r="C135" s="15" t="s">
        <v>784</v>
      </c>
      <c r="D135" s="15" t="n">
        <v>11</v>
      </c>
      <c r="E135" s="15" t="s">
        <v>738</v>
      </c>
      <c r="F135" s="15" t="s">
        <v>778</v>
      </c>
      <c r="G135" s="15" t="s">
        <v>293</v>
      </c>
      <c r="H135" s="15" t="s">
        <v>779</v>
      </c>
    </row>
    <row r="136" customFormat="false" ht="39" hidden="false" customHeight="true" outlineLevel="0" collapsed="false">
      <c r="A136" s="15" t="s">
        <v>126</v>
      </c>
      <c r="B136" s="15" t="s">
        <v>127</v>
      </c>
      <c r="C136" s="15" t="s">
        <v>785</v>
      </c>
      <c r="D136" s="15" t="n">
        <v>307</v>
      </c>
      <c r="E136" s="15" t="s">
        <v>786</v>
      </c>
      <c r="F136" s="15" t="s">
        <v>778</v>
      </c>
      <c r="G136" s="15" t="s">
        <v>293</v>
      </c>
      <c r="H136" s="15" t="s">
        <v>779</v>
      </c>
    </row>
    <row r="137" customFormat="false" ht="39" hidden="false" customHeight="true" outlineLevel="0" collapsed="false">
      <c r="A137" s="15" t="s">
        <v>126</v>
      </c>
      <c r="B137" s="15" t="s">
        <v>127</v>
      </c>
      <c r="C137" s="15" t="s">
        <v>787</v>
      </c>
      <c r="D137" s="15" t="s">
        <v>788</v>
      </c>
      <c r="E137" s="15"/>
      <c r="F137" s="15" t="s">
        <v>778</v>
      </c>
      <c r="G137" s="15" t="s">
        <v>293</v>
      </c>
      <c r="H137" s="15" t="s">
        <v>779</v>
      </c>
    </row>
    <row r="138" customFormat="false" ht="39" hidden="false" customHeight="true" outlineLevel="0" collapsed="false">
      <c r="A138" s="15" t="s">
        <v>126</v>
      </c>
      <c r="B138" s="15" t="s">
        <v>127</v>
      </c>
      <c r="C138" s="15" t="s">
        <v>789</v>
      </c>
      <c r="D138" s="15" t="s">
        <v>790</v>
      </c>
      <c r="E138" s="15"/>
      <c r="F138" s="15" t="s">
        <v>778</v>
      </c>
      <c r="G138" s="15" t="s">
        <v>293</v>
      </c>
      <c r="H138" s="15" t="s">
        <v>779</v>
      </c>
    </row>
    <row r="139" customFormat="false" ht="39" hidden="false" customHeight="true" outlineLevel="0" collapsed="false">
      <c r="A139" s="15" t="s">
        <v>126</v>
      </c>
      <c r="B139" s="15" t="s">
        <v>127</v>
      </c>
      <c r="C139" s="15" t="s">
        <v>791</v>
      </c>
      <c r="D139" s="15" t="s">
        <v>792</v>
      </c>
      <c r="E139" s="15"/>
      <c r="F139" s="15" t="s">
        <v>778</v>
      </c>
      <c r="G139" s="15" t="s">
        <v>293</v>
      </c>
      <c r="H139" s="15" t="s">
        <v>779</v>
      </c>
    </row>
    <row r="140" customFormat="false" ht="26.25" hidden="false" customHeight="true" outlineLevel="0" collapsed="false">
      <c r="A140" s="15" t="s">
        <v>167</v>
      </c>
      <c r="B140" s="15" t="s">
        <v>168</v>
      </c>
      <c r="C140" s="15" t="s">
        <v>714</v>
      </c>
      <c r="D140" s="15" t="n">
        <v>360</v>
      </c>
      <c r="E140" s="15" t="s">
        <v>715</v>
      </c>
      <c r="F140" s="15" t="s">
        <v>716</v>
      </c>
      <c r="G140" s="15" t="s">
        <v>112</v>
      </c>
      <c r="H140" s="15" t="s">
        <v>717</v>
      </c>
    </row>
    <row r="141" customFormat="false" ht="15" hidden="false" customHeight="true" outlineLevel="0" collapsed="false">
      <c r="A141" s="15" t="s">
        <v>167</v>
      </c>
      <c r="B141" s="15" t="s">
        <v>168</v>
      </c>
      <c r="C141" s="15" t="s">
        <v>718</v>
      </c>
      <c r="D141" s="15" t="s">
        <v>113</v>
      </c>
      <c r="E141" s="15"/>
      <c r="F141" s="15" t="s">
        <v>716</v>
      </c>
      <c r="G141" s="15" t="s">
        <v>112</v>
      </c>
      <c r="H141" s="15"/>
    </row>
    <row r="142" customFormat="false" ht="15" hidden="false" customHeight="true" outlineLevel="0" collapsed="false">
      <c r="A142" s="15" t="s">
        <v>167</v>
      </c>
      <c r="B142" s="15" t="s">
        <v>168</v>
      </c>
      <c r="C142" s="15" t="s">
        <v>719</v>
      </c>
      <c r="D142" s="15" t="n">
        <v>20</v>
      </c>
      <c r="E142" s="15" t="s">
        <v>720</v>
      </c>
      <c r="F142" s="15" t="s">
        <v>716</v>
      </c>
      <c r="G142" s="15" t="s">
        <v>112</v>
      </c>
      <c r="H142" s="15"/>
    </row>
    <row r="143" customFormat="false" ht="15" hidden="false" customHeight="true" outlineLevel="0" collapsed="false">
      <c r="A143" s="15" t="s">
        <v>167</v>
      </c>
      <c r="B143" s="15" t="s">
        <v>168</v>
      </c>
      <c r="C143" s="15" t="s">
        <v>86</v>
      </c>
      <c r="D143" s="15" t="n">
        <v>6</v>
      </c>
      <c r="E143" s="15" t="s">
        <v>721</v>
      </c>
      <c r="F143" s="15" t="s">
        <v>716</v>
      </c>
      <c r="G143" s="15" t="s">
        <v>112</v>
      </c>
      <c r="H143" s="15"/>
    </row>
    <row r="144" customFormat="false" ht="15" hidden="false" customHeight="true" outlineLevel="0" collapsed="false">
      <c r="A144" s="15" t="s">
        <v>167</v>
      </c>
      <c r="B144" s="15" t="s">
        <v>168</v>
      </c>
      <c r="C144" s="15" t="s">
        <v>722</v>
      </c>
      <c r="D144" s="15" t="n">
        <v>455</v>
      </c>
      <c r="E144" s="15" t="s">
        <v>723</v>
      </c>
      <c r="F144" s="15" t="s">
        <v>716</v>
      </c>
      <c r="G144" s="15" t="s">
        <v>112</v>
      </c>
      <c r="H144" s="15"/>
    </row>
    <row r="145" customFormat="false" ht="15" hidden="false" customHeight="true" outlineLevel="0" collapsed="false">
      <c r="A145" s="15" t="s">
        <v>167</v>
      </c>
      <c r="B145" s="15" t="s">
        <v>168</v>
      </c>
      <c r="C145" s="15" t="s">
        <v>724</v>
      </c>
      <c r="D145" s="15" t="n">
        <v>45</v>
      </c>
      <c r="E145" s="15" t="s">
        <v>723</v>
      </c>
      <c r="F145" s="15" t="s">
        <v>716</v>
      </c>
      <c r="G145" s="15" t="s">
        <v>112</v>
      </c>
      <c r="H145" s="15"/>
    </row>
    <row r="146" customFormat="false" ht="15" hidden="false" customHeight="true" outlineLevel="0" collapsed="false">
      <c r="A146" s="15" t="s">
        <v>167</v>
      </c>
      <c r="B146" s="15" t="s">
        <v>168</v>
      </c>
      <c r="C146" s="15" t="s">
        <v>84</v>
      </c>
      <c r="D146" s="15" t="n">
        <v>207</v>
      </c>
      <c r="E146" s="15" t="s">
        <v>725</v>
      </c>
      <c r="F146" s="15" t="s">
        <v>716</v>
      </c>
      <c r="G146" s="15" t="s">
        <v>112</v>
      </c>
      <c r="H146" s="15"/>
    </row>
    <row r="147" customFormat="false" ht="15" hidden="false" customHeight="true" outlineLevel="0" collapsed="false">
      <c r="A147" s="15" t="s">
        <v>167</v>
      </c>
      <c r="B147" s="15" t="s">
        <v>168</v>
      </c>
      <c r="C147" s="15" t="s">
        <v>726</v>
      </c>
      <c r="D147" s="15" t="n">
        <v>4371</v>
      </c>
      <c r="E147" s="15" t="s">
        <v>725</v>
      </c>
      <c r="F147" s="15" t="s">
        <v>716</v>
      </c>
      <c r="G147" s="15" t="s">
        <v>112</v>
      </c>
      <c r="H147" s="15"/>
    </row>
    <row r="148" customFormat="false" ht="15" hidden="false" customHeight="true" outlineLevel="0" collapsed="false">
      <c r="A148" s="15" t="s">
        <v>167</v>
      </c>
      <c r="B148" s="15" t="s">
        <v>168</v>
      </c>
      <c r="C148" s="15" t="s">
        <v>727</v>
      </c>
      <c r="D148" s="15" t="n">
        <v>1907</v>
      </c>
      <c r="E148" s="15" t="s">
        <v>725</v>
      </c>
      <c r="F148" s="15" t="s">
        <v>716</v>
      </c>
      <c r="G148" s="15" t="s">
        <v>112</v>
      </c>
      <c r="H148" s="15"/>
    </row>
    <row r="149" customFormat="false" ht="15" hidden="false" customHeight="true" outlineLevel="0" collapsed="false">
      <c r="A149" s="15" t="s">
        <v>167</v>
      </c>
      <c r="B149" s="15" t="s">
        <v>168</v>
      </c>
      <c r="C149" s="15" t="s">
        <v>728</v>
      </c>
      <c r="D149" s="15" t="n">
        <v>1627</v>
      </c>
      <c r="E149" s="15" t="s">
        <v>725</v>
      </c>
      <c r="F149" s="15" t="s">
        <v>716</v>
      </c>
      <c r="G149" s="15" t="s">
        <v>112</v>
      </c>
      <c r="H149" s="15"/>
    </row>
    <row r="150" customFormat="false" ht="15" hidden="false" customHeight="true" outlineLevel="0" collapsed="false">
      <c r="A150" s="15" t="s">
        <v>167</v>
      </c>
      <c r="B150" s="15" t="s">
        <v>168</v>
      </c>
      <c r="C150" s="15" t="s">
        <v>729</v>
      </c>
      <c r="D150" s="15" t="n">
        <v>2775</v>
      </c>
      <c r="E150" s="15" t="s">
        <v>725</v>
      </c>
      <c r="F150" s="15" t="s">
        <v>716</v>
      </c>
      <c r="G150" s="15" t="s">
        <v>112</v>
      </c>
      <c r="H150" s="15"/>
    </row>
    <row r="151" customFormat="false" ht="15" hidden="false" customHeight="true" outlineLevel="0" collapsed="false">
      <c r="A151" s="15" t="s">
        <v>167</v>
      </c>
      <c r="B151" s="15" t="s">
        <v>168</v>
      </c>
      <c r="C151" s="15" t="s">
        <v>730</v>
      </c>
      <c r="D151" s="15" t="n">
        <v>10</v>
      </c>
      <c r="E151" s="15" t="s">
        <v>731</v>
      </c>
      <c r="F151" s="15" t="s">
        <v>716</v>
      </c>
      <c r="G151" s="15" t="s">
        <v>112</v>
      </c>
      <c r="H151" s="15"/>
    </row>
    <row r="152" customFormat="false" ht="26.25" hidden="false" customHeight="true" outlineLevel="0" collapsed="false">
      <c r="A152" s="15" t="s">
        <v>167</v>
      </c>
      <c r="B152" s="15" t="s">
        <v>168</v>
      </c>
      <c r="C152" s="15" t="s">
        <v>98</v>
      </c>
      <c r="D152" s="15" t="s">
        <v>732</v>
      </c>
      <c r="E152" s="15"/>
      <c r="F152" s="15" t="s">
        <v>716</v>
      </c>
      <c r="G152" s="15" t="s">
        <v>112</v>
      </c>
      <c r="H152" s="15"/>
    </row>
    <row r="153" customFormat="false" ht="26.25" hidden="false" customHeight="true" outlineLevel="0" collapsed="false">
      <c r="A153" s="15" t="s">
        <v>167</v>
      </c>
      <c r="B153" s="15" t="s">
        <v>168</v>
      </c>
      <c r="C153" s="15" t="s">
        <v>733</v>
      </c>
      <c r="D153" s="15" t="s">
        <v>734</v>
      </c>
      <c r="E153" s="15"/>
      <c r="F153" s="15" t="s">
        <v>735</v>
      </c>
      <c r="G153" s="15" t="s">
        <v>112</v>
      </c>
      <c r="H153" s="15" t="s">
        <v>736</v>
      </c>
    </row>
    <row r="154" customFormat="false" ht="15" hidden="false" customHeight="true" outlineLevel="0" collapsed="false">
      <c r="A154" s="15" t="s">
        <v>167</v>
      </c>
      <c r="B154" s="15" t="s">
        <v>168</v>
      </c>
      <c r="C154" s="15" t="s">
        <v>737</v>
      </c>
      <c r="D154" s="15" t="n">
        <v>170</v>
      </c>
      <c r="E154" s="15" t="s">
        <v>738</v>
      </c>
      <c r="F154" s="15" t="s">
        <v>716</v>
      </c>
      <c r="G154" s="15" t="s">
        <v>112</v>
      </c>
      <c r="H154" s="15"/>
    </row>
    <row r="155" customFormat="false" ht="15" hidden="false" customHeight="true" outlineLevel="0" collapsed="false">
      <c r="A155" s="15" t="s">
        <v>167</v>
      </c>
      <c r="B155" s="15" t="s">
        <v>168</v>
      </c>
      <c r="C155" s="15" t="s">
        <v>739</v>
      </c>
      <c r="D155" s="15" t="n">
        <v>140</v>
      </c>
      <c r="E155" s="15" t="s">
        <v>738</v>
      </c>
      <c r="F155" s="15" t="s">
        <v>716</v>
      </c>
      <c r="G155" s="15" t="s">
        <v>112</v>
      </c>
      <c r="H155" s="15"/>
    </row>
    <row r="156" customFormat="false" ht="26.25" hidden="false" customHeight="true" outlineLevel="0" collapsed="false">
      <c r="A156" s="15" t="s">
        <v>167</v>
      </c>
      <c r="B156" s="15" t="s">
        <v>168</v>
      </c>
      <c r="C156" s="15" t="s">
        <v>740</v>
      </c>
      <c r="D156" s="15" t="n">
        <v>6</v>
      </c>
      <c r="E156" s="15" t="s">
        <v>741</v>
      </c>
      <c r="F156" s="15" t="s">
        <v>716</v>
      </c>
      <c r="G156" s="15" t="s">
        <v>112</v>
      </c>
      <c r="H156" s="15"/>
    </row>
    <row r="157" customFormat="false" ht="15" hidden="false" customHeight="true" outlineLevel="0" collapsed="false">
      <c r="A157" s="15" t="s">
        <v>167</v>
      </c>
      <c r="B157" s="15" t="s">
        <v>168</v>
      </c>
      <c r="C157" s="15" t="s">
        <v>742</v>
      </c>
      <c r="D157" s="15" t="n">
        <v>8.7</v>
      </c>
      <c r="E157" s="15" t="s">
        <v>741</v>
      </c>
      <c r="F157" s="15" t="s">
        <v>716</v>
      </c>
      <c r="G157" s="15" t="s">
        <v>112</v>
      </c>
      <c r="H157" s="15"/>
    </row>
    <row r="158" customFormat="false" ht="15" hidden="false" customHeight="true" outlineLevel="0" collapsed="false">
      <c r="A158" s="15" t="s">
        <v>167</v>
      </c>
      <c r="B158" s="15" t="s">
        <v>168</v>
      </c>
      <c r="C158" s="15" t="s">
        <v>743</v>
      </c>
      <c r="D158" s="15" t="s">
        <v>793</v>
      </c>
      <c r="E158" s="15"/>
      <c r="F158" s="15" t="s">
        <v>716</v>
      </c>
      <c r="G158" s="15" t="s">
        <v>112</v>
      </c>
      <c r="H158" s="15"/>
    </row>
    <row r="159" customFormat="false" ht="15" hidden="false" customHeight="true" outlineLevel="0" collapsed="false">
      <c r="A159" s="15" t="s">
        <v>167</v>
      </c>
      <c r="B159" s="15" t="s">
        <v>168</v>
      </c>
      <c r="C159" s="15" t="s">
        <v>745</v>
      </c>
      <c r="D159" s="15" t="s">
        <v>794</v>
      </c>
      <c r="E159" s="15"/>
      <c r="F159" s="15" t="s">
        <v>716</v>
      </c>
      <c r="G159" s="15" t="s">
        <v>112</v>
      </c>
      <c r="H159" s="15"/>
    </row>
    <row r="160" customFormat="false" ht="15" hidden="false" customHeight="true" outlineLevel="0" collapsed="false">
      <c r="A160" s="15" t="s">
        <v>167</v>
      </c>
      <c r="B160" s="15" t="s">
        <v>168</v>
      </c>
      <c r="C160" s="15" t="s">
        <v>747</v>
      </c>
      <c r="D160" s="15" t="s">
        <v>795</v>
      </c>
      <c r="E160" s="15"/>
      <c r="F160" s="15" t="s">
        <v>716</v>
      </c>
      <c r="G160" s="15" t="s">
        <v>112</v>
      </c>
      <c r="H160" s="15"/>
    </row>
    <row r="161" customFormat="false" ht="15" hidden="false" customHeight="true" outlineLevel="0" collapsed="false">
      <c r="A161" s="15" t="s">
        <v>167</v>
      </c>
      <c r="B161" s="15" t="s">
        <v>168</v>
      </c>
      <c r="C161" s="15" t="s">
        <v>749</v>
      </c>
      <c r="D161" s="15" t="s">
        <v>750</v>
      </c>
      <c r="E161" s="15"/>
      <c r="F161" s="15" t="s">
        <v>716</v>
      </c>
      <c r="G161" s="15" t="s">
        <v>112</v>
      </c>
      <c r="H161" s="15" t="s">
        <v>751</v>
      </c>
    </row>
    <row r="162" customFormat="false" ht="15" hidden="false" customHeight="true" outlineLevel="0" collapsed="false">
      <c r="A162" s="15" t="s">
        <v>167</v>
      </c>
      <c r="B162" s="15" t="s">
        <v>168</v>
      </c>
      <c r="C162" s="15" t="s">
        <v>752</v>
      </c>
      <c r="D162" s="15" t="s">
        <v>796</v>
      </c>
      <c r="E162" s="15"/>
      <c r="F162" s="15" t="s">
        <v>716</v>
      </c>
      <c r="G162" s="15" t="s">
        <v>112</v>
      </c>
      <c r="H162" s="15"/>
    </row>
    <row r="163" customFormat="false" ht="15" hidden="false" customHeight="true" outlineLevel="0" collapsed="false">
      <c r="A163" s="15" t="s">
        <v>167</v>
      </c>
      <c r="B163" s="15" t="s">
        <v>168</v>
      </c>
      <c r="C163" s="15" t="s">
        <v>90</v>
      </c>
      <c r="D163" s="15" t="s">
        <v>120</v>
      </c>
      <c r="E163" s="15"/>
      <c r="F163" s="15" t="s">
        <v>716</v>
      </c>
      <c r="G163" s="15" t="s">
        <v>112</v>
      </c>
      <c r="H163" s="15"/>
    </row>
    <row r="164" customFormat="false" ht="15" hidden="false" customHeight="true" outlineLevel="0" collapsed="false">
      <c r="A164" s="15" t="s">
        <v>167</v>
      </c>
      <c r="B164" s="15" t="s">
        <v>168</v>
      </c>
      <c r="C164" s="15" t="s">
        <v>754</v>
      </c>
      <c r="D164" s="15" t="s">
        <v>755</v>
      </c>
      <c r="E164" s="15"/>
      <c r="F164" s="15" t="s">
        <v>716</v>
      </c>
      <c r="G164" s="15" t="s">
        <v>112</v>
      </c>
      <c r="H164" s="15"/>
    </row>
    <row r="165" customFormat="false" ht="15" hidden="false" customHeight="true" outlineLevel="0" collapsed="false">
      <c r="A165" s="15" t="s">
        <v>167</v>
      </c>
      <c r="B165" s="15" t="s">
        <v>168</v>
      </c>
      <c r="C165" s="15" t="s">
        <v>756</v>
      </c>
      <c r="D165" s="15" t="s">
        <v>755</v>
      </c>
      <c r="E165" s="15"/>
      <c r="F165" s="15" t="s">
        <v>716</v>
      </c>
      <c r="G165" s="15" t="s">
        <v>112</v>
      </c>
      <c r="H165" s="15"/>
    </row>
    <row r="166" customFormat="false" ht="15" hidden="false" customHeight="true" outlineLevel="0" collapsed="false">
      <c r="A166" s="15" t="s">
        <v>167</v>
      </c>
      <c r="B166" s="15" t="s">
        <v>168</v>
      </c>
      <c r="C166" s="15" t="s">
        <v>757</v>
      </c>
      <c r="D166" s="15" t="s">
        <v>797</v>
      </c>
      <c r="E166" s="15"/>
      <c r="F166" s="15" t="s">
        <v>716</v>
      </c>
      <c r="G166" s="15" t="s">
        <v>112</v>
      </c>
      <c r="H166" s="15"/>
    </row>
    <row r="167" customFormat="false" ht="15" hidden="false" customHeight="true" outlineLevel="0" collapsed="false">
      <c r="A167" s="15" t="s">
        <v>167</v>
      </c>
      <c r="B167" s="15" t="s">
        <v>168</v>
      </c>
      <c r="C167" s="15" t="s">
        <v>759</v>
      </c>
      <c r="D167" s="15" t="s">
        <v>798</v>
      </c>
      <c r="E167" s="15"/>
      <c r="F167" s="15" t="s">
        <v>716</v>
      </c>
      <c r="G167" s="15" t="s">
        <v>112</v>
      </c>
      <c r="H167" s="15"/>
    </row>
    <row r="168" customFormat="false" ht="15" hidden="false" customHeight="true" outlineLevel="0" collapsed="false">
      <c r="A168" s="15" t="s">
        <v>167</v>
      </c>
      <c r="B168" s="15" t="s">
        <v>168</v>
      </c>
      <c r="C168" s="15" t="s">
        <v>761</v>
      </c>
      <c r="D168" s="15" t="s">
        <v>755</v>
      </c>
      <c r="E168" s="15"/>
      <c r="F168" s="15" t="s">
        <v>716</v>
      </c>
      <c r="G168" s="15" t="s">
        <v>112</v>
      </c>
      <c r="H168" s="15"/>
    </row>
    <row r="169" customFormat="false" ht="15" hidden="false" customHeight="true" outlineLevel="0" collapsed="false">
      <c r="A169" s="15" t="s">
        <v>167</v>
      </c>
      <c r="B169" s="15" t="s">
        <v>168</v>
      </c>
      <c r="C169" s="15" t="s">
        <v>762</v>
      </c>
      <c r="D169" s="15" t="s">
        <v>755</v>
      </c>
      <c r="E169" s="15"/>
      <c r="F169" s="15" t="s">
        <v>716</v>
      </c>
      <c r="G169" s="15" t="s">
        <v>112</v>
      </c>
      <c r="H169" s="15"/>
    </row>
    <row r="170" customFormat="false" ht="15" hidden="false" customHeight="true" outlineLevel="0" collapsed="false">
      <c r="A170" s="15" t="s">
        <v>167</v>
      </c>
      <c r="B170" s="15" t="s">
        <v>168</v>
      </c>
      <c r="C170" s="15" t="s">
        <v>92</v>
      </c>
      <c r="D170" s="15" t="s">
        <v>755</v>
      </c>
      <c r="E170" s="15"/>
      <c r="F170" s="15" t="s">
        <v>716</v>
      </c>
      <c r="G170" s="15" t="s">
        <v>112</v>
      </c>
      <c r="H170" s="15"/>
    </row>
    <row r="171" customFormat="false" ht="15" hidden="false" customHeight="true" outlineLevel="0" collapsed="false">
      <c r="A171" s="15" t="s">
        <v>167</v>
      </c>
      <c r="B171" s="15" t="s">
        <v>168</v>
      </c>
      <c r="C171" s="15" t="s">
        <v>763</v>
      </c>
      <c r="D171" s="15" t="s">
        <v>755</v>
      </c>
      <c r="E171" s="15"/>
      <c r="F171" s="15" t="s">
        <v>716</v>
      </c>
      <c r="G171" s="15" t="s">
        <v>112</v>
      </c>
      <c r="H171" s="15"/>
    </row>
    <row r="172" customFormat="false" ht="15" hidden="false" customHeight="true" outlineLevel="0" collapsed="false">
      <c r="A172" s="15" t="s">
        <v>167</v>
      </c>
      <c r="B172" s="15" t="s">
        <v>168</v>
      </c>
      <c r="C172" s="15" t="s">
        <v>764</v>
      </c>
      <c r="D172" s="15" t="s">
        <v>755</v>
      </c>
      <c r="E172" s="15"/>
      <c r="F172" s="15" t="s">
        <v>716</v>
      </c>
      <c r="G172" s="15" t="s">
        <v>112</v>
      </c>
      <c r="H172" s="15"/>
    </row>
    <row r="173" customFormat="false" ht="15" hidden="false" customHeight="true" outlineLevel="0" collapsed="false">
      <c r="A173" s="15" t="s">
        <v>167</v>
      </c>
      <c r="B173" s="15" t="s">
        <v>168</v>
      </c>
      <c r="C173" s="15" t="s">
        <v>765</v>
      </c>
      <c r="D173" s="15" t="s">
        <v>799</v>
      </c>
      <c r="E173" s="15"/>
      <c r="F173" s="15" t="s">
        <v>716</v>
      </c>
      <c r="G173" s="15" t="s">
        <v>112</v>
      </c>
      <c r="H173" s="15"/>
    </row>
    <row r="174" customFormat="false" ht="15" hidden="false" customHeight="true" outlineLevel="0" collapsed="false">
      <c r="A174" s="15" t="s">
        <v>167</v>
      </c>
      <c r="B174" s="15" t="s">
        <v>168</v>
      </c>
      <c r="C174" s="15" t="s">
        <v>767</v>
      </c>
      <c r="D174" s="15" t="s">
        <v>768</v>
      </c>
      <c r="E174" s="15"/>
      <c r="F174" s="15" t="s">
        <v>716</v>
      </c>
      <c r="G174" s="15" t="s">
        <v>112</v>
      </c>
      <c r="H174" s="15"/>
    </row>
    <row r="175" customFormat="false" ht="26.25" hidden="false" customHeight="true" outlineLevel="0" collapsed="false">
      <c r="A175" s="15" t="s">
        <v>167</v>
      </c>
      <c r="B175" s="15" t="s">
        <v>168</v>
      </c>
      <c r="C175" s="15" t="s">
        <v>769</v>
      </c>
      <c r="D175" s="15" t="n">
        <v>5</v>
      </c>
      <c r="E175" s="15" t="s">
        <v>721</v>
      </c>
      <c r="F175" s="15" t="s">
        <v>770</v>
      </c>
      <c r="G175" s="15" t="s">
        <v>293</v>
      </c>
      <c r="H175" s="15" t="s">
        <v>771</v>
      </c>
    </row>
    <row r="176" customFormat="false" ht="26.25" hidden="false" customHeight="true" outlineLevel="0" collapsed="false">
      <c r="A176" s="15" t="s">
        <v>167</v>
      </c>
      <c r="B176" s="15" t="s">
        <v>168</v>
      </c>
      <c r="C176" s="15" t="s">
        <v>772</v>
      </c>
      <c r="D176" s="15" t="n">
        <v>50000</v>
      </c>
      <c r="E176" s="15" t="s">
        <v>773</v>
      </c>
      <c r="F176" s="15" t="s">
        <v>770</v>
      </c>
      <c r="G176" s="15" t="s">
        <v>293</v>
      </c>
      <c r="H176" s="15" t="s">
        <v>774</v>
      </c>
    </row>
    <row r="177" customFormat="false" ht="26.25" hidden="false" customHeight="true" outlineLevel="0" collapsed="false">
      <c r="A177" s="15" t="s">
        <v>167</v>
      </c>
      <c r="B177" s="15" t="s">
        <v>168</v>
      </c>
      <c r="C177" s="15" t="s">
        <v>775</v>
      </c>
      <c r="D177" s="15" t="n">
        <v>75000</v>
      </c>
      <c r="E177" s="15" t="s">
        <v>773</v>
      </c>
      <c r="F177" s="15" t="s">
        <v>770</v>
      </c>
      <c r="G177" s="15" t="s">
        <v>293</v>
      </c>
      <c r="H177" s="15" t="s">
        <v>774</v>
      </c>
    </row>
    <row r="178" customFormat="false" ht="39" hidden="false" customHeight="true" outlineLevel="0" collapsed="false">
      <c r="A178" s="15" t="s">
        <v>167</v>
      </c>
      <c r="B178" s="15" t="s">
        <v>168</v>
      </c>
      <c r="C178" s="15" t="s">
        <v>776</v>
      </c>
      <c r="D178" s="15" t="s">
        <v>800</v>
      </c>
      <c r="E178" s="15"/>
      <c r="F178" s="15" t="s">
        <v>778</v>
      </c>
      <c r="G178" s="15" t="s">
        <v>293</v>
      </c>
      <c r="H178" s="15" t="s">
        <v>779</v>
      </c>
    </row>
    <row r="179" customFormat="false" ht="39" hidden="false" customHeight="true" outlineLevel="0" collapsed="false">
      <c r="A179" s="15" t="s">
        <v>167</v>
      </c>
      <c r="B179" s="15" t="s">
        <v>168</v>
      </c>
      <c r="C179" s="15" t="s">
        <v>780</v>
      </c>
      <c r="D179" s="15" t="s">
        <v>781</v>
      </c>
      <c r="E179" s="15"/>
      <c r="F179" s="15" t="s">
        <v>778</v>
      </c>
      <c r="G179" s="15" t="s">
        <v>293</v>
      </c>
      <c r="H179" s="15" t="s">
        <v>779</v>
      </c>
    </row>
    <row r="180" customFormat="false" ht="39" hidden="false" customHeight="true" outlineLevel="0" collapsed="false">
      <c r="A180" s="15" t="s">
        <v>167</v>
      </c>
      <c r="B180" s="15" t="s">
        <v>168</v>
      </c>
      <c r="C180" s="15" t="s">
        <v>782</v>
      </c>
      <c r="D180" s="15" t="n">
        <v>36</v>
      </c>
      <c r="E180" s="15" t="s">
        <v>783</v>
      </c>
      <c r="F180" s="15" t="s">
        <v>778</v>
      </c>
      <c r="G180" s="15" t="s">
        <v>293</v>
      </c>
      <c r="H180" s="15" t="s">
        <v>779</v>
      </c>
    </row>
    <row r="181" customFormat="false" ht="39" hidden="false" customHeight="true" outlineLevel="0" collapsed="false">
      <c r="A181" s="15" t="s">
        <v>167</v>
      </c>
      <c r="B181" s="15" t="s">
        <v>168</v>
      </c>
      <c r="C181" s="15" t="s">
        <v>784</v>
      </c>
      <c r="D181" s="15" t="n">
        <v>11</v>
      </c>
      <c r="E181" s="15" t="s">
        <v>738</v>
      </c>
      <c r="F181" s="15" t="s">
        <v>778</v>
      </c>
      <c r="G181" s="15" t="s">
        <v>293</v>
      </c>
      <c r="H181" s="15" t="s">
        <v>779</v>
      </c>
    </row>
    <row r="182" customFormat="false" ht="39" hidden="false" customHeight="true" outlineLevel="0" collapsed="false">
      <c r="A182" s="15" t="s">
        <v>167</v>
      </c>
      <c r="B182" s="15" t="s">
        <v>168</v>
      </c>
      <c r="C182" s="15" t="s">
        <v>785</v>
      </c>
      <c r="D182" s="15" t="n">
        <v>307</v>
      </c>
      <c r="E182" s="15" t="s">
        <v>786</v>
      </c>
      <c r="F182" s="15" t="s">
        <v>778</v>
      </c>
      <c r="G182" s="15" t="s">
        <v>293</v>
      </c>
      <c r="H182" s="15" t="s">
        <v>779</v>
      </c>
    </row>
    <row r="183" customFormat="false" ht="39" hidden="false" customHeight="true" outlineLevel="0" collapsed="false">
      <c r="A183" s="15" t="s">
        <v>167</v>
      </c>
      <c r="B183" s="15" t="s">
        <v>168</v>
      </c>
      <c r="C183" s="15" t="s">
        <v>787</v>
      </c>
      <c r="D183" s="15" t="s">
        <v>788</v>
      </c>
      <c r="E183" s="15"/>
      <c r="F183" s="15" t="s">
        <v>778</v>
      </c>
      <c r="G183" s="15" t="s">
        <v>293</v>
      </c>
      <c r="H183" s="15" t="s">
        <v>779</v>
      </c>
    </row>
    <row r="184" customFormat="false" ht="39" hidden="false" customHeight="true" outlineLevel="0" collapsed="false">
      <c r="A184" s="15" t="s">
        <v>167</v>
      </c>
      <c r="B184" s="15" t="s">
        <v>168</v>
      </c>
      <c r="C184" s="15" t="s">
        <v>789</v>
      </c>
      <c r="D184" s="15" t="s">
        <v>790</v>
      </c>
      <c r="E184" s="15"/>
      <c r="F184" s="15" t="s">
        <v>778</v>
      </c>
      <c r="G184" s="15" t="s">
        <v>293</v>
      </c>
      <c r="H184" s="15" t="s">
        <v>779</v>
      </c>
    </row>
    <row r="185" customFormat="false" ht="39" hidden="false" customHeight="true" outlineLevel="0" collapsed="false">
      <c r="A185" s="15" t="s">
        <v>167</v>
      </c>
      <c r="B185" s="15" t="s">
        <v>168</v>
      </c>
      <c r="C185" s="15" t="s">
        <v>791</v>
      </c>
      <c r="D185" s="15" t="s">
        <v>792</v>
      </c>
      <c r="E185" s="15"/>
      <c r="F185" s="15" t="s">
        <v>778</v>
      </c>
      <c r="G185" s="15" t="s">
        <v>293</v>
      </c>
      <c r="H185" s="15" t="s">
        <v>779</v>
      </c>
    </row>
    <row r="186" customFormat="false" ht="26.25" hidden="false" customHeight="true" outlineLevel="0" collapsed="false">
      <c r="A186" s="15" t="s">
        <v>132</v>
      </c>
      <c r="B186" s="15" t="s">
        <v>133</v>
      </c>
      <c r="C186" s="15" t="s">
        <v>714</v>
      </c>
      <c r="D186" s="15" t="n">
        <v>360</v>
      </c>
      <c r="E186" s="15" t="s">
        <v>715</v>
      </c>
      <c r="F186" s="15" t="s">
        <v>716</v>
      </c>
      <c r="G186" s="15" t="s">
        <v>112</v>
      </c>
      <c r="H186" s="15" t="s">
        <v>717</v>
      </c>
    </row>
    <row r="187" customFormat="false" ht="15" hidden="false" customHeight="true" outlineLevel="0" collapsed="false">
      <c r="A187" s="15" t="s">
        <v>132</v>
      </c>
      <c r="B187" s="15" t="s">
        <v>133</v>
      </c>
      <c r="C187" s="15" t="s">
        <v>718</v>
      </c>
      <c r="D187" s="15" t="s">
        <v>113</v>
      </c>
      <c r="E187" s="15"/>
      <c r="F187" s="15" t="s">
        <v>716</v>
      </c>
      <c r="G187" s="15" t="s">
        <v>112</v>
      </c>
      <c r="H187" s="15"/>
    </row>
    <row r="188" customFormat="false" ht="15" hidden="false" customHeight="true" outlineLevel="0" collapsed="false">
      <c r="A188" s="15" t="s">
        <v>132</v>
      </c>
      <c r="B188" s="15" t="s">
        <v>133</v>
      </c>
      <c r="C188" s="15" t="s">
        <v>719</v>
      </c>
      <c r="D188" s="15" t="n">
        <v>20</v>
      </c>
      <c r="E188" s="15" t="s">
        <v>720</v>
      </c>
      <c r="F188" s="15" t="s">
        <v>716</v>
      </c>
      <c r="G188" s="15" t="s">
        <v>112</v>
      </c>
      <c r="H188" s="15"/>
    </row>
    <row r="189" customFormat="false" ht="15" hidden="false" customHeight="true" outlineLevel="0" collapsed="false">
      <c r="A189" s="15" t="s">
        <v>132</v>
      </c>
      <c r="B189" s="15" t="s">
        <v>133</v>
      </c>
      <c r="C189" s="15" t="s">
        <v>86</v>
      </c>
      <c r="D189" s="15" t="n">
        <v>6</v>
      </c>
      <c r="E189" s="15" t="s">
        <v>721</v>
      </c>
      <c r="F189" s="15" t="s">
        <v>716</v>
      </c>
      <c r="G189" s="15" t="s">
        <v>112</v>
      </c>
      <c r="H189" s="15"/>
    </row>
    <row r="190" customFormat="false" ht="15" hidden="false" customHeight="true" outlineLevel="0" collapsed="false">
      <c r="A190" s="15" t="s">
        <v>132</v>
      </c>
      <c r="B190" s="15" t="s">
        <v>133</v>
      </c>
      <c r="C190" s="15" t="s">
        <v>722</v>
      </c>
      <c r="D190" s="15" t="n">
        <v>455</v>
      </c>
      <c r="E190" s="15" t="s">
        <v>723</v>
      </c>
      <c r="F190" s="15" t="s">
        <v>716</v>
      </c>
      <c r="G190" s="15" t="s">
        <v>112</v>
      </c>
      <c r="H190" s="15"/>
    </row>
    <row r="191" customFormat="false" ht="15" hidden="false" customHeight="true" outlineLevel="0" collapsed="false">
      <c r="A191" s="15" t="s">
        <v>132</v>
      </c>
      <c r="B191" s="15" t="s">
        <v>133</v>
      </c>
      <c r="C191" s="15" t="s">
        <v>724</v>
      </c>
      <c r="D191" s="15" t="n">
        <v>45</v>
      </c>
      <c r="E191" s="15" t="s">
        <v>723</v>
      </c>
      <c r="F191" s="15" t="s">
        <v>716</v>
      </c>
      <c r="G191" s="15" t="s">
        <v>112</v>
      </c>
      <c r="H191" s="15"/>
    </row>
    <row r="192" customFormat="false" ht="15" hidden="false" customHeight="true" outlineLevel="0" collapsed="false">
      <c r="A192" s="15" t="s">
        <v>132</v>
      </c>
      <c r="B192" s="15" t="s">
        <v>133</v>
      </c>
      <c r="C192" s="15" t="s">
        <v>84</v>
      </c>
      <c r="D192" s="15" t="n">
        <v>207</v>
      </c>
      <c r="E192" s="15" t="s">
        <v>725</v>
      </c>
      <c r="F192" s="15" t="s">
        <v>716</v>
      </c>
      <c r="G192" s="15" t="s">
        <v>112</v>
      </c>
      <c r="H192" s="15"/>
    </row>
    <row r="193" customFormat="false" ht="15" hidden="false" customHeight="true" outlineLevel="0" collapsed="false">
      <c r="A193" s="15" t="s">
        <v>132</v>
      </c>
      <c r="B193" s="15" t="s">
        <v>133</v>
      </c>
      <c r="C193" s="15" t="s">
        <v>726</v>
      </c>
      <c r="D193" s="15" t="n">
        <v>4371</v>
      </c>
      <c r="E193" s="15" t="s">
        <v>725</v>
      </c>
      <c r="F193" s="15" t="s">
        <v>716</v>
      </c>
      <c r="G193" s="15" t="s">
        <v>112</v>
      </c>
      <c r="H193" s="15"/>
    </row>
    <row r="194" customFormat="false" ht="15" hidden="false" customHeight="true" outlineLevel="0" collapsed="false">
      <c r="A194" s="15" t="s">
        <v>132</v>
      </c>
      <c r="B194" s="15" t="s">
        <v>133</v>
      </c>
      <c r="C194" s="15" t="s">
        <v>727</v>
      </c>
      <c r="D194" s="15" t="n">
        <v>1907</v>
      </c>
      <c r="E194" s="15" t="s">
        <v>725</v>
      </c>
      <c r="F194" s="15" t="s">
        <v>716</v>
      </c>
      <c r="G194" s="15" t="s">
        <v>112</v>
      </c>
      <c r="H194" s="15"/>
    </row>
    <row r="195" customFormat="false" ht="15" hidden="false" customHeight="true" outlineLevel="0" collapsed="false">
      <c r="A195" s="15" t="s">
        <v>132</v>
      </c>
      <c r="B195" s="15" t="s">
        <v>133</v>
      </c>
      <c r="C195" s="15" t="s">
        <v>728</v>
      </c>
      <c r="D195" s="15" t="n">
        <v>1627</v>
      </c>
      <c r="E195" s="15" t="s">
        <v>725</v>
      </c>
      <c r="F195" s="15" t="s">
        <v>716</v>
      </c>
      <c r="G195" s="15" t="s">
        <v>112</v>
      </c>
      <c r="H195" s="15"/>
    </row>
    <row r="196" customFormat="false" ht="15" hidden="false" customHeight="true" outlineLevel="0" collapsed="false">
      <c r="A196" s="15" t="s">
        <v>132</v>
      </c>
      <c r="B196" s="15" t="s">
        <v>133</v>
      </c>
      <c r="C196" s="15" t="s">
        <v>729</v>
      </c>
      <c r="D196" s="15" t="n">
        <v>2775</v>
      </c>
      <c r="E196" s="15" t="s">
        <v>725</v>
      </c>
      <c r="F196" s="15" t="s">
        <v>716</v>
      </c>
      <c r="G196" s="15" t="s">
        <v>112</v>
      </c>
      <c r="H196" s="15"/>
    </row>
    <row r="197" customFormat="false" ht="15" hidden="false" customHeight="true" outlineLevel="0" collapsed="false">
      <c r="A197" s="15" t="s">
        <v>132</v>
      </c>
      <c r="B197" s="15" t="s">
        <v>133</v>
      </c>
      <c r="C197" s="15" t="s">
        <v>730</v>
      </c>
      <c r="D197" s="15" t="n">
        <v>10</v>
      </c>
      <c r="E197" s="15" t="s">
        <v>731</v>
      </c>
      <c r="F197" s="15" t="s">
        <v>716</v>
      </c>
      <c r="G197" s="15" t="s">
        <v>112</v>
      </c>
      <c r="H197" s="15"/>
    </row>
    <row r="198" customFormat="false" ht="26.25" hidden="false" customHeight="true" outlineLevel="0" collapsed="false">
      <c r="A198" s="15" t="s">
        <v>132</v>
      </c>
      <c r="B198" s="15" t="s">
        <v>133</v>
      </c>
      <c r="C198" s="15" t="s">
        <v>98</v>
      </c>
      <c r="D198" s="15" t="s">
        <v>732</v>
      </c>
      <c r="E198" s="15"/>
      <c r="F198" s="15" t="s">
        <v>716</v>
      </c>
      <c r="G198" s="15" t="s">
        <v>112</v>
      </c>
      <c r="H198" s="15"/>
    </row>
    <row r="199" customFormat="false" ht="26.25" hidden="false" customHeight="true" outlineLevel="0" collapsed="false">
      <c r="A199" s="15" t="s">
        <v>132</v>
      </c>
      <c r="B199" s="15" t="s">
        <v>133</v>
      </c>
      <c r="C199" s="15" t="s">
        <v>733</v>
      </c>
      <c r="D199" s="15" t="s">
        <v>734</v>
      </c>
      <c r="E199" s="15"/>
      <c r="F199" s="15" t="s">
        <v>735</v>
      </c>
      <c r="G199" s="15" t="s">
        <v>112</v>
      </c>
      <c r="H199" s="15" t="s">
        <v>736</v>
      </c>
    </row>
    <row r="200" customFormat="false" ht="15" hidden="false" customHeight="true" outlineLevel="0" collapsed="false">
      <c r="A200" s="15" t="s">
        <v>132</v>
      </c>
      <c r="B200" s="15" t="s">
        <v>133</v>
      </c>
      <c r="C200" s="15" t="s">
        <v>737</v>
      </c>
      <c r="D200" s="15" t="n">
        <v>170</v>
      </c>
      <c r="E200" s="15" t="s">
        <v>738</v>
      </c>
      <c r="F200" s="15" t="s">
        <v>716</v>
      </c>
      <c r="G200" s="15" t="s">
        <v>112</v>
      </c>
      <c r="H200" s="15"/>
    </row>
    <row r="201" customFormat="false" ht="15" hidden="false" customHeight="true" outlineLevel="0" collapsed="false">
      <c r="A201" s="15" t="s">
        <v>132</v>
      </c>
      <c r="B201" s="15" t="s">
        <v>133</v>
      </c>
      <c r="C201" s="15" t="s">
        <v>739</v>
      </c>
      <c r="D201" s="15" t="n">
        <v>140</v>
      </c>
      <c r="E201" s="15" t="s">
        <v>738</v>
      </c>
      <c r="F201" s="15" t="s">
        <v>716</v>
      </c>
      <c r="G201" s="15" t="s">
        <v>112</v>
      </c>
      <c r="H201" s="15"/>
    </row>
    <row r="202" customFormat="false" ht="26.25" hidden="false" customHeight="true" outlineLevel="0" collapsed="false">
      <c r="A202" s="15" t="s">
        <v>132</v>
      </c>
      <c r="B202" s="15" t="s">
        <v>133</v>
      </c>
      <c r="C202" s="15" t="s">
        <v>740</v>
      </c>
      <c r="D202" s="15" t="n">
        <v>6</v>
      </c>
      <c r="E202" s="15" t="s">
        <v>741</v>
      </c>
      <c r="F202" s="15" t="s">
        <v>716</v>
      </c>
      <c r="G202" s="15" t="s">
        <v>112</v>
      </c>
      <c r="H202" s="15"/>
    </row>
    <row r="203" customFormat="false" ht="15" hidden="false" customHeight="true" outlineLevel="0" collapsed="false">
      <c r="A203" s="15" t="s">
        <v>132</v>
      </c>
      <c r="B203" s="15" t="s">
        <v>133</v>
      </c>
      <c r="C203" s="15" t="s">
        <v>742</v>
      </c>
      <c r="D203" s="15" t="n">
        <v>8.7</v>
      </c>
      <c r="E203" s="15" t="s">
        <v>741</v>
      </c>
      <c r="F203" s="15" t="s">
        <v>716</v>
      </c>
      <c r="G203" s="15" t="s">
        <v>112</v>
      </c>
      <c r="H203" s="15"/>
    </row>
    <row r="204" customFormat="false" ht="15" hidden="false" customHeight="true" outlineLevel="0" collapsed="false">
      <c r="A204" s="15" t="s">
        <v>132</v>
      </c>
      <c r="B204" s="15" t="s">
        <v>133</v>
      </c>
      <c r="C204" s="15" t="s">
        <v>743</v>
      </c>
      <c r="D204" s="15" t="s">
        <v>793</v>
      </c>
      <c r="E204" s="15"/>
      <c r="F204" s="15" t="s">
        <v>716</v>
      </c>
      <c r="G204" s="15" t="s">
        <v>112</v>
      </c>
      <c r="H204" s="15"/>
    </row>
    <row r="205" customFormat="false" ht="15" hidden="false" customHeight="true" outlineLevel="0" collapsed="false">
      <c r="A205" s="15" t="s">
        <v>132</v>
      </c>
      <c r="B205" s="15" t="s">
        <v>133</v>
      </c>
      <c r="C205" s="15" t="s">
        <v>745</v>
      </c>
      <c r="D205" s="15" t="s">
        <v>794</v>
      </c>
      <c r="E205" s="15"/>
      <c r="F205" s="15" t="s">
        <v>716</v>
      </c>
      <c r="G205" s="15" t="s">
        <v>112</v>
      </c>
      <c r="H205" s="15"/>
    </row>
    <row r="206" customFormat="false" ht="15" hidden="false" customHeight="true" outlineLevel="0" collapsed="false">
      <c r="A206" s="15" t="s">
        <v>132</v>
      </c>
      <c r="B206" s="15" t="s">
        <v>133</v>
      </c>
      <c r="C206" s="15" t="s">
        <v>747</v>
      </c>
      <c r="D206" s="15" t="s">
        <v>801</v>
      </c>
      <c r="E206" s="15"/>
      <c r="F206" s="15" t="s">
        <v>716</v>
      </c>
      <c r="G206" s="15" t="s">
        <v>112</v>
      </c>
      <c r="H206" s="15"/>
    </row>
    <row r="207" customFormat="false" ht="15" hidden="false" customHeight="true" outlineLevel="0" collapsed="false">
      <c r="A207" s="15" t="s">
        <v>132</v>
      </c>
      <c r="B207" s="15" t="s">
        <v>133</v>
      </c>
      <c r="C207" s="15" t="s">
        <v>749</v>
      </c>
      <c r="D207" s="15" t="s">
        <v>750</v>
      </c>
      <c r="E207" s="15"/>
      <c r="F207" s="15" t="s">
        <v>716</v>
      </c>
      <c r="G207" s="15" t="s">
        <v>112</v>
      </c>
      <c r="H207" s="15" t="s">
        <v>751</v>
      </c>
    </row>
    <row r="208" customFormat="false" ht="15" hidden="false" customHeight="true" outlineLevel="0" collapsed="false">
      <c r="A208" s="15" t="s">
        <v>132</v>
      </c>
      <c r="B208" s="15" t="s">
        <v>133</v>
      </c>
      <c r="C208" s="15" t="s">
        <v>752</v>
      </c>
      <c r="D208" s="15" t="s">
        <v>796</v>
      </c>
      <c r="E208" s="15"/>
      <c r="F208" s="15" t="s">
        <v>716</v>
      </c>
      <c r="G208" s="15" t="s">
        <v>112</v>
      </c>
      <c r="H208" s="15"/>
    </row>
    <row r="209" customFormat="false" ht="15" hidden="false" customHeight="true" outlineLevel="0" collapsed="false">
      <c r="A209" s="15" t="s">
        <v>132</v>
      </c>
      <c r="B209" s="15" t="s">
        <v>133</v>
      </c>
      <c r="C209" s="15" t="s">
        <v>90</v>
      </c>
      <c r="D209" s="15" t="s">
        <v>802</v>
      </c>
      <c r="E209" s="15"/>
      <c r="F209" s="15" t="s">
        <v>716</v>
      </c>
      <c r="G209" s="15" t="s">
        <v>112</v>
      </c>
      <c r="H209" s="15"/>
    </row>
    <row r="210" customFormat="false" ht="15" hidden="false" customHeight="true" outlineLevel="0" collapsed="false">
      <c r="A210" s="15" t="s">
        <v>132</v>
      </c>
      <c r="B210" s="15" t="s">
        <v>133</v>
      </c>
      <c r="C210" s="15" t="s">
        <v>754</v>
      </c>
      <c r="D210" s="15" t="s">
        <v>803</v>
      </c>
      <c r="E210" s="15"/>
      <c r="F210" s="15" t="s">
        <v>716</v>
      </c>
      <c r="G210" s="15" t="s">
        <v>112</v>
      </c>
      <c r="H210" s="15"/>
    </row>
    <row r="211" customFormat="false" ht="15" hidden="false" customHeight="true" outlineLevel="0" collapsed="false">
      <c r="A211" s="15" t="s">
        <v>132</v>
      </c>
      <c r="B211" s="15" t="s">
        <v>133</v>
      </c>
      <c r="C211" s="15" t="s">
        <v>756</v>
      </c>
      <c r="D211" s="15" t="s">
        <v>804</v>
      </c>
      <c r="E211" s="15"/>
      <c r="F211" s="15" t="s">
        <v>716</v>
      </c>
      <c r="G211" s="15" t="s">
        <v>112</v>
      </c>
      <c r="H211" s="15"/>
    </row>
    <row r="212" customFormat="false" ht="15" hidden="false" customHeight="true" outlineLevel="0" collapsed="false">
      <c r="A212" s="15" t="s">
        <v>132</v>
      </c>
      <c r="B212" s="15" t="s">
        <v>133</v>
      </c>
      <c r="C212" s="15" t="s">
        <v>757</v>
      </c>
      <c r="D212" s="15" t="s">
        <v>797</v>
      </c>
      <c r="E212" s="15"/>
      <c r="F212" s="15" t="s">
        <v>716</v>
      </c>
      <c r="G212" s="15" t="s">
        <v>112</v>
      </c>
      <c r="H212" s="15"/>
    </row>
    <row r="213" customFormat="false" ht="15" hidden="false" customHeight="true" outlineLevel="0" collapsed="false">
      <c r="A213" s="15" t="s">
        <v>132</v>
      </c>
      <c r="B213" s="15" t="s">
        <v>133</v>
      </c>
      <c r="C213" s="15" t="s">
        <v>759</v>
      </c>
      <c r="D213" s="15" t="s">
        <v>798</v>
      </c>
      <c r="E213" s="15"/>
      <c r="F213" s="15" t="s">
        <v>716</v>
      </c>
      <c r="G213" s="15" t="s">
        <v>112</v>
      </c>
      <c r="H213" s="15"/>
    </row>
    <row r="214" customFormat="false" ht="15" hidden="false" customHeight="true" outlineLevel="0" collapsed="false">
      <c r="A214" s="15" t="s">
        <v>132</v>
      </c>
      <c r="B214" s="15" t="s">
        <v>133</v>
      </c>
      <c r="C214" s="15" t="s">
        <v>761</v>
      </c>
      <c r="D214" s="15" t="s">
        <v>755</v>
      </c>
      <c r="E214" s="15"/>
      <c r="F214" s="15" t="s">
        <v>716</v>
      </c>
      <c r="G214" s="15" t="s">
        <v>112</v>
      </c>
      <c r="H214" s="15"/>
    </row>
    <row r="215" customFormat="false" ht="15" hidden="false" customHeight="true" outlineLevel="0" collapsed="false">
      <c r="A215" s="15" t="s">
        <v>132</v>
      </c>
      <c r="B215" s="15" t="s">
        <v>133</v>
      </c>
      <c r="C215" s="15" t="s">
        <v>762</v>
      </c>
      <c r="D215" s="15" t="s">
        <v>755</v>
      </c>
      <c r="E215" s="15"/>
      <c r="F215" s="15" t="s">
        <v>716</v>
      </c>
      <c r="G215" s="15" t="s">
        <v>112</v>
      </c>
      <c r="H215" s="15"/>
    </row>
    <row r="216" customFormat="false" ht="15" hidden="false" customHeight="true" outlineLevel="0" collapsed="false">
      <c r="A216" s="15" t="s">
        <v>132</v>
      </c>
      <c r="B216" s="15" t="s">
        <v>133</v>
      </c>
      <c r="C216" s="15" t="s">
        <v>92</v>
      </c>
      <c r="D216" s="15" t="s">
        <v>755</v>
      </c>
      <c r="E216" s="15"/>
      <c r="F216" s="15" t="s">
        <v>716</v>
      </c>
      <c r="G216" s="15" t="s">
        <v>112</v>
      </c>
      <c r="H216" s="15"/>
    </row>
    <row r="217" customFormat="false" ht="15" hidden="false" customHeight="true" outlineLevel="0" collapsed="false">
      <c r="A217" s="15" t="s">
        <v>132</v>
      </c>
      <c r="B217" s="15" t="s">
        <v>133</v>
      </c>
      <c r="C217" s="15" t="s">
        <v>763</v>
      </c>
      <c r="D217" s="15" t="s">
        <v>755</v>
      </c>
      <c r="E217" s="15"/>
      <c r="F217" s="15" t="s">
        <v>716</v>
      </c>
      <c r="G217" s="15" t="s">
        <v>112</v>
      </c>
      <c r="H217" s="15"/>
    </row>
    <row r="218" customFormat="false" ht="15" hidden="false" customHeight="true" outlineLevel="0" collapsed="false">
      <c r="A218" s="15" t="s">
        <v>132</v>
      </c>
      <c r="B218" s="15" t="s">
        <v>133</v>
      </c>
      <c r="C218" s="15" t="s">
        <v>764</v>
      </c>
      <c r="D218" s="15" t="s">
        <v>755</v>
      </c>
      <c r="E218" s="15"/>
      <c r="F218" s="15" t="s">
        <v>716</v>
      </c>
      <c r="G218" s="15" t="s">
        <v>112</v>
      </c>
      <c r="H218" s="15"/>
    </row>
    <row r="219" customFormat="false" ht="15" hidden="false" customHeight="true" outlineLevel="0" collapsed="false">
      <c r="A219" s="15" t="s">
        <v>132</v>
      </c>
      <c r="B219" s="15" t="s">
        <v>133</v>
      </c>
      <c r="C219" s="15" t="s">
        <v>765</v>
      </c>
      <c r="D219" s="15" t="s">
        <v>799</v>
      </c>
      <c r="E219" s="15"/>
      <c r="F219" s="15" t="s">
        <v>716</v>
      </c>
      <c r="G219" s="15" t="s">
        <v>112</v>
      </c>
      <c r="H219" s="15"/>
    </row>
    <row r="220" customFormat="false" ht="15" hidden="false" customHeight="true" outlineLevel="0" collapsed="false">
      <c r="A220" s="15" t="s">
        <v>132</v>
      </c>
      <c r="B220" s="15" t="s">
        <v>133</v>
      </c>
      <c r="C220" s="15" t="s">
        <v>767</v>
      </c>
      <c r="D220" s="15" t="s">
        <v>768</v>
      </c>
      <c r="E220" s="15"/>
      <c r="F220" s="15" t="s">
        <v>716</v>
      </c>
      <c r="G220" s="15" t="s">
        <v>112</v>
      </c>
      <c r="H220" s="15"/>
    </row>
    <row r="221" customFormat="false" ht="26.25" hidden="false" customHeight="true" outlineLevel="0" collapsed="false">
      <c r="A221" s="15" t="s">
        <v>132</v>
      </c>
      <c r="B221" s="15" t="s">
        <v>133</v>
      </c>
      <c r="C221" s="15" t="s">
        <v>769</v>
      </c>
      <c r="D221" s="15" t="n">
        <v>5</v>
      </c>
      <c r="E221" s="15" t="s">
        <v>721</v>
      </c>
      <c r="F221" s="15" t="s">
        <v>770</v>
      </c>
      <c r="G221" s="15" t="s">
        <v>293</v>
      </c>
      <c r="H221" s="15" t="s">
        <v>771</v>
      </c>
    </row>
    <row r="222" customFormat="false" ht="26.25" hidden="false" customHeight="true" outlineLevel="0" collapsed="false">
      <c r="A222" s="15" t="s">
        <v>132</v>
      </c>
      <c r="B222" s="15" t="s">
        <v>133</v>
      </c>
      <c r="C222" s="15" t="s">
        <v>772</v>
      </c>
      <c r="D222" s="15" t="n">
        <v>50000</v>
      </c>
      <c r="E222" s="15" t="s">
        <v>773</v>
      </c>
      <c r="F222" s="15" t="s">
        <v>770</v>
      </c>
      <c r="G222" s="15" t="s">
        <v>293</v>
      </c>
      <c r="H222" s="15" t="s">
        <v>774</v>
      </c>
    </row>
    <row r="223" customFormat="false" ht="26.25" hidden="false" customHeight="true" outlineLevel="0" collapsed="false">
      <c r="A223" s="15" t="s">
        <v>132</v>
      </c>
      <c r="B223" s="15" t="s">
        <v>133</v>
      </c>
      <c r="C223" s="15" t="s">
        <v>775</v>
      </c>
      <c r="D223" s="15" t="n">
        <v>75000</v>
      </c>
      <c r="E223" s="15" t="s">
        <v>773</v>
      </c>
      <c r="F223" s="15" t="s">
        <v>770</v>
      </c>
      <c r="G223" s="15" t="s">
        <v>293</v>
      </c>
      <c r="H223" s="15" t="s">
        <v>774</v>
      </c>
    </row>
    <row r="224" customFormat="false" ht="39" hidden="false" customHeight="true" outlineLevel="0" collapsed="false">
      <c r="A224" s="15" t="s">
        <v>132</v>
      </c>
      <c r="B224" s="15" t="s">
        <v>133</v>
      </c>
      <c r="C224" s="15" t="s">
        <v>776</v>
      </c>
      <c r="D224" s="15" t="s">
        <v>800</v>
      </c>
      <c r="E224" s="15"/>
      <c r="F224" s="15" t="s">
        <v>778</v>
      </c>
      <c r="G224" s="15" t="s">
        <v>293</v>
      </c>
      <c r="H224" s="15" t="s">
        <v>779</v>
      </c>
    </row>
    <row r="225" customFormat="false" ht="39" hidden="false" customHeight="true" outlineLevel="0" collapsed="false">
      <c r="A225" s="15" t="s">
        <v>132</v>
      </c>
      <c r="B225" s="15" t="s">
        <v>133</v>
      </c>
      <c r="C225" s="15" t="s">
        <v>780</v>
      </c>
      <c r="D225" s="15" t="s">
        <v>781</v>
      </c>
      <c r="E225" s="15"/>
      <c r="F225" s="15" t="s">
        <v>778</v>
      </c>
      <c r="G225" s="15" t="s">
        <v>293</v>
      </c>
      <c r="H225" s="15" t="s">
        <v>779</v>
      </c>
    </row>
    <row r="226" customFormat="false" ht="39" hidden="false" customHeight="true" outlineLevel="0" collapsed="false">
      <c r="A226" s="15" t="s">
        <v>132</v>
      </c>
      <c r="B226" s="15" t="s">
        <v>133</v>
      </c>
      <c r="C226" s="15" t="s">
        <v>782</v>
      </c>
      <c r="D226" s="15" t="n">
        <v>36</v>
      </c>
      <c r="E226" s="15" t="s">
        <v>783</v>
      </c>
      <c r="F226" s="15" t="s">
        <v>778</v>
      </c>
      <c r="G226" s="15" t="s">
        <v>293</v>
      </c>
      <c r="H226" s="15" t="s">
        <v>779</v>
      </c>
    </row>
    <row r="227" customFormat="false" ht="39" hidden="false" customHeight="true" outlineLevel="0" collapsed="false">
      <c r="A227" s="15" t="s">
        <v>132</v>
      </c>
      <c r="B227" s="15" t="s">
        <v>133</v>
      </c>
      <c r="C227" s="15" t="s">
        <v>784</v>
      </c>
      <c r="D227" s="15" t="n">
        <v>11</v>
      </c>
      <c r="E227" s="15" t="s">
        <v>738</v>
      </c>
      <c r="F227" s="15" t="s">
        <v>778</v>
      </c>
      <c r="G227" s="15" t="s">
        <v>293</v>
      </c>
      <c r="H227" s="15" t="s">
        <v>779</v>
      </c>
    </row>
    <row r="228" customFormat="false" ht="39" hidden="false" customHeight="true" outlineLevel="0" collapsed="false">
      <c r="A228" s="15" t="s">
        <v>132</v>
      </c>
      <c r="B228" s="15" t="s">
        <v>133</v>
      </c>
      <c r="C228" s="15" t="s">
        <v>785</v>
      </c>
      <c r="D228" s="15" t="n">
        <v>307</v>
      </c>
      <c r="E228" s="15" t="s">
        <v>786</v>
      </c>
      <c r="F228" s="15" t="s">
        <v>778</v>
      </c>
      <c r="G228" s="15" t="s">
        <v>293</v>
      </c>
      <c r="H228" s="15" t="s">
        <v>779</v>
      </c>
    </row>
    <row r="229" customFormat="false" ht="39" hidden="false" customHeight="true" outlineLevel="0" collapsed="false">
      <c r="A229" s="15" t="s">
        <v>132</v>
      </c>
      <c r="B229" s="15" t="s">
        <v>133</v>
      </c>
      <c r="C229" s="15" t="s">
        <v>787</v>
      </c>
      <c r="D229" s="15" t="s">
        <v>788</v>
      </c>
      <c r="E229" s="15"/>
      <c r="F229" s="15" t="s">
        <v>778</v>
      </c>
      <c r="G229" s="15" t="s">
        <v>293</v>
      </c>
      <c r="H229" s="15" t="s">
        <v>779</v>
      </c>
    </row>
    <row r="230" customFormat="false" ht="39" hidden="false" customHeight="true" outlineLevel="0" collapsed="false">
      <c r="A230" s="15" t="s">
        <v>132</v>
      </c>
      <c r="B230" s="15" t="s">
        <v>133</v>
      </c>
      <c r="C230" s="15" t="s">
        <v>789</v>
      </c>
      <c r="D230" s="15" t="s">
        <v>790</v>
      </c>
      <c r="E230" s="15"/>
      <c r="F230" s="15" t="s">
        <v>778</v>
      </c>
      <c r="G230" s="15" t="s">
        <v>293</v>
      </c>
      <c r="H230" s="15" t="s">
        <v>779</v>
      </c>
    </row>
    <row r="231" customFormat="false" ht="39" hidden="false" customHeight="true" outlineLevel="0" collapsed="false">
      <c r="A231" s="15" t="s">
        <v>132</v>
      </c>
      <c r="B231" s="15" t="s">
        <v>133</v>
      </c>
      <c r="C231" s="15" t="s">
        <v>791</v>
      </c>
      <c r="D231" s="15" t="s">
        <v>792</v>
      </c>
      <c r="E231" s="15"/>
      <c r="F231" s="15" t="s">
        <v>778</v>
      </c>
      <c r="G231" s="15" t="s">
        <v>293</v>
      </c>
      <c r="H231" s="15" t="s">
        <v>779</v>
      </c>
    </row>
    <row r="232" customFormat="false" ht="26.25" hidden="false" customHeight="true" outlineLevel="0" collapsed="false">
      <c r="A232" s="15" t="s">
        <v>170</v>
      </c>
      <c r="B232" s="15" t="s">
        <v>171</v>
      </c>
      <c r="C232" s="15" t="s">
        <v>714</v>
      </c>
      <c r="D232" s="15" t="n">
        <v>360</v>
      </c>
      <c r="E232" s="15" t="s">
        <v>715</v>
      </c>
      <c r="F232" s="15" t="s">
        <v>716</v>
      </c>
      <c r="G232" s="15" t="s">
        <v>112</v>
      </c>
      <c r="H232" s="15" t="s">
        <v>717</v>
      </c>
    </row>
    <row r="233" customFormat="false" ht="15" hidden="false" customHeight="true" outlineLevel="0" collapsed="false">
      <c r="A233" s="15" t="s">
        <v>170</v>
      </c>
      <c r="B233" s="15" t="s">
        <v>171</v>
      </c>
      <c r="C233" s="15" t="s">
        <v>718</v>
      </c>
      <c r="D233" s="15" t="s">
        <v>113</v>
      </c>
      <c r="E233" s="15"/>
      <c r="F233" s="15" t="s">
        <v>716</v>
      </c>
      <c r="G233" s="15" t="s">
        <v>112</v>
      </c>
      <c r="H233" s="15"/>
    </row>
    <row r="234" customFormat="false" ht="15" hidden="false" customHeight="true" outlineLevel="0" collapsed="false">
      <c r="A234" s="15" t="s">
        <v>170</v>
      </c>
      <c r="B234" s="15" t="s">
        <v>171</v>
      </c>
      <c r="C234" s="15" t="s">
        <v>719</v>
      </c>
      <c r="D234" s="15" t="n">
        <v>20</v>
      </c>
      <c r="E234" s="15" t="s">
        <v>720</v>
      </c>
      <c r="F234" s="15" t="s">
        <v>716</v>
      </c>
      <c r="G234" s="15" t="s">
        <v>112</v>
      </c>
      <c r="H234" s="15"/>
    </row>
    <row r="235" customFormat="false" ht="15" hidden="false" customHeight="true" outlineLevel="0" collapsed="false">
      <c r="A235" s="15" t="s">
        <v>170</v>
      </c>
      <c r="B235" s="15" t="s">
        <v>171</v>
      </c>
      <c r="C235" s="15" t="s">
        <v>86</v>
      </c>
      <c r="D235" s="15" t="n">
        <v>6</v>
      </c>
      <c r="E235" s="15" t="s">
        <v>721</v>
      </c>
      <c r="F235" s="15" t="s">
        <v>716</v>
      </c>
      <c r="G235" s="15" t="s">
        <v>112</v>
      </c>
      <c r="H235" s="15"/>
    </row>
    <row r="236" customFormat="false" ht="15" hidden="false" customHeight="true" outlineLevel="0" collapsed="false">
      <c r="A236" s="15" t="s">
        <v>170</v>
      </c>
      <c r="B236" s="15" t="s">
        <v>171</v>
      </c>
      <c r="C236" s="15" t="s">
        <v>722</v>
      </c>
      <c r="D236" s="15" t="n">
        <v>455</v>
      </c>
      <c r="E236" s="15" t="s">
        <v>723</v>
      </c>
      <c r="F236" s="15" t="s">
        <v>716</v>
      </c>
      <c r="G236" s="15" t="s">
        <v>112</v>
      </c>
      <c r="H236" s="15"/>
    </row>
    <row r="237" customFormat="false" ht="15" hidden="false" customHeight="true" outlineLevel="0" collapsed="false">
      <c r="A237" s="15" t="s">
        <v>170</v>
      </c>
      <c r="B237" s="15" t="s">
        <v>171</v>
      </c>
      <c r="C237" s="15" t="s">
        <v>724</v>
      </c>
      <c r="D237" s="15" t="n">
        <v>45</v>
      </c>
      <c r="E237" s="15" t="s">
        <v>723</v>
      </c>
      <c r="F237" s="15" t="s">
        <v>716</v>
      </c>
      <c r="G237" s="15" t="s">
        <v>112</v>
      </c>
      <c r="H237" s="15"/>
    </row>
    <row r="238" customFormat="false" ht="15" hidden="false" customHeight="true" outlineLevel="0" collapsed="false">
      <c r="A238" s="15" t="s">
        <v>170</v>
      </c>
      <c r="B238" s="15" t="s">
        <v>171</v>
      </c>
      <c r="C238" s="15" t="s">
        <v>84</v>
      </c>
      <c r="D238" s="15" t="n">
        <v>207</v>
      </c>
      <c r="E238" s="15" t="s">
        <v>725</v>
      </c>
      <c r="F238" s="15" t="s">
        <v>716</v>
      </c>
      <c r="G238" s="15" t="s">
        <v>112</v>
      </c>
      <c r="H238" s="15"/>
    </row>
    <row r="239" customFormat="false" ht="15" hidden="false" customHeight="true" outlineLevel="0" collapsed="false">
      <c r="A239" s="15" t="s">
        <v>170</v>
      </c>
      <c r="B239" s="15" t="s">
        <v>171</v>
      </c>
      <c r="C239" s="15" t="s">
        <v>726</v>
      </c>
      <c r="D239" s="15" t="n">
        <v>4371</v>
      </c>
      <c r="E239" s="15" t="s">
        <v>725</v>
      </c>
      <c r="F239" s="15" t="s">
        <v>716</v>
      </c>
      <c r="G239" s="15" t="s">
        <v>112</v>
      </c>
      <c r="H239" s="15"/>
    </row>
    <row r="240" customFormat="false" ht="15" hidden="false" customHeight="true" outlineLevel="0" collapsed="false">
      <c r="A240" s="15" t="s">
        <v>170</v>
      </c>
      <c r="B240" s="15" t="s">
        <v>171</v>
      </c>
      <c r="C240" s="15" t="s">
        <v>727</v>
      </c>
      <c r="D240" s="15" t="n">
        <v>1907</v>
      </c>
      <c r="E240" s="15" t="s">
        <v>725</v>
      </c>
      <c r="F240" s="15" t="s">
        <v>716</v>
      </c>
      <c r="G240" s="15" t="s">
        <v>112</v>
      </c>
      <c r="H240" s="15"/>
    </row>
    <row r="241" customFormat="false" ht="15" hidden="false" customHeight="true" outlineLevel="0" collapsed="false">
      <c r="A241" s="15" t="s">
        <v>170</v>
      </c>
      <c r="B241" s="15" t="s">
        <v>171</v>
      </c>
      <c r="C241" s="15" t="s">
        <v>728</v>
      </c>
      <c r="D241" s="15" t="n">
        <v>1627</v>
      </c>
      <c r="E241" s="15" t="s">
        <v>725</v>
      </c>
      <c r="F241" s="15" t="s">
        <v>716</v>
      </c>
      <c r="G241" s="15" t="s">
        <v>112</v>
      </c>
      <c r="H241" s="15"/>
    </row>
    <row r="242" customFormat="false" ht="15" hidden="false" customHeight="true" outlineLevel="0" collapsed="false">
      <c r="A242" s="15" t="s">
        <v>170</v>
      </c>
      <c r="B242" s="15" t="s">
        <v>171</v>
      </c>
      <c r="C242" s="15" t="s">
        <v>729</v>
      </c>
      <c r="D242" s="15" t="n">
        <v>2775</v>
      </c>
      <c r="E242" s="15" t="s">
        <v>725</v>
      </c>
      <c r="F242" s="15" t="s">
        <v>716</v>
      </c>
      <c r="G242" s="15" t="s">
        <v>112</v>
      </c>
      <c r="H242" s="15"/>
    </row>
    <row r="243" customFormat="false" ht="15" hidden="false" customHeight="true" outlineLevel="0" collapsed="false">
      <c r="A243" s="15" t="s">
        <v>170</v>
      </c>
      <c r="B243" s="15" t="s">
        <v>171</v>
      </c>
      <c r="C243" s="15" t="s">
        <v>730</v>
      </c>
      <c r="D243" s="15" t="n">
        <v>10</v>
      </c>
      <c r="E243" s="15" t="s">
        <v>731</v>
      </c>
      <c r="F243" s="15" t="s">
        <v>716</v>
      </c>
      <c r="G243" s="15" t="s">
        <v>112</v>
      </c>
      <c r="H243" s="15"/>
    </row>
    <row r="244" customFormat="false" ht="26.25" hidden="false" customHeight="true" outlineLevel="0" collapsed="false">
      <c r="A244" s="15" t="s">
        <v>170</v>
      </c>
      <c r="B244" s="15" t="s">
        <v>171</v>
      </c>
      <c r="C244" s="15" t="s">
        <v>98</v>
      </c>
      <c r="D244" s="15" t="s">
        <v>732</v>
      </c>
      <c r="E244" s="15"/>
      <c r="F244" s="15" t="s">
        <v>716</v>
      </c>
      <c r="G244" s="15" t="s">
        <v>112</v>
      </c>
      <c r="H244" s="15"/>
    </row>
    <row r="245" customFormat="false" ht="26.25" hidden="false" customHeight="true" outlineLevel="0" collapsed="false">
      <c r="A245" s="15" t="s">
        <v>170</v>
      </c>
      <c r="B245" s="15" t="s">
        <v>171</v>
      </c>
      <c r="C245" s="15" t="s">
        <v>733</v>
      </c>
      <c r="D245" s="15" t="s">
        <v>734</v>
      </c>
      <c r="E245" s="15"/>
      <c r="F245" s="15" t="s">
        <v>735</v>
      </c>
      <c r="G245" s="15" t="s">
        <v>112</v>
      </c>
      <c r="H245" s="15" t="s">
        <v>736</v>
      </c>
    </row>
    <row r="246" customFormat="false" ht="15" hidden="false" customHeight="true" outlineLevel="0" collapsed="false">
      <c r="A246" s="15" t="s">
        <v>170</v>
      </c>
      <c r="B246" s="15" t="s">
        <v>171</v>
      </c>
      <c r="C246" s="15" t="s">
        <v>737</v>
      </c>
      <c r="D246" s="15" t="n">
        <v>170</v>
      </c>
      <c r="E246" s="15" t="s">
        <v>738</v>
      </c>
      <c r="F246" s="15" t="s">
        <v>716</v>
      </c>
      <c r="G246" s="15" t="s">
        <v>112</v>
      </c>
      <c r="H246" s="15"/>
    </row>
    <row r="247" customFormat="false" ht="15" hidden="false" customHeight="true" outlineLevel="0" collapsed="false">
      <c r="A247" s="15" t="s">
        <v>170</v>
      </c>
      <c r="B247" s="15" t="s">
        <v>171</v>
      </c>
      <c r="C247" s="15" t="s">
        <v>739</v>
      </c>
      <c r="D247" s="15" t="n">
        <v>140</v>
      </c>
      <c r="E247" s="15" t="s">
        <v>738</v>
      </c>
      <c r="F247" s="15" t="s">
        <v>716</v>
      </c>
      <c r="G247" s="15" t="s">
        <v>112</v>
      </c>
      <c r="H247" s="15"/>
    </row>
    <row r="248" customFormat="false" ht="26.25" hidden="false" customHeight="true" outlineLevel="0" collapsed="false">
      <c r="A248" s="15" t="s">
        <v>170</v>
      </c>
      <c r="B248" s="15" t="s">
        <v>171</v>
      </c>
      <c r="C248" s="15" t="s">
        <v>740</v>
      </c>
      <c r="D248" s="15" t="n">
        <v>6</v>
      </c>
      <c r="E248" s="15" t="s">
        <v>741</v>
      </c>
      <c r="F248" s="15" t="s">
        <v>716</v>
      </c>
      <c r="G248" s="15" t="s">
        <v>112</v>
      </c>
      <c r="H248" s="15"/>
    </row>
    <row r="249" customFormat="false" ht="15" hidden="false" customHeight="true" outlineLevel="0" collapsed="false">
      <c r="A249" s="15" t="s">
        <v>170</v>
      </c>
      <c r="B249" s="15" t="s">
        <v>171</v>
      </c>
      <c r="C249" s="15" t="s">
        <v>742</v>
      </c>
      <c r="D249" s="15" t="n">
        <v>8.7</v>
      </c>
      <c r="E249" s="15" t="s">
        <v>741</v>
      </c>
      <c r="F249" s="15" t="s">
        <v>716</v>
      </c>
      <c r="G249" s="15" t="s">
        <v>112</v>
      </c>
      <c r="H249" s="15"/>
    </row>
    <row r="250" customFormat="false" ht="15" hidden="false" customHeight="true" outlineLevel="0" collapsed="false">
      <c r="A250" s="15" t="s">
        <v>170</v>
      </c>
      <c r="B250" s="15" t="s">
        <v>171</v>
      </c>
      <c r="C250" s="15" t="s">
        <v>743</v>
      </c>
      <c r="D250" s="15" t="s">
        <v>793</v>
      </c>
      <c r="E250" s="15"/>
      <c r="F250" s="15" t="s">
        <v>716</v>
      </c>
      <c r="G250" s="15" t="s">
        <v>112</v>
      </c>
      <c r="H250" s="15"/>
    </row>
    <row r="251" customFormat="false" ht="15" hidden="false" customHeight="true" outlineLevel="0" collapsed="false">
      <c r="A251" s="15" t="s">
        <v>170</v>
      </c>
      <c r="B251" s="15" t="s">
        <v>171</v>
      </c>
      <c r="C251" s="15" t="s">
        <v>745</v>
      </c>
      <c r="D251" s="15" t="s">
        <v>794</v>
      </c>
      <c r="E251" s="15"/>
      <c r="F251" s="15" t="s">
        <v>716</v>
      </c>
      <c r="G251" s="15" t="s">
        <v>112</v>
      </c>
      <c r="H251" s="15"/>
    </row>
    <row r="252" customFormat="false" ht="15" hidden="false" customHeight="true" outlineLevel="0" collapsed="false">
      <c r="A252" s="15" t="s">
        <v>170</v>
      </c>
      <c r="B252" s="15" t="s">
        <v>171</v>
      </c>
      <c r="C252" s="15" t="s">
        <v>747</v>
      </c>
      <c r="D252" s="15" t="s">
        <v>801</v>
      </c>
      <c r="E252" s="15"/>
      <c r="F252" s="15" t="s">
        <v>716</v>
      </c>
      <c r="G252" s="15" t="s">
        <v>112</v>
      </c>
      <c r="H252" s="15"/>
    </row>
    <row r="253" customFormat="false" ht="15" hidden="false" customHeight="true" outlineLevel="0" collapsed="false">
      <c r="A253" s="15" t="s">
        <v>170</v>
      </c>
      <c r="B253" s="15" t="s">
        <v>171</v>
      </c>
      <c r="C253" s="15" t="s">
        <v>749</v>
      </c>
      <c r="D253" s="15" t="s">
        <v>750</v>
      </c>
      <c r="E253" s="15"/>
      <c r="F253" s="15" t="s">
        <v>716</v>
      </c>
      <c r="G253" s="15" t="s">
        <v>112</v>
      </c>
      <c r="H253" s="15" t="s">
        <v>751</v>
      </c>
    </row>
    <row r="254" customFormat="false" ht="15" hidden="false" customHeight="true" outlineLevel="0" collapsed="false">
      <c r="A254" s="15" t="s">
        <v>170</v>
      </c>
      <c r="B254" s="15" t="s">
        <v>171</v>
      </c>
      <c r="C254" s="15" t="s">
        <v>752</v>
      </c>
      <c r="D254" s="15" t="s">
        <v>796</v>
      </c>
      <c r="E254" s="15"/>
      <c r="F254" s="15" t="s">
        <v>716</v>
      </c>
      <c r="G254" s="15" t="s">
        <v>112</v>
      </c>
      <c r="H254" s="15"/>
    </row>
    <row r="255" customFormat="false" ht="15" hidden="false" customHeight="true" outlineLevel="0" collapsed="false">
      <c r="A255" s="15" t="s">
        <v>170</v>
      </c>
      <c r="B255" s="15" t="s">
        <v>171</v>
      </c>
      <c r="C255" s="15" t="s">
        <v>90</v>
      </c>
      <c r="D255" s="15" t="s">
        <v>802</v>
      </c>
      <c r="E255" s="15"/>
      <c r="F255" s="15" t="s">
        <v>716</v>
      </c>
      <c r="G255" s="15" t="s">
        <v>112</v>
      </c>
      <c r="H255" s="15"/>
    </row>
    <row r="256" customFormat="false" ht="15" hidden="false" customHeight="true" outlineLevel="0" collapsed="false">
      <c r="A256" s="15" t="s">
        <v>170</v>
      </c>
      <c r="B256" s="15" t="s">
        <v>171</v>
      </c>
      <c r="C256" s="15" t="s">
        <v>754</v>
      </c>
      <c r="D256" s="15" t="s">
        <v>803</v>
      </c>
      <c r="E256" s="15"/>
      <c r="F256" s="15" t="s">
        <v>716</v>
      </c>
      <c r="G256" s="15" t="s">
        <v>112</v>
      </c>
      <c r="H256" s="15"/>
    </row>
    <row r="257" customFormat="false" ht="15" hidden="false" customHeight="true" outlineLevel="0" collapsed="false">
      <c r="A257" s="15" t="s">
        <v>170</v>
      </c>
      <c r="B257" s="15" t="s">
        <v>171</v>
      </c>
      <c r="C257" s="15" t="s">
        <v>756</v>
      </c>
      <c r="D257" s="15" t="s">
        <v>804</v>
      </c>
      <c r="E257" s="15"/>
      <c r="F257" s="15" t="s">
        <v>716</v>
      </c>
      <c r="G257" s="15" t="s">
        <v>112</v>
      </c>
      <c r="H257" s="15"/>
    </row>
    <row r="258" customFormat="false" ht="15" hidden="false" customHeight="true" outlineLevel="0" collapsed="false">
      <c r="A258" s="15" t="s">
        <v>170</v>
      </c>
      <c r="B258" s="15" t="s">
        <v>171</v>
      </c>
      <c r="C258" s="15" t="s">
        <v>757</v>
      </c>
      <c r="D258" s="15" t="s">
        <v>797</v>
      </c>
      <c r="E258" s="15"/>
      <c r="F258" s="15" t="s">
        <v>716</v>
      </c>
      <c r="G258" s="15" t="s">
        <v>112</v>
      </c>
      <c r="H258" s="15"/>
    </row>
    <row r="259" customFormat="false" ht="15" hidden="false" customHeight="true" outlineLevel="0" collapsed="false">
      <c r="A259" s="15" t="s">
        <v>170</v>
      </c>
      <c r="B259" s="15" t="s">
        <v>171</v>
      </c>
      <c r="C259" s="15" t="s">
        <v>759</v>
      </c>
      <c r="D259" s="15" t="s">
        <v>798</v>
      </c>
      <c r="E259" s="15"/>
      <c r="F259" s="15" t="s">
        <v>716</v>
      </c>
      <c r="G259" s="15" t="s">
        <v>112</v>
      </c>
      <c r="H259" s="15"/>
    </row>
    <row r="260" customFormat="false" ht="15" hidden="false" customHeight="true" outlineLevel="0" collapsed="false">
      <c r="A260" s="15" t="s">
        <v>170</v>
      </c>
      <c r="B260" s="15" t="s">
        <v>171</v>
      </c>
      <c r="C260" s="15" t="s">
        <v>761</v>
      </c>
      <c r="D260" s="15" t="s">
        <v>755</v>
      </c>
      <c r="E260" s="15"/>
      <c r="F260" s="15" t="s">
        <v>716</v>
      </c>
      <c r="G260" s="15" t="s">
        <v>112</v>
      </c>
      <c r="H260" s="15"/>
    </row>
    <row r="261" customFormat="false" ht="15" hidden="false" customHeight="true" outlineLevel="0" collapsed="false">
      <c r="A261" s="15" t="s">
        <v>170</v>
      </c>
      <c r="B261" s="15" t="s">
        <v>171</v>
      </c>
      <c r="C261" s="15" t="s">
        <v>762</v>
      </c>
      <c r="D261" s="15" t="s">
        <v>755</v>
      </c>
      <c r="E261" s="15"/>
      <c r="F261" s="15" t="s">
        <v>716</v>
      </c>
      <c r="G261" s="15" t="s">
        <v>112</v>
      </c>
      <c r="H261" s="15"/>
    </row>
    <row r="262" customFormat="false" ht="15" hidden="false" customHeight="true" outlineLevel="0" collapsed="false">
      <c r="A262" s="15" t="s">
        <v>170</v>
      </c>
      <c r="B262" s="15" t="s">
        <v>171</v>
      </c>
      <c r="C262" s="15" t="s">
        <v>92</v>
      </c>
      <c r="D262" s="15" t="s">
        <v>755</v>
      </c>
      <c r="E262" s="15"/>
      <c r="F262" s="15" t="s">
        <v>716</v>
      </c>
      <c r="G262" s="15" t="s">
        <v>112</v>
      </c>
      <c r="H262" s="15"/>
    </row>
    <row r="263" customFormat="false" ht="15" hidden="false" customHeight="true" outlineLevel="0" collapsed="false">
      <c r="A263" s="15" t="s">
        <v>170</v>
      </c>
      <c r="B263" s="15" t="s">
        <v>171</v>
      </c>
      <c r="C263" s="15" t="s">
        <v>763</v>
      </c>
      <c r="D263" s="15" t="s">
        <v>755</v>
      </c>
      <c r="E263" s="15"/>
      <c r="F263" s="15" t="s">
        <v>716</v>
      </c>
      <c r="G263" s="15" t="s">
        <v>112</v>
      </c>
      <c r="H263" s="15"/>
    </row>
    <row r="264" customFormat="false" ht="15" hidden="false" customHeight="true" outlineLevel="0" collapsed="false">
      <c r="A264" s="15" t="s">
        <v>170</v>
      </c>
      <c r="B264" s="15" t="s">
        <v>171</v>
      </c>
      <c r="C264" s="15" t="s">
        <v>764</v>
      </c>
      <c r="D264" s="15" t="s">
        <v>755</v>
      </c>
      <c r="E264" s="15"/>
      <c r="F264" s="15" t="s">
        <v>716</v>
      </c>
      <c r="G264" s="15" t="s">
        <v>112</v>
      </c>
      <c r="H264" s="15"/>
    </row>
    <row r="265" customFormat="false" ht="15" hidden="false" customHeight="true" outlineLevel="0" collapsed="false">
      <c r="A265" s="15" t="s">
        <v>170</v>
      </c>
      <c r="B265" s="15" t="s">
        <v>171</v>
      </c>
      <c r="C265" s="15" t="s">
        <v>765</v>
      </c>
      <c r="D265" s="15" t="s">
        <v>799</v>
      </c>
      <c r="E265" s="15"/>
      <c r="F265" s="15" t="s">
        <v>716</v>
      </c>
      <c r="G265" s="15" t="s">
        <v>112</v>
      </c>
      <c r="H265" s="15"/>
    </row>
    <row r="266" customFormat="false" ht="15" hidden="false" customHeight="true" outlineLevel="0" collapsed="false">
      <c r="A266" s="15" t="s">
        <v>170</v>
      </c>
      <c r="B266" s="15" t="s">
        <v>171</v>
      </c>
      <c r="C266" s="15" t="s">
        <v>767</v>
      </c>
      <c r="D266" s="15" t="s">
        <v>768</v>
      </c>
      <c r="E266" s="15"/>
      <c r="F266" s="15" t="s">
        <v>716</v>
      </c>
      <c r="G266" s="15" t="s">
        <v>112</v>
      </c>
      <c r="H266" s="15"/>
    </row>
    <row r="267" customFormat="false" ht="26.25" hidden="false" customHeight="true" outlineLevel="0" collapsed="false">
      <c r="A267" s="15" t="s">
        <v>170</v>
      </c>
      <c r="B267" s="15" t="s">
        <v>171</v>
      </c>
      <c r="C267" s="15" t="s">
        <v>769</v>
      </c>
      <c r="D267" s="15" t="n">
        <v>5</v>
      </c>
      <c r="E267" s="15" t="s">
        <v>721</v>
      </c>
      <c r="F267" s="15" t="s">
        <v>770</v>
      </c>
      <c r="G267" s="15" t="s">
        <v>293</v>
      </c>
      <c r="H267" s="15" t="s">
        <v>771</v>
      </c>
    </row>
    <row r="268" customFormat="false" ht="26.25" hidden="false" customHeight="true" outlineLevel="0" collapsed="false">
      <c r="A268" s="15" t="s">
        <v>170</v>
      </c>
      <c r="B268" s="15" t="s">
        <v>171</v>
      </c>
      <c r="C268" s="15" t="s">
        <v>772</v>
      </c>
      <c r="D268" s="15" t="n">
        <v>50000</v>
      </c>
      <c r="E268" s="15" t="s">
        <v>773</v>
      </c>
      <c r="F268" s="15" t="s">
        <v>770</v>
      </c>
      <c r="G268" s="15" t="s">
        <v>293</v>
      </c>
      <c r="H268" s="15" t="s">
        <v>774</v>
      </c>
    </row>
    <row r="269" customFormat="false" ht="26.25" hidden="false" customHeight="true" outlineLevel="0" collapsed="false">
      <c r="A269" s="15" t="s">
        <v>170</v>
      </c>
      <c r="B269" s="15" t="s">
        <v>171</v>
      </c>
      <c r="C269" s="15" t="s">
        <v>775</v>
      </c>
      <c r="D269" s="15" t="n">
        <v>75000</v>
      </c>
      <c r="E269" s="15" t="s">
        <v>773</v>
      </c>
      <c r="F269" s="15" t="s">
        <v>770</v>
      </c>
      <c r="G269" s="15" t="s">
        <v>293</v>
      </c>
      <c r="H269" s="15" t="s">
        <v>774</v>
      </c>
    </row>
    <row r="270" customFormat="false" ht="39" hidden="false" customHeight="true" outlineLevel="0" collapsed="false">
      <c r="A270" s="15" t="s">
        <v>170</v>
      </c>
      <c r="B270" s="15" t="s">
        <v>171</v>
      </c>
      <c r="C270" s="15" t="s">
        <v>776</v>
      </c>
      <c r="D270" s="15" t="s">
        <v>800</v>
      </c>
      <c r="E270" s="15"/>
      <c r="F270" s="15" t="s">
        <v>778</v>
      </c>
      <c r="G270" s="15" t="s">
        <v>293</v>
      </c>
      <c r="H270" s="15" t="s">
        <v>779</v>
      </c>
    </row>
    <row r="271" customFormat="false" ht="39" hidden="false" customHeight="true" outlineLevel="0" collapsed="false">
      <c r="A271" s="15" t="s">
        <v>170</v>
      </c>
      <c r="B271" s="15" t="s">
        <v>171</v>
      </c>
      <c r="C271" s="15" t="s">
        <v>780</v>
      </c>
      <c r="D271" s="15" t="s">
        <v>781</v>
      </c>
      <c r="E271" s="15"/>
      <c r="F271" s="15" t="s">
        <v>778</v>
      </c>
      <c r="G271" s="15" t="s">
        <v>293</v>
      </c>
      <c r="H271" s="15" t="s">
        <v>779</v>
      </c>
    </row>
    <row r="272" customFormat="false" ht="39" hidden="false" customHeight="true" outlineLevel="0" collapsed="false">
      <c r="A272" s="15" t="s">
        <v>170</v>
      </c>
      <c r="B272" s="15" t="s">
        <v>171</v>
      </c>
      <c r="C272" s="15" t="s">
        <v>782</v>
      </c>
      <c r="D272" s="15" t="n">
        <v>36</v>
      </c>
      <c r="E272" s="15" t="s">
        <v>783</v>
      </c>
      <c r="F272" s="15" t="s">
        <v>778</v>
      </c>
      <c r="G272" s="15" t="s">
        <v>293</v>
      </c>
      <c r="H272" s="15" t="s">
        <v>779</v>
      </c>
    </row>
    <row r="273" customFormat="false" ht="39" hidden="false" customHeight="true" outlineLevel="0" collapsed="false">
      <c r="A273" s="15" t="s">
        <v>170</v>
      </c>
      <c r="B273" s="15" t="s">
        <v>171</v>
      </c>
      <c r="C273" s="15" t="s">
        <v>784</v>
      </c>
      <c r="D273" s="15" t="n">
        <v>11</v>
      </c>
      <c r="E273" s="15" t="s">
        <v>738</v>
      </c>
      <c r="F273" s="15" t="s">
        <v>778</v>
      </c>
      <c r="G273" s="15" t="s">
        <v>293</v>
      </c>
      <c r="H273" s="15" t="s">
        <v>779</v>
      </c>
    </row>
    <row r="274" customFormat="false" ht="39" hidden="false" customHeight="true" outlineLevel="0" collapsed="false">
      <c r="A274" s="15" t="s">
        <v>170</v>
      </c>
      <c r="B274" s="15" t="s">
        <v>171</v>
      </c>
      <c r="C274" s="15" t="s">
        <v>785</v>
      </c>
      <c r="D274" s="15" t="n">
        <v>307</v>
      </c>
      <c r="E274" s="15" t="s">
        <v>786</v>
      </c>
      <c r="F274" s="15" t="s">
        <v>778</v>
      </c>
      <c r="G274" s="15" t="s">
        <v>293</v>
      </c>
      <c r="H274" s="15" t="s">
        <v>779</v>
      </c>
    </row>
    <row r="275" customFormat="false" ht="39" hidden="false" customHeight="true" outlineLevel="0" collapsed="false">
      <c r="A275" s="15" t="s">
        <v>170</v>
      </c>
      <c r="B275" s="15" t="s">
        <v>171</v>
      </c>
      <c r="C275" s="15" t="s">
        <v>787</v>
      </c>
      <c r="D275" s="15" t="s">
        <v>788</v>
      </c>
      <c r="E275" s="15"/>
      <c r="F275" s="15" t="s">
        <v>778</v>
      </c>
      <c r="G275" s="15" t="s">
        <v>293</v>
      </c>
      <c r="H275" s="15" t="s">
        <v>779</v>
      </c>
    </row>
    <row r="276" customFormat="false" ht="39" hidden="false" customHeight="true" outlineLevel="0" collapsed="false">
      <c r="A276" s="15" t="s">
        <v>170</v>
      </c>
      <c r="B276" s="15" t="s">
        <v>171</v>
      </c>
      <c r="C276" s="15" t="s">
        <v>789</v>
      </c>
      <c r="D276" s="15" t="s">
        <v>790</v>
      </c>
      <c r="E276" s="15"/>
      <c r="F276" s="15" t="s">
        <v>778</v>
      </c>
      <c r="G276" s="15" t="s">
        <v>293</v>
      </c>
      <c r="H276" s="15" t="s">
        <v>779</v>
      </c>
    </row>
    <row r="277" customFormat="false" ht="39" hidden="false" customHeight="true" outlineLevel="0" collapsed="false">
      <c r="A277" s="15" t="s">
        <v>170</v>
      </c>
      <c r="B277" s="15" t="s">
        <v>171</v>
      </c>
      <c r="C277" s="15" t="s">
        <v>791</v>
      </c>
      <c r="D277" s="15" t="s">
        <v>792</v>
      </c>
      <c r="E277" s="15"/>
      <c r="F277" s="15" t="s">
        <v>778</v>
      </c>
      <c r="G277" s="15" t="s">
        <v>293</v>
      </c>
      <c r="H277" s="15" t="s">
        <v>779</v>
      </c>
    </row>
    <row r="278" customFormat="false" ht="26.25" hidden="false" customHeight="true" outlineLevel="0" collapsed="false">
      <c r="A278" s="15" t="s">
        <v>136</v>
      </c>
      <c r="B278" s="15" t="s">
        <v>137</v>
      </c>
      <c r="C278" s="15" t="s">
        <v>714</v>
      </c>
      <c r="D278" s="15" t="n">
        <v>360</v>
      </c>
      <c r="E278" s="15" t="s">
        <v>715</v>
      </c>
      <c r="F278" s="15" t="s">
        <v>716</v>
      </c>
      <c r="G278" s="15" t="s">
        <v>112</v>
      </c>
      <c r="H278" s="15" t="s">
        <v>717</v>
      </c>
    </row>
    <row r="279" customFormat="false" ht="15" hidden="false" customHeight="true" outlineLevel="0" collapsed="false">
      <c r="A279" s="15" t="s">
        <v>136</v>
      </c>
      <c r="B279" s="15" t="s">
        <v>137</v>
      </c>
      <c r="C279" s="15" t="s">
        <v>718</v>
      </c>
      <c r="D279" s="15" t="s">
        <v>113</v>
      </c>
      <c r="E279" s="15"/>
      <c r="F279" s="15" t="s">
        <v>716</v>
      </c>
      <c r="G279" s="15" t="s">
        <v>112</v>
      </c>
      <c r="H279" s="15"/>
    </row>
    <row r="280" customFormat="false" ht="15" hidden="false" customHeight="true" outlineLevel="0" collapsed="false">
      <c r="A280" s="15" t="s">
        <v>136</v>
      </c>
      <c r="B280" s="15" t="s">
        <v>137</v>
      </c>
      <c r="C280" s="15" t="s">
        <v>719</v>
      </c>
      <c r="D280" s="15" t="n">
        <v>20</v>
      </c>
      <c r="E280" s="15" t="s">
        <v>720</v>
      </c>
      <c r="F280" s="15" t="s">
        <v>716</v>
      </c>
      <c r="G280" s="15" t="s">
        <v>112</v>
      </c>
      <c r="H280" s="15"/>
    </row>
    <row r="281" customFormat="false" ht="15" hidden="false" customHeight="true" outlineLevel="0" collapsed="false">
      <c r="A281" s="15" t="s">
        <v>136</v>
      </c>
      <c r="B281" s="15" t="s">
        <v>137</v>
      </c>
      <c r="C281" s="15" t="s">
        <v>86</v>
      </c>
      <c r="D281" s="15" t="n">
        <v>6</v>
      </c>
      <c r="E281" s="15" t="s">
        <v>721</v>
      </c>
      <c r="F281" s="15" t="s">
        <v>716</v>
      </c>
      <c r="G281" s="15" t="s">
        <v>112</v>
      </c>
      <c r="H281" s="15"/>
    </row>
    <row r="282" customFormat="false" ht="15" hidden="false" customHeight="true" outlineLevel="0" collapsed="false">
      <c r="A282" s="15" t="s">
        <v>136</v>
      </c>
      <c r="B282" s="15" t="s">
        <v>137</v>
      </c>
      <c r="C282" s="15" t="s">
        <v>722</v>
      </c>
      <c r="D282" s="15" t="n">
        <v>455</v>
      </c>
      <c r="E282" s="15" t="s">
        <v>723</v>
      </c>
      <c r="F282" s="15" t="s">
        <v>716</v>
      </c>
      <c r="G282" s="15" t="s">
        <v>112</v>
      </c>
      <c r="H282" s="15"/>
    </row>
    <row r="283" customFormat="false" ht="15" hidden="false" customHeight="true" outlineLevel="0" collapsed="false">
      <c r="A283" s="15" t="s">
        <v>136</v>
      </c>
      <c r="B283" s="15" t="s">
        <v>137</v>
      </c>
      <c r="C283" s="15" t="s">
        <v>724</v>
      </c>
      <c r="D283" s="15" t="n">
        <v>45</v>
      </c>
      <c r="E283" s="15" t="s">
        <v>723</v>
      </c>
      <c r="F283" s="15" t="s">
        <v>716</v>
      </c>
      <c r="G283" s="15" t="s">
        <v>112</v>
      </c>
      <c r="H283" s="15"/>
    </row>
    <row r="284" customFormat="false" ht="15" hidden="false" customHeight="true" outlineLevel="0" collapsed="false">
      <c r="A284" s="15" t="s">
        <v>136</v>
      </c>
      <c r="B284" s="15" t="s">
        <v>137</v>
      </c>
      <c r="C284" s="15" t="s">
        <v>84</v>
      </c>
      <c r="D284" s="15" t="n">
        <v>207</v>
      </c>
      <c r="E284" s="15" t="s">
        <v>725</v>
      </c>
      <c r="F284" s="15" t="s">
        <v>716</v>
      </c>
      <c r="G284" s="15" t="s">
        <v>112</v>
      </c>
      <c r="H284" s="15"/>
    </row>
    <row r="285" customFormat="false" ht="15" hidden="false" customHeight="true" outlineLevel="0" collapsed="false">
      <c r="A285" s="15" t="s">
        <v>136</v>
      </c>
      <c r="B285" s="15" t="s">
        <v>137</v>
      </c>
      <c r="C285" s="15" t="s">
        <v>726</v>
      </c>
      <c r="D285" s="15" t="n">
        <v>4371</v>
      </c>
      <c r="E285" s="15" t="s">
        <v>725</v>
      </c>
      <c r="F285" s="15" t="s">
        <v>716</v>
      </c>
      <c r="G285" s="15" t="s">
        <v>112</v>
      </c>
      <c r="H285" s="15"/>
    </row>
    <row r="286" customFormat="false" ht="15" hidden="false" customHeight="true" outlineLevel="0" collapsed="false">
      <c r="A286" s="15" t="s">
        <v>136</v>
      </c>
      <c r="B286" s="15" t="s">
        <v>137</v>
      </c>
      <c r="C286" s="15" t="s">
        <v>727</v>
      </c>
      <c r="D286" s="15" t="n">
        <v>1907</v>
      </c>
      <c r="E286" s="15" t="s">
        <v>725</v>
      </c>
      <c r="F286" s="15" t="s">
        <v>716</v>
      </c>
      <c r="G286" s="15" t="s">
        <v>112</v>
      </c>
      <c r="H286" s="15"/>
    </row>
    <row r="287" customFormat="false" ht="15" hidden="false" customHeight="true" outlineLevel="0" collapsed="false">
      <c r="A287" s="15" t="s">
        <v>136</v>
      </c>
      <c r="B287" s="15" t="s">
        <v>137</v>
      </c>
      <c r="C287" s="15" t="s">
        <v>728</v>
      </c>
      <c r="D287" s="15" t="n">
        <v>1627</v>
      </c>
      <c r="E287" s="15" t="s">
        <v>725</v>
      </c>
      <c r="F287" s="15" t="s">
        <v>716</v>
      </c>
      <c r="G287" s="15" t="s">
        <v>112</v>
      </c>
      <c r="H287" s="15"/>
    </row>
    <row r="288" customFormat="false" ht="15" hidden="false" customHeight="true" outlineLevel="0" collapsed="false">
      <c r="A288" s="15" t="s">
        <v>136</v>
      </c>
      <c r="B288" s="15" t="s">
        <v>137</v>
      </c>
      <c r="C288" s="15" t="s">
        <v>729</v>
      </c>
      <c r="D288" s="15" t="n">
        <v>2775</v>
      </c>
      <c r="E288" s="15" t="s">
        <v>725</v>
      </c>
      <c r="F288" s="15" t="s">
        <v>716</v>
      </c>
      <c r="G288" s="15" t="s">
        <v>112</v>
      </c>
      <c r="H288" s="15"/>
    </row>
    <row r="289" customFormat="false" ht="15" hidden="false" customHeight="true" outlineLevel="0" collapsed="false">
      <c r="A289" s="15" t="s">
        <v>136</v>
      </c>
      <c r="B289" s="15" t="s">
        <v>137</v>
      </c>
      <c r="C289" s="15" t="s">
        <v>730</v>
      </c>
      <c r="D289" s="15" t="n">
        <v>10</v>
      </c>
      <c r="E289" s="15" t="s">
        <v>731</v>
      </c>
      <c r="F289" s="15" t="s">
        <v>716</v>
      </c>
      <c r="G289" s="15" t="s">
        <v>112</v>
      </c>
      <c r="H289" s="15"/>
    </row>
    <row r="290" customFormat="false" ht="26.25" hidden="false" customHeight="true" outlineLevel="0" collapsed="false">
      <c r="A290" s="15" t="s">
        <v>136</v>
      </c>
      <c r="B290" s="15" t="s">
        <v>137</v>
      </c>
      <c r="C290" s="15" t="s">
        <v>98</v>
      </c>
      <c r="D290" s="15" t="s">
        <v>732</v>
      </c>
      <c r="E290" s="15"/>
      <c r="F290" s="15" t="s">
        <v>716</v>
      </c>
      <c r="G290" s="15" t="s">
        <v>112</v>
      </c>
      <c r="H290" s="15"/>
    </row>
    <row r="291" customFormat="false" ht="26.25" hidden="false" customHeight="true" outlineLevel="0" collapsed="false">
      <c r="A291" s="15" t="s">
        <v>136</v>
      </c>
      <c r="B291" s="15" t="s">
        <v>137</v>
      </c>
      <c r="C291" s="15" t="s">
        <v>733</v>
      </c>
      <c r="D291" s="15" t="s">
        <v>805</v>
      </c>
      <c r="E291" s="15"/>
      <c r="F291" s="15" t="s">
        <v>735</v>
      </c>
      <c r="G291" s="15" t="s">
        <v>112</v>
      </c>
      <c r="H291" s="15" t="s">
        <v>736</v>
      </c>
    </row>
    <row r="292" customFormat="false" ht="15" hidden="false" customHeight="true" outlineLevel="0" collapsed="false">
      <c r="A292" s="15" t="s">
        <v>136</v>
      </c>
      <c r="B292" s="15" t="s">
        <v>137</v>
      </c>
      <c r="C292" s="15" t="s">
        <v>737</v>
      </c>
      <c r="D292" s="15" t="n">
        <v>180</v>
      </c>
      <c r="E292" s="15" t="s">
        <v>738</v>
      </c>
      <c r="F292" s="15" t="s">
        <v>716</v>
      </c>
      <c r="G292" s="15" t="s">
        <v>112</v>
      </c>
      <c r="H292" s="15"/>
    </row>
    <row r="293" customFormat="false" ht="15" hidden="false" customHeight="true" outlineLevel="0" collapsed="false">
      <c r="A293" s="15" t="s">
        <v>136</v>
      </c>
      <c r="B293" s="15" t="s">
        <v>137</v>
      </c>
      <c r="C293" s="15" t="s">
        <v>739</v>
      </c>
      <c r="D293" s="15" t="n">
        <v>160</v>
      </c>
      <c r="E293" s="15" t="s">
        <v>738</v>
      </c>
      <c r="F293" s="15" t="s">
        <v>716</v>
      </c>
      <c r="G293" s="15" t="s">
        <v>112</v>
      </c>
      <c r="H293" s="15"/>
    </row>
    <row r="294" customFormat="false" ht="26.25" hidden="false" customHeight="true" outlineLevel="0" collapsed="false">
      <c r="A294" s="15" t="s">
        <v>136</v>
      </c>
      <c r="B294" s="15" t="s">
        <v>137</v>
      </c>
      <c r="C294" s="15" t="s">
        <v>740</v>
      </c>
      <c r="D294" s="15" t="n">
        <v>7</v>
      </c>
      <c r="E294" s="15" t="s">
        <v>741</v>
      </c>
      <c r="F294" s="15" t="s">
        <v>716</v>
      </c>
      <c r="G294" s="15" t="s">
        <v>112</v>
      </c>
      <c r="H294" s="15"/>
    </row>
    <row r="295" customFormat="false" ht="15" hidden="false" customHeight="true" outlineLevel="0" collapsed="false">
      <c r="A295" s="15" t="s">
        <v>136</v>
      </c>
      <c r="B295" s="15" t="s">
        <v>137</v>
      </c>
      <c r="C295" s="15" t="s">
        <v>742</v>
      </c>
      <c r="D295" s="15" t="n">
        <v>10.2</v>
      </c>
      <c r="E295" s="15" t="s">
        <v>741</v>
      </c>
      <c r="F295" s="15" t="s">
        <v>716</v>
      </c>
      <c r="G295" s="15" t="s">
        <v>112</v>
      </c>
      <c r="H295" s="15"/>
    </row>
    <row r="296" customFormat="false" ht="15" hidden="false" customHeight="true" outlineLevel="0" collapsed="false">
      <c r="A296" s="15" t="s">
        <v>136</v>
      </c>
      <c r="B296" s="15" t="s">
        <v>137</v>
      </c>
      <c r="C296" s="15" t="s">
        <v>743</v>
      </c>
      <c r="D296" s="15" t="s">
        <v>793</v>
      </c>
      <c r="E296" s="15"/>
      <c r="F296" s="15" t="s">
        <v>716</v>
      </c>
      <c r="G296" s="15" t="s">
        <v>112</v>
      </c>
      <c r="H296" s="15"/>
    </row>
    <row r="297" customFormat="false" ht="15" hidden="false" customHeight="true" outlineLevel="0" collapsed="false">
      <c r="A297" s="15" t="s">
        <v>136</v>
      </c>
      <c r="B297" s="15" t="s">
        <v>137</v>
      </c>
      <c r="C297" s="15" t="s">
        <v>745</v>
      </c>
      <c r="D297" s="15" t="s">
        <v>794</v>
      </c>
      <c r="E297" s="15"/>
      <c r="F297" s="15" t="s">
        <v>716</v>
      </c>
      <c r="G297" s="15" t="s">
        <v>112</v>
      </c>
      <c r="H297" s="15"/>
    </row>
    <row r="298" customFormat="false" ht="15" hidden="false" customHeight="true" outlineLevel="0" collapsed="false">
      <c r="A298" s="15" t="s">
        <v>136</v>
      </c>
      <c r="B298" s="15" t="s">
        <v>137</v>
      </c>
      <c r="C298" s="15" t="s">
        <v>747</v>
      </c>
      <c r="D298" s="15" t="s">
        <v>801</v>
      </c>
      <c r="E298" s="15"/>
      <c r="F298" s="15" t="s">
        <v>716</v>
      </c>
      <c r="G298" s="15" t="s">
        <v>112</v>
      </c>
      <c r="H298" s="15"/>
    </row>
    <row r="299" customFormat="false" ht="15" hidden="false" customHeight="true" outlineLevel="0" collapsed="false">
      <c r="A299" s="15" t="s">
        <v>136</v>
      </c>
      <c r="B299" s="15" t="s">
        <v>137</v>
      </c>
      <c r="C299" s="15" t="s">
        <v>749</v>
      </c>
      <c r="D299" s="15" t="s">
        <v>750</v>
      </c>
      <c r="E299" s="15"/>
      <c r="F299" s="15" t="s">
        <v>716</v>
      </c>
      <c r="G299" s="15" t="s">
        <v>112</v>
      </c>
      <c r="H299" s="15" t="s">
        <v>751</v>
      </c>
    </row>
    <row r="300" customFormat="false" ht="15" hidden="false" customHeight="true" outlineLevel="0" collapsed="false">
      <c r="A300" s="15" t="s">
        <v>136</v>
      </c>
      <c r="B300" s="15" t="s">
        <v>137</v>
      </c>
      <c r="C300" s="15" t="s">
        <v>752</v>
      </c>
      <c r="D300" s="15" t="s">
        <v>796</v>
      </c>
      <c r="E300" s="15"/>
      <c r="F300" s="15" t="s">
        <v>716</v>
      </c>
      <c r="G300" s="15" t="s">
        <v>112</v>
      </c>
      <c r="H300" s="15"/>
    </row>
    <row r="301" customFormat="false" ht="15" hidden="false" customHeight="true" outlineLevel="0" collapsed="false">
      <c r="A301" s="15" t="s">
        <v>136</v>
      </c>
      <c r="B301" s="15" t="s">
        <v>137</v>
      </c>
      <c r="C301" s="15" t="s">
        <v>90</v>
      </c>
      <c r="D301" s="15" t="s">
        <v>802</v>
      </c>
      <c r="E301" s="15"/>
      <c r="F301" s="15" t="s">
        <v>716</v>
      </c>
      <c r="G301" s="15" t="s">
        <v>112</v>
      </c>
      <c r="H301" s="15"/>
    </row>
    <row r="302" customFormat="false" ht="15" hidden="false" customHeight="true" outlineLevel="0" collapsed="false">
      <c r="A302" s="15" t="s">
        <v>136</v>
      </c>
      <c r="B302" s="15" t="s">
        <v>137</v>
      </c>
      <c r="C302" s="15" t="s">
        <v>754</v>
      </c>
      <c r="D302" s="15" t="s">
        <v>803</v>
      </c>
      <c r="E302" s="15"/>
      <c r="F302" s="15" t="s">
        <v>716</v>
      </c>
      <c r="G302" s="15" t="s">
        <v>112</v>
      </c>
      <c r="H302" s="15"/>
    </row>
    <row r="303" customFormat="false" ht="15" hidden="false" customHeight="true" outlineLevel="0" collapsed="false">
      <c r="A303" s="15" t="s">
        <v>136</v>
      </c>
      <c r="B303" s="15" t="s">
        <v>137</v>
      </c>
      <c r="C303" s="15" t="s">
        <v>756</v>
      </c>
      <c r="D303" s="15" t="s">
        <v>804</v>
      </c>
      <c r="E303" s="15"/>
      <c r="F303" s="15" t="s">
        <v>716</v>
      </c>
      <c r="G303" s="15" t="s">
        <v>112</v>
      </c>
      <c r="H303" s="15"/>
    </row>
    <row r="304" customFormat="false" ht="15" hidden="false" customHeight="true" outlineLevel="0" collapsed="false">
      <c r="A304" s="15" t="s">
        <v>136</v>
      </c>
      <c r="B304" s="15" t="s">
        <v>137</v>
      </c>
      <c r="C304" s="15" t="s">
        <v>757</v>
      </c>
      <c r="D304" s="15" t="s">
        <v>797</v>
      </c>
      <c r="E304" s="15"/>
      <c r="F304" s="15" t="s">
        <v>716</v>
      </c>
      <c r="G304" s="15" t="s">
        <v>112</v>
      </c>
      <c r="H304" s="15"/>
    </row>
    <row r="305" customFormat="false" ht="15" hidden="false" customHeight="true" outlineLevel="0" collapsed="false">
      <c r="A305" s="15" t="s">
        <v>136</v>
      </c>
      <c r="B305" s="15" t="s">
        <v>137</v>
      </c>
      <c r="C305" s="15" t="s">
        <v>759</v>
      </c>
      <c r="D305" s="15" t="s">
        <v>798</v>
      </c>
      <c r="E305" s="15"/>
      <c r="F305" s="15" t="s">
        <v>716</v>
      </c>
      <c r="G305" s="15" t="s">
        <v>112</v>
      </c>
      <c r="H305" s="15"/>
    </row>
    <row r="306" customFormat="false" ht="15" hidden="false" customHeight="true" outlineLevel="0" collapsed="false">
      <c r="A306" s="15" t="s">
        <v>136</v>
      </c>
      <c r="B306" s="15" t="s">
        <v>137</v>
      </c>
      <c r="C306" s="15" t="s">
        <v>761</v>
      </c>
      <c r="D306" s="15" t="s">
        <v>755</v>
      </c>
      <c r="E306" s="15"/>
      <c r="F306" s="15" t="s">
        <v>716</v>
      </c>
      <c r="G306" s="15" t="s">
        <v>112</v>
      </c>
      <c r="H306" s="15"/>
    </row>
    <row r="307" customFormat="false" ht="15" hidden="false" customHeight="true" outlineLevel="0" collapsed="false">
      <c r="A307" s="15" t="s">
        <v>136</v>
      </c>
      <c r="B307" s="15" t="s">
        <v>137</v>
      </c>
      <c r="C307" s="15" t="s">
        <v>762</v>
      </c>
      <c r="D307" s="15" t="s">
        <v>755</v>
      </c>
      <c r="E307" s="15"/>
      <c r="F307" s="15" t="s">
        <v>716</v>
      </c>
      <c r="G307" s="15" t="s">
        <v>112</v>
      </c>
      <c r="H307" s="15"/>
    </row>
    <row r="308" customFormat="false" ht="15" hidden="false" customHeight="true" outlineLevel="0" collapsed="false">
      <c r="A308" s="15" t="s">
        <v>136</v>
      </c>
      <c r="B308" s="15" t="s">
        <v>137</v>
      </c>
      <c r="C308" s="15" t="s">
        <v>92</v>
      </c>
      <c r="D308" s="15" t="s">
        <v>755</v>
      </c>
      <c r="E308" s="15"/>
      <c r="F308" s="15" t="s">
        <v>716</v>
      </c>
      <c r="G308" s="15" t="s">
        <v>112</v>
      </c>
      <c r="H308" s="15"/>
    </row>
    <row r="309" customFormat="false" ht="15" hidden="false" customHeight="true" outlineLevel="0" collapsed="false">
      <c r="A309" s="15" t="s">
        <v>136</v>
      </c>
      <c r="B309" s="15" t="s">
        <v>137</v>
      </c>
      <c r="C309" s="15" t="s">
        <v>763</v>
      </c>
      <c r="D309" s="15" t="s">
        <v>755</v>
      </c>
      <c r="E309" s="15"/>
      <c r="F309" s="15" t="s">
        <v>716</v>
      </c>
      <c r="G309" s="15" t="s">
        <v>112</v>
      </c>
      <c r="H309" s="15"/>
    </row>
    <row r="310" customFormat="false" ht="15" hidden="false" customHeight="true" outlineLevel="0" collapsed="false">
      <c r="A310" s="15" t="s">
        <v>136</v>
      </c>
      <c r="B310" s="15" t="s">
        <v>137</v>
      </c>
      <c r="C310" s="15" t="s">
        <v>764</v>
      </c>
      <c r="D310" s="15" t="s">
        <v>755</v>
      </c>
      <c r="E310" s="15"/>
      <c r="F310" s="15" t="s">
        <v>716</v>
      </c>
      <c r="G310" s="15" t="s">
        <v>112</v>
      </c>
      <c r="H310" s="15"/>
    </row>
    <row r="311" customFormat="false" ht="15" hidden="false" customHeight="true" outlineLevel="0" collapsed="false">
      <c r="A311" s="15" t="s">
        <v>136</v>
      </c>
      <c r="B311" s="15" t="s">
        <v>137</v>
      </c>
      <c r="C311" s="15" t="s">
        <v>765</v>
      </c>
      <c r="D311" s="15" t="s">
        <v>799</v>
      </c>
      <c r="E311" s="15"/>
      <c r="F311" s="15" t="s">
        <v>716</v>
      </c>
      <c r="G311" s="15" t="s">
        <v>112</v>
      </c>
      <c r="H311" s="15"/>
    </row>
    <row r="312" customFormat="false" ht="15" hidden="false" customHeight="true" outlineLevel="0" collapsed="false">
      <c r="A312" s="15" t="s">
        <v>136</v>
      </c>
      <c r="B312" s="15" t="s">
        <v>137</v>
      </c>
      <c r="C312" s="15" t="s">
        <v>767</v>
      </c>
      <c r="D312" s="15" t="s">
        <v>768</v>
      </c>
      <c r="E312" s="15"/>
      <c r="F312" s="15" t="s">
        <v>716</v>
      </c>
      <c r="G312" s="15" t="s">
        <v>112</v>
      </c>
      <c r="H312" s="15"/>
    </row>
    <row r="313" customFormat="false" ht="26.25" hidden="false" customHeight="true" outlineLevel="0" collapsed="false">
      <c r="A313" s="15" t="s">
        <v>136</v>
      </c>
      <c r="B313" s="15" t="s">
        <v>137</v>
      </c>
      <c r="C313" s="15" t="s">
        <v>769</v>
      </c>
      <c r="D313" s="15" t="n">
        <v>5</v>
      </c>
      <c r="E313" s="15" t="s">
        <v>721</v>
      </c>
      <c r="F313" s="15" t="s">
        <v>770</v>
      </c>
      <c r="G313" s="15" t="s">
        <v>293</v>
      </c>
      <c r="H313" s="15" t="s">
        <v>771</v>
      </c>
    </row>
    <row r="314" customFormat="false" ht="26.25" hidden="false" customHeight="true" outlineLevel="0" collapsed="false">
      <c r="A314" s="15" t="s">
        <v>136</v>
      </c>
      <c r="B314" s="15" t="s">
        <v>137</v>
      </c>
      <c r="C314" s="15" t="s">
        <v>772</v>
      </c>
      <c r="D314" s="15" t="n">
        <v>50000</v>
      </c>
      <c r="E314" s="15" t="s">
        <v>773</v>
      </c>
      <c r="F314" s="15" t="s">
        <v>770</v>
      </c>
      <c r="G314" s="15" t="s">
        <v>293</v>
      </c>
      <c r="H314" s="15" t="s">
        <v>774</v>
      </c>
    </row>
    <row r="315" customFormat="false" ht="26.25" hidden="false" customHeight="true" outlineLevel="0" collapsed="false">
      <c r="A315" s="15" t="s">
        <v>136</v>
      </c>
      <c r="B315" s="15" t="s">
        <v>137</v>
      </c>
      <c r="C315" s="15" t="s">
        <v>775</v>
      </c>
      <c r="D315" s="15" t="n">
        <v>75000</v>
      </c>
      <c r="E315" s="15" t="s">
        <v>773</v>
      </c>
      <c r="F315" s="15" t="s">
        <v>770</v>
      </c>
      <c r="G315" s="15" t="s">
        <v>293</v>
      </c>
      <c r="H315" s="15" t="s">
        <v>774</v>
      </c>
    </row>
    <row r="316" customFormat="false" ht="39" hidden="false" customHeight="true" outlineLevel="0" collapsed="false">
      <c r="A316" s="15" t="s">
        <v>136</v>
      </c>
      <c r="B316" s="15" t="s">
        <v>137</v>
      </c>
      <c r="C316" s="15" t="s">
        <v>776</v>
      </c>
      <c r="D316" s="15" t="s">
        <v>800</v>
      </c>
      <c r="E316" s="15"/>
      <c r="F316" s="15" t="s">
        <v>778</v>
      </c>
      <c r="G316" s="15" t="s">
        <v>293</v>
      </c>
      <c r="H316" s="15" t="s">
        <v>779</v>
      </c>
    </row>
    <row r="317" customFormat="false" ht="39" hidden="false" customHeight="true" outlineLevel="0" collapsed="false">
      <c r="A317" s="15" t="s">
        <v>136</v>
      </c>
      <c r="B317" s="15" t="s">
        <v>137</v>
      </c>
      <c r="C317" s="15" t="s">
        <v>780</v>
      </c>
      <c r="D317" s="15" t="s">
        <v>781</v>
      </c>
      <c r="E317" s="15"/>
      <c r="F317" s="15" t="s">
        <v>778</v>
      </c>
      <c r="G317" s="15" t="s">
        <v>293</v>
      </c>
      <c r="H317" s="15" t="s">
        <v>779</v>
      </c>
    </row>
    <row r="318" customFormat="false" ht="39" hidden="false" customHeight="true" outlineLevel="0" collapsed="false">
      <c r="A318" s="15" t="s">
        <v>136</v>
      </c>
      <c r="B318" s="15" t="s">
        <v>137</v>
      </c>
      <c r="C318" s="15" t="s">
        <v>782</v>
      </c>
      <c r="D318" s="15" t="n">
        <v>36</v>
      </c>
      <c r="E318" s="15" t="s">
        <v>783</v>
      </c>
      <c r="F318" s="15" t="s">
        <v>778</v>
      </c>
      <c r="G318" s="15" t="s">
        <v>293</v>
      </c>
      <c r="H318" s="15" t="s">
        <v>779</v>
      </c>
    </row>
    <row r="319" customFormat="false" ht="39" hidden="false" customHeight="true" outlineLevel="0" collapsed="false">
      <c r="A319" s="15" t="s">
        <v>136</v>
      </c>
      <c r="B319" s="15" t="s">
        <v>137</v>
      </c>
      <c r="C319" s="15" t="s">
        <v>784</v>
      </c>
      <c r="D319" s="15" t="n">
        <v>11</v>
      </c>
      <c r="E319" s="15" t="s">
        <v>738</v>
      </c>
      <c r="F319" s="15" t="s">
        <v>778</v>
      </c>
      <c r="G319" s="15" t="s">
        <v>293</v>
      </c>
      <c r="H319" s="15" t="s">
        <v>779</v>
      </c>
    </row>
    <row r="320" customFormat="false" ht="39" hidden="false" customHeight="true" outlineLevel="0" collapsed="false">
      <c r="A320" s="15" t="s">
        <v>136</v>
      </c>
      <c r="B320" s="15" t="s">
        <v>137</v>
      </c>
      <c r="C320" s="15" t="s">
        <v>787</v>
      </c>
      <c r="D320" s="15" t="s">
        <v>788</v>
      </c>
      <c r="E320" s="15"/>
      <c r="F320" s="15" t="s">
        <v>778</v>
      </c>
      <c r="G320" s="15" t="s">
        <v>293</v>
      </c>
      <c r="H320" s="15" t="s">
        <v>779</v>
      </c>
    </row>
    <row r="321" customFormat="false" ht="39" hidden="false" customHeight="true" outlineLevel="0" collapsed="false">
      <c r="A321" s="15" t="s">
        <v>136</v>
      </c>
      <c r="B321" s="15" t="s">
        <v>137</v>
      </c>
      <c r="C321" s="15" t="s">
        <v>789</v>
      </c>
      <c r="D321" s="15" t="s">
        <v>790</v>
      </c>
      <c r="E321" s="15"/>
      <c r="F321" s="15" t="s">
        <v>778</v>
      </c>
      <c r="G321" s="15" t="s">
        <v>293</v>
      </c>
      <c r="H321" s="15" t="s">
        <v>779</v>
      </c>
    </row>
    <row r="322" customFormat="false" ht="39" hidden="false" customHeight="true" outlineLevel="0" collapsed="false">
      <c r="A322" s="15" t="s">
        <v>136</v>
      </c>
      <c r="B322" s="15" t="s">
        <v>137</v>
      </c>
      <c r="C322" s="15" t="s">
        <v>791</v>
      </c>
      <c r="D322" s="15" t="s">
        <v>792</v>
      </c>
      <c r="E322" s="15"/>
      <c r="F322" s="15" t="s">
        <v>778</v>
      </c>
      <c r="G322" s="15" t="s">
        <v>293</v>
      </c>
      <c r="H322" s="15" t="s">
        <v>779</v>
      </c>
    </row>
    <row r="323" customFormat="false" ht="26.25" hidden="false" customHeight="true" outlineLevel="0" collapsed="false">
      <c r="A323" s="15" t="s">
        <v>173</v>
      </c>
      <c r="B323" s="15" t="s">
        <v>174</v>
      </c>
      <c r="C323" s="15" t="s">
        <v>714</v>
      </c>
      <c r="D323" s="15" t="n">
        <v>360</v>
      </c>
      <c r="E323" s="15" t="s">
        <v>715</v>
      </c>
      <c r="F323" s="15" t="s">
        <v>716</v>
      </c>
      <c r="G323" s="15" t="s">
        <v>112</v>
      </c>
      <c r="H323" s="15" t="s">
        <v>717</v>
      </c>
    </row>
    <row r="324" customFormat="false" ht="15" hidden="false" customHeight="true" outlineLevel="0" collapsed="false">
      <c r="A324" s="15" t="s">
        <v>173</v>
      </c>
      <c r="B324" s="15" t="s">
        <v>174</v>
      </c>
      <c r="C324" s="15" t="s">
        <v>718</v>
      </c>
      <c r="D324" s="15" t="s">
        <v>113</v>
      </c>
      <c r="E324" s="15"/>
      <c r="F324" s="15" t="s">
        <v>716</v>
      </c>
      <c r="G324" s="15" t="s">
        <v>112</v>
      </c>
      <c r="H324" s="15"/>
    </row>
    <row r="325" customFormat="false" ht="15" hidden="false" customHeight="true" outlineLevel="0" collapsed="false">
      <c r="A325" s="15" t="s">
        <v>173</v>
      </c>
      <c r="B325" s="15" t="s">
        <v>174</v>
      </c>
      <c r="C325" s="15" t="s">
        <v>719</v>
      </c>
      <c r="D325" s="15" t="n">
        <v>20</v>
      </c>
      <c r="E325" s="15" t="s">
        <v>720</v>
      </c>
      <c r="F325" s="15" t="s">
        <v>716</v>
      </c>
      <c r="G325" s="15" t="s">
        <v>112</v>
      </c>
      <c r="H325" s="15"/>
    </row>
    <row r="326" customFormat="false" ht="15" hidden="false" customHeight="true" outlineLevel="0" collapsed="false">
      <c r="A326" s="15" t="s">
        <v>173</v>
      </c>
      <c r="B326" s="15" t="s">
        <v>174</v>
      </c>
      <c r="C326" s="15" t="s">
        <v>86</v>
      </c>
      <c r="D326" s="15" t="n">
        <v>6</v>
      </c>
      <c r="E326" s="15" t="s">
        <v>721</v>
      </c>
      <c r="F326" s="15" t="s">
        <v>716</v>
      </c>
      <c r="G326" s="15" t="s">
        <v>112</v>
      </c>
      <c r="H326" s="15"/>
    </row>
    <row r="327" customFormat="false" ht="15" hidden="false" customHeight="true" outlineLevel="0" collapsed="false">
      <c r="A327" s="15" t="s">
        <v>173</v>
      </c>
      <c r="B327" s="15" t="s">
        <v>174</v>
      </c>
      <c r="C327" s="15" t="s">
        <v>722</v>
      </c>
      <c r="D327" s="15" t="n">
        <v>455</v>
      </c>
      <c r="E327" s="15" t="s">
        <v>723</v>
      </c>
      <c r="F327" s="15" t="s">
        <v>716</v>
      </c>
      <c r="G327" s="15" t="s">
        <v>112</v>
      </c>
      <c r="H327" s="15"/>
    </row>
    <row r="328" customFormat="false" ht="15" hidden="false" customHeight="true" outlineLevel="0" collapsed="false">
      <c r="A328" s="15" t="s">
        <v>173</v>
      </c>
      <c r="B328" s="15" t="s">
        <v>174</v>
      </c>
      <c r="C328" s="15" t="s">
        <v>724</v>
      </c>
      <c r="D328" s="15" t="n">
        <v>45</v>
      </c>
      <c r="E328" s="15" t="s">
        <v>723</v>
      </c>
      <c r="F328" s="15" t="s">
        <v>716</v>
      </c>
      <c r="G328" s="15" t="s">
        <v>112</v>
      </c>
      <c r="H328" s="15"/>
    </row>
    <row r="329" customFormat="false" ht="15" hidden="false" customHeight="true" outlineLevel="0" collapsed="false">
      <c r="A329" s="15" t="s">
        <v>173</v>
      </c>
      <c r="B329" s="15" t="s">
        <v>174</v>
      </c>
      <c r="C329" s="15" t="s">
        <v>84</v>
      </c>
      <c r="D329" s="15" t="n">
        <v>207</v>
      </c>
      <c r="E329" s="15" t="s">
        <v>725</v>
      </c>
      <c r="F329" s="15" t="s">
        <v>716</v>
      </c>
      <c r="G329" s="15" t="s">
        <v>112</v>
      </c>
      <c r="H329" s="15"/>
    </row>
    <row r="330" customFormat="false" ht="15" hidden="false" customHeight="true" outlineLevel="0" collapsed="false">
      <c r="A330" s="15" t="s">
        <v>173</v>
      </c>
      <c r="B330" s="15" t="s">
        <v>174</v>
      </c>
      <c r="C330" s="15" t="s">
        <v>726</v>
      </c>
      <c r="D330" s="15" t="n">
        <v>4371</v>
      </c>
      <c r="E330" s="15" t="s">
        <v>725</v>
      </c>
      <c r="F330" s="15" t="s">
        <v>716</v>
      </c>
      <c r="G330" s="15" t="s">
        <v>112</v>
      </c>
      <c r="H330" s="15"/>
    </row>
    <row r="331" customFormat="false" ht="15" hidden="false" customHeight="true" outlineLevel="0" collapsed="false">
      <c r="A331" s="15" t="s">
        <v>173</v>
      </c>
      <c r="B331" s="15" t="s">
        <v>174</v>
      </c>
      <c r="C331" s="15" t="s">
        <v>727</v>
      </c>
      <c r="D331" s="15" t="n">
        <v>1907</v>
      </c>
      <c r="E331" s="15" t="s">
        <v>725</v>
      </c>
      <c r="F331" s="15" t="s">
        <v>716</v>
      </c>
      <c r="G331" s="15" t="s">
        <v>112</v>
      </c>
      <c r="H331" s="15"/>
    </row>
    <row r="332" customFormat="false" ht="15" hidden="false" customHeight="true" outlineLevel="0" collapsed="false">
      <c r="A332" s="15" t="s">
        <v>173</v>
      </c>
      <c r="B332" s="15" t="s">
        <v>174</v>
      </c>
      <c r="C332" s="15" t="s">
        <v>728</v>
      </c>
      <c r="D332" s="15" t="n">
        <v>1627</v>
      </c>
      <c r="E332" s="15" t="s">
        <v>725</v>
      </c>
      <c r="F332" s="15" t="s">
        <v>716</v>
      </c>
      <c r="G332" s="15" t="s">
        <v>112</v>
      </c>
      <c r="H332" s="15"/>
    </row>
    <row r="333" customFormat="false" ht="15" hidden="false" customHeight="true" outlineLevel="0" collapsed="false">
      <c r="A333" s="15" t="s">
        <v>173</v>
      </c>
      <c r="B333" s="15" t="s">
        <v>174</v>
      </c>
      <c r="C333" s="15" t="s">
        <v>729</v>
      </c>
      <c r="D333" s="15" t="n">
        <v>2775</v>
      </c>
      <c r="E333" s="15" t="s">
        <v>725</v>
      </c>
      <c r="F333" s="15" t="s">
        <v>716</v>
      </c>
      <c r="G333" s="15" t="s">
        <v>112</v>
      </c>
      <c r="H333" s="15"/>
    </row>
    <row r="334" customFormat="false" ht="15" hidden="false" customHeight="true" outlineLevel="0" collapsed="false">
      <c r="A334" s="15" t="s">
        <v>173</v>
      </c>
      <c r="B334" s="15" t="s">
        <v>174</v>
      </c>
      <c r="C334" s="15" t="s">
        <v>730</v>
      </c>
      <c r="D334" s="15" t="n">
        <v>10</v>
      </c>
      <c r="E334" s="15" t="s">
        <v>731</v>
      </c>
      <c r="F334" s="15" t="s">
        <v>716</v>
      </c>
      <c r="G334" s="15" t="s">
        <v>112</v>
      </c>
      <c r="H334" s="15"/>
    </row>
    <row r="335" customFormat="false" ht="26.25" hidden="false" customHeight="true" outlineLevel="0" collapsed="false">
      <c r="A335" s="15" t="s">
        <v>173</v>
      </c>
      <c r="B335" s="15" t="s">
        <v>174</v>
      </c>
      <c r="C335" s="15" t="s">
        <v>98</v>
      </c>
      <c r="D335" s="15" t="s">
        <v>732</v>
      </c>
      <c r="E335" s="15"/>
      <c r="F335" s="15" t="s">
        <v>716</v>
      </c>
      <c r="G335" s="15" t="s">
        <v>112</v>
      </c>
      <c r="H335" s="15"/>
    </row>
    <row r="336" customFormat="false" ht="26.25" hidden="false" customHeight="true" outlineLevel="0" collapsed="false">
      <c r="A336" s="15" t="s">
        <v>173</v>
      </c>
      <c r="B336" s="15" t="s">
        <v>174</v>
      </c>
      <c r="C336" s="15" t="s">
        <v>733</v>
      </c>
      <c r="D336" s="15" t="s">
        <v>805</v>
      </c>
      <c r="E336" s="15"/>
      <c r="F336" s="15" t="s">
        <v>735</v>
      </c>
      <c r="G336" s="15" t="s">
        <v>112</v>
      </c>
      <c r="H336" s="15" t="s">
        <v>736</v>
      </c>
    </row>
    <row r="337" customFormat="false" ht="15" hidden="false" customHeight="true" outlineLevel="0" collapsed="false">
      <c r="A337" s="15" t="s">
        <v>173</v>
      </c>
      <c r="B337" s="15" t="s">
        <v>174</v>
      </c>
      <c r="C337" s="15" t="s">
        <v>737</v>
      </c>
      <c r="D337" s="15" t="n">
        <v>180</v>
      </c>
      <c r="E337" s="15" t="s">
        <v>738</v>
      </c>
      <c r="F337" s="15" t="s">
        <v>716</v>
      </c>
      <c r="G337" s="15" t="s">
        <v>112</v>
      </c>
      <c r="H337" s="15"/>
    </row>
    <row r="338" customFormat="false" ht="15" hidden="false" customHeight="true" outlineLevel="0" collapsed="false">
      <c r="A338" s="15" t="s">
        <v>173</v>
      </c>
      <c r="B338" s="15" t="s">
        <v>174</v>
      </c>
      <c r="C338" s="15" t="s">
        <v>739</v>
      </c>
      <c r="D338" s="15" t="n">
        <v>160</v>
      </c>
      <c r="E338" s="15" t="s">
        <v>738</v>
      </c>
      <c r="F338" s="15" t="s">
        <v>716</v>
      </c>
      <c r="G338" s="15" t="s">
        <v>112</v>
      </c>
      <c r="H338" s="15"/>
    </row>
    <row r="339" customFormat="false" ht="26.25" hidden="false" customHeight="true" outlineLevel="0" collapsed="false">
      <c r="A339" s="15" t="s">
        <v>173</v>
      </c>
      <c r="B339" s="15" t="s">
        <v>174</v>
      </c>
      <c r="C339" s="15" t="s">
        <v>740</v>
      </c>
      <c r="D339" s="15" t="n">
        <v>7</v>
      </c>
      <c r="E339" s="15" t="s">
        <v>741</v>
      </c>
      <c r="F339" s="15" t="s">
        <v>716</v>
      </c>
      <c r="G339" s="15" t="s">
        <v>112</v>
      </c>
      <c r="H339" s="15"/>
    </row>
    <row r="340" customFormat="false" ht="15" hidden="false" customHeight="true" outlineLevel="0" collapsed="false">
      <c r="A340" s="15" t="s">
        <v>173</v>
      </c>
      <c r="B340" s="15" t="s">
        <v>174</v>
      </c>
      <c r="C340" s="15" t="s">
        <v>742</v>
      </c>
      <c r="D340" s="15" t="n">
        <v>10.2</v>
      </c>
      <c r="E340" s="15" t="s">
        <v>741</v>
      </c>
      <c r="F340" s="15" t="s">
        <v>716</v>
      </c>
      <c r="G340" s="15" t="s">
        <v>112</v>
      </c>
      <c r="H340" s="15"/>
    </row>
    <row r="341" customFormat="false" ht="15" hidden="false" customHeight="true" outlineLevel="0" collapsed="false">
      <c r="A341" s="15" t="s">
        <v>173</v>
      </c>
      <c r="B341" s="15" t="s">
        <v>174</v>
      </c>
      <c r="C341" s="15" t="s">
        <v>743</v>
      </c>
      <c r="D341" s="15" t="s">
        <v>793</v>
      </c>
      <c r="E341" s="15"/>
      <c r="F341" s="15" t="s">
        <v>716</v>
      </c>
      <c r="G341" s="15" t="s">
        <v>112</v>
      </c>
      <c r="H341" s="15"/>
    </row>
    <row r="342" customFormat="false" ht="15" hidden="false" customHeight="true" outlineLevel="0" collapsed="false">
      <c r="A342" s="15" t="s">
        <v>173</v>
      </c>
      <c r="B342" s="15" t="s">
        <v>174</v>
      </c>
      <c r="C342" s="15" t="s">
        <v>745</v>
      </c>
      <c r="D342" s="15" t="s">
        <v>794</v>
      </c>
      <c r="E342" s="15"/>
      <c r="F342" s="15" t="s">
        <v>716</v>
      </c>
      <c r="G342" s="15" t="s">
        <v>112</v>
      </c>
      <c r="H342" s="15"/>
    </row>
    <row r="343" customFormat="false" ht="15" hidden="false" customHeight="true" outlineLevel="0" collapsed="false">
      <c r="A343" s="15" t="s">
        <v>173</v>
      </c>
      <c r="B343" s="15" t="s">
        <v>174</v>
      </c>
      <c r="C343" s="15" t="s">
        <v>747</v>
      </c>
      <c r="D343" s="15" t="s">
        <v>801</v>
      </c>
      <c r="E343" s="15"/>
      <c r="F343" s="15" t="s">
        <v>716</v>
      </c>
      <c r="G343" s="15" t="s">
        <v>112</v>
      </c>
      <c r="H343" s="15"/>
    </row>
    <row r="344" customFormat="false" ht="15" hidden="false" customHeight="true" outlineLevel="0" collapsed="false">
      <c r="A344" s="15" t="s">
        <v>173</v>
      </c>
      <c r="B344" s="15" t="s">
        <v>174</v>
      </c>
      <c r="C344" s="15" t="s">
        <v>749</v>
      </c>
      <c r="D344" s="15" t="s">
        <v>750</v>
      </c>
      <c r="E344" s="15"/>
      <c r="F344" s="15" t="s">
        <v>716</v>
      </c>
      <c r="G344" s="15" t="s">
        <v>112</v>
      </c>
      <c r="H344" s="15" t="s">
        <v>751</v>
      </c>
    </row>
    <row r="345" customFormat="false" ht="15" hidden="false" customHeight="true" outlineLevel="0" collapsed="false">
      <c r="A345" s="15" t="s">
        <v>173</v>
      </c>
      <c r="B345" s="15" t="s">
        <v>174</v>
      </c>
      <c r="C345" s="15" t="s">
        <v>752</v>
      </c>
      <c r="D345" s="15" t="s">
        <v>796</v>
      </c>
      <c r="E345" s="15"/>
      <c r="F345" s="15" t="s">
        <v>716</v>
      </c>
      <c r="G345" s="15" t="s">
        <v>112</v>
      </c>
      <c r="H345" s="15"/>
    </row>
    <row r="346" customFormat="false" ht="15" hidden="false" customHeight="true" outlineLevel="0" collapsed="false">
      <c r="A346" s="15" t="s">
        <v>173</v>
      </c>
      <c r="B346" s="15" t="s">
        <v>174</v>
      </c>
      <c r="C346" s="15" t="s">
        <v>90</v>
      </c>
      <c r="D346" s="15" t="s">
        <v>802</v>
      </c>
      <c r="E346" s="15"/>
      <c r="F346" s="15" t="s">
        <v>716</v>
      </c>
      <c r="G346" s="15" t="s">
        <v>112</v>
      </c>
      <c r="H346" s="15"/>
    </row>
    <row r="347" customFormat="false" ht="15" hidden="false" customHeight="true" outlineLevel="0" collapsed="false">
      <c r="A347" s="15" t="s">
        <v>173</v>
      </c>
      <c r="B347" s="15" t="s">
        <v>174</v>
      </c>
      <c r="C347" s="15" t="s">
        <v>754</v>
      </c>
      <c r="D347" s="15" t="s">
        <v>803</v>
      </c>
      <c r="E347" s="15"/>
      <c r="F347" s="15" t="s">
        <v>716</v>
      </c>
      <c r="G347" s="15" t="s">
        <v>112</v>
      </c>
      <c r="H347" s="15"/>
    </row>
    <row r="348" customFormat="false" ht="15" hidden="false" customHeight="true" outlineLevel="0" collapsed="false">
      <c r="A348" s="15" t="s">
        <v>173</v>
      </c>
      <c r="B348" s="15" t="s">
        <v>174</v>
      </c>
      <c r="C348" s="15" t="s">
        <v>756</v>
      </c>
      <c r="D348" s="15" t="s">
        <v>804</v>
      </c>
      <c r="E348" s="15"/>
      <c r="F348" s="15" t="s">
        <v>716</v>
      </c>
      <c r="G348" s="15" t="s">
        <v>112</v>
      </c>
      <c r="H348" s="15"/>
    </row>
    <row r="349" customFormat="false" ht="15" hidden="false" customHeight="true" outlineLevel="0" collapsed="false">
      <c r="A349" s="15" t="s">
        <v>173</v>
      </c>
      <c r="B349" s="15" t="s">
        <v>174</v>
      </c>
      <c r="C349" s="15" t="s">
        <v>757</v>
      </c>
      <c r="D349" s="15" t="s">
        <v>797</v>
      </c>
      <c r="E349" s="15"/>
      <c r="F349" s="15" t="s">
        <v>716</v>
      </c>
      <c r="G349" s="15" t="s">
        <v>112</v>
      </c>
      <c r="H349" s="15"/>
    </row>
    <row r="350" customFormat="false" ht="15" hidden="false" customHeight="true" outlineLevel="0" collapsed="false">
      <c r="A350" s="15" t="s">
        <v>173</v>
      </c>
      <c r="B350" s="15" t="s">
        <v>174</v>
      </c>
      <c r="C350" s="15" t="s">
        <v>759</v>
      </c>
      <c r="D350" s="15" t="s">
        <v>798</v>
      </c>
      <c r="E350" s="15"/>
      <c r="F350" s="15" t="s">
        <v>716</v>
      </c>
      <c r="G350" s="15" t="s">
        <v>112</v>
      </c>
      <c r="H350" s="15"/>
    </row>
    <row r="351" customFormat="false" ht="15" hidden="false" customHeight="true" outlineLevel="0" collapsed="false">
      <c r="A351" s="15" t="s">
        <v>173</v>
      </c>
      <c r="B351" s="15" t="s">
        <v>174</v>
      </c>
      <c r="C351" s="15" t="s">
        <v>761</v>
      </c>
      <c r="D351" s="15" t="s">
        <v>755</v>
      </c>
      <c r="E351" s="15"/>
      <c r="F351" s="15" t="s">
        <v>716</v>
      </c>
      <c r="G351" s="15" t="s">
        <v>112</v>
      </c>
      <c r="H351" s="15"/>
    </row>
    <row r="352" customFormat="false" ht="15" hidden="false" customHeight="true" outlineLevel="0" collapsed="false">
      <c r="A352" s="15" t="s">
        <v>173</v>
      </c>
      <c r="B352" s="15" t="s">
        <v>174</v>
      </c>
      <c r="C352" s="15" t="s">
        <v>762</v>
      </c>
      <c r="D352" s="15" t="s">
        <v>755</v>
      </c>
      <c r="E352" s="15"/>
      <c r="F352" s="15" t="s">
        <v>716</v>
      </c>
      <c r="G352" s="15" t="s">
        <v>112</v>
      </c>
      <c r="H352" s="15"/>
    </row>
    <row r="353" customFormat="false" ht="15" hidden="false" customHeight="true" outlineLevel="0" collapsed="false">
      <c r="A353" s="15" t="s">
        <v>173</v>
      </c>
      <c r="B353" s="15" t="s">
        <v>174</v>
      </c>
      <c r="C353" s="15" t="s">
        <v>92</v>
      </c>
      <c r="D353" s="15" t="s">
        <v>755</v>
      </c>
      <c r="E353" s="15"/>
      <c r="F353" s="15" t="s">
        <v>716</v>
      </c>
      <c r="G353" s="15" t="s">
        <v>112</v>
      </c>
      <c r="H353" s="15"/>
    </row>
    <row r="354" customFormat="false" ht="15" hidden="false" customHeight="true" outlineLevel="0" collapsed="false">
      <c r="A354" s="15" t="s">
        <v>173</v>
      </c>
      <c r="B354" s="15" t="s">
        <v>174</v>
      </c>
      <c r="C354" s="15" t="s">
        <v>763</v>
      </c>
      <c r="D354" s="15" t="s">
        <v>755</v>
      </c>
      <c r="E354" s="15"/>
      <c r="F354" s="15" t="s">
        <v>716</v>
      </c>
      <c r="G354" s="15" t="s">
        <v>112</v>
      </c>
      <c r="H354" s="15"/>
    </row>
    <row r="355" customFormat="false" ht="15" hidden="false" customHeight="true" outlineLevel="0" collapsed="false">
      <c r="A355" s="15" t="s">
        <v>173</v>
      </c>
      <c r="B355" s="15" t="s">
        <v>174</v>
      </c>
      <c r="C355" s="15" t="s">
        <v>764</v>
      </c>
      <c r="D355" s="15" t="s">
        <v>755</v>
      </c>
      <c r="E355" s="15"/>
      <c r="F355" s="15" t="s">
        <v>716</v>
      </c>
      <c r="G355" s="15" t="s">
        <v>112</v>
      </c>
      <c r="H355" s="15"/>
    </row>
    <row r="356" customFormat="false" ht="15" hidden="false" customHeight="true" outlineLevel="0" collapsed="false">
      <c r="A356" s="15" t="s">
        <v>173</v>
      </c>
      <c r="B356" s="15" t="s">
        <v>174</v>
      </c>
      <c r="C356" s="15" t="s">
        <v>765</v>
      </c>
      <c r="D356" s="15" t="s">
        <v>799</v>
      </c>
      <c r="E356" s="15"/>
      <c r="F356" s="15" t="s">
        <v>716</v>
      </c>
      <c r="G356" s="15" t="s">
        <v>112</v>
      </c>
      <c r="H356" s="15"/>
    </row>
    <row r="357" customFormat="false" ht="15" hidden="false" customHeight="true" outlineLevel="0" collapsed="false">
      <c r="A357" s="15" t="s">
        <v>173</v>
      </c>
      <c r="B357" s="15" t="s">
        <v>174</v>
      </c>
      <c r="C357" s="15" t="s">
        <v>767</v>
      </c>
      <c r="D357" s="15" t="s">
        <v>768</v>
      </c>
      <c r="E357" s="15"/>
      <c r="F357" s="15" t="s">
        <v>716</v>
      </c>
      <c r="G357" s="15" t="s">
        <v>112</v>
      </c>
      <c r="H357" s="15"/>
    </row>
    <row r="358" customFormat="false" ht="26.25" hidden="false" customHeight="true" outlineLevel="0" collapsed="false">
      <c r="A358" s="15" t="s">
        <v>173</v>
      </c>
      <c r="B358" s="15" t="s">
        <v>174</v>
      </c>
      <c r="C358" s="15" t="s">
        <v>769</v>
      </c>
      <c r="D358" s="15" t="n">
        <v>5</v>
      </c>
      <c r="E358" s="15" t="s">
        <v>721</v>
      </c>
      <c r="F358" s="15" t="s">
        <v>770</v>
      </c>
      <c r="G358" s="15" t="s">
        <v>293</v>
      </c>
      <c r="H358" s="15" t="s">
        <v>771</v>
      </c>
    </row>
    <row r="359" customFormat="false" ht="26.25" hidden="false" customHeight="true" outlineLevel="0" collapsed="false">
      <c r="A359" s="15" t="s">
        <v>173</v>
      </c>
      <c r="B359" s="15" t="s">
        <v>174</v>
      </c>
      <c r="C359" s="15" t="s">
        <v>772</v>
      </c>
      <c r="D359" s="15" t="n">
        <v>50000</v>
      </c>
      <c r="E359" s="15" t="s">
        <v>773</v>
      </c>
      <c r="F359" s="15" t="s">
        <v>770</v>
      </c>
      <c r="G359" s="15" t="s">
        <v>293</v>
      </c>
      <c r="H359" s="15" t="s">
        <v>774</v>
      </c>
    </row>
    <row r="360" customFormat="false" ht="26.25" hidden="false" customHeight="true" outlineLevel="0" collapsed="false">
      <c r="A360" s="15" t="s">
        <v>173</v>
      </c>
      <c r="B360" s="15" t="s">
        <v>174</v>
      </c>
      <c r="C360" s="15" t="s">
        <v>775</v>
      </c>
      <c r="D360" s="15" t="n">
        <v>75000</v>
      </c>
      <c r="E360" s="15" t="s">
        <v>773</v>
      </c>
      <c r="F360" s="15" t="s">
        <v>770</v>
      </c>
      <c r="G360" s="15" t="s">
        <v>293</v>
      </c>
      <c r="H360" s="15" t="s">
        <v>774</v>
      </c>
    </row>
    <row r="361" customFormat="false" ht="39" hidden="false" customHeight="true" outlineLevel="0" collapsed="false">
      <c r="A361" s="15" t="s">
        <v>173</v>
      </c>
      <c r="B361" s="15" t="s">
        <v>174</v>
      </c>
      <c r="C361" s="15" t="s">
        <v>776</v>
      </c>
      <c r="D361" s="15" t="s">
        <v>800</v>
      </c>
      <c r="E361" s="15"/>
      <c r="F361" s="15" t="s">
        <v>778</v>
      </c>
      <c r="G361" s="15" t="s">
        <v>293</v>
      </c>
      <c r="H361" s="15" t="s">
        <v>779</v>
      </c>
    </row>
    <row r="362" customFormat="false" ht="39" hidden="false" customHeight="true" outlineLevel="0" collapsed="false">
      <c r="A362" s="15" t="s">
        <v>173</v>
      </c>
      <c r="B362" s="15" t="s">
        <v>174</v>
      </c>
      <c r="C362" s="15" t="s">
        <v>780</v>
      </c>
      <c r="D362" s="15" t="s">
        <v>781</v>
      </c>
      <c r="E362" s="15"/>
      <c r="F362" s="15" t="s">
        <v>778</v>
      </c>
      <c r="G362" s="15" t="s">
        <v>293</v>
      </c>
      <c r="H362" s="15" t="s">
        <v>779</v>
      </c>
    </row>
    <row r="363" customFormat="false" ht="39" hidden="false" customHeight="true" outlineLevel="0" collapsed="false">
      <c r="A363" s="15" t="s">
        <v>173</v>
      </c>
      <c r="B363" s="15" t="s">
        <v>174</v>
      </c>
      <c r="C363" s="15" t="s">
        <v>782</v>
      </c>
      <c r="D363" s="15" t="n">
        <v>36</v>
      </c>
      <c r="E363" s="15" t="s">
        <v>783</v>
      </c>
      <c r="F363" s="15" t="s">
        <v>778</v>
      </c>
      <c r="G363" s="15" t="s">
        <v>293</v>
      </c>
      <c r="H363" s="15" t="s">
        <v>779</v>
      </c>
    </row>
    <row r="364" customFormat="false" ht="39" hidden="false" customHeight="true" outlineLevel="0" collapsed="false">
      <c r="A364" s="15" t="s">
        <v>173</v>
      </c>
      <c r="B364" s="15" t="s">
        <v>174</v>
      </c>
      <c r="C364" s="15" t="s">
        <v>784</v>
      </c>
      <c r="D364" s="15" t="n">
        <v>11</v>
      </c>
      <c r="E364" s="15" t="s">
        <v>738</v>
      </c>
      <c r="F364" s="15" t="s">
        <v>778</v>
      </c>
      <c r="G364" s="15" t="s">
        <v>293</v>
      </c>
      <c r="H364" s="15" t="s">
        <v>779</v>
      </c>
    </row>
    <row r="365" customFormat="false" ht="39" hidden="false" customHeight="true" outlineLevel="0" collapsed="false">
      <c r="A365" s="15" t="s">
        <v>173</v>
      </c>
      <c r="B365" s="15" t="s">
        <v>174</v>
      </c>
      <c r="C365" s="15" t="s">
        <v>787</v>
      </c>
      <c r="D365" s="15" t="s">
        <v>788</v>
      </c>
      <c r="E365" s="15"/>
      <c r="F365" s="15" t="s">
        <v>778</v>
      </c>
      <c r="G365" s="15" t="s">
        <v>293</v>
      </c>
      <c r="H365" s="15" t="s">
        <v>779</v>
      </c>
    </row>
    <row r="366" customFormat="false" ht="39" hidden="false" customHeight="true" outlineLevel="0" collapsed="false">
      <c r="A366" s="15" t="s">
        <v>173</v>
      </c>
      <c r="B366" s="15" t="s">
        <v>174</v>
      </c>
      <c r="C366" s="15" t="s">
        <v>789</v>
      </c>
      <c r="D366" s="15" t="s">
        <v>790</v>
      </c>
      <c r="E366" s="15"/>
      <c r="F366" s="15" t="s">
        <v>778</v>
      </c>
      <c r="G366" s="15" t="s">
        <v>293</v>
      </c>
      <c r="H366" s="15" t="s">
        <v>779</v>
      </c>
    </row>
    <row r="367" customFormat="false" ht="39" hidden="false" customHeight="true" outlineLevel="0" collapsed="false">
      <c r="A367" s="15" t="s">
        <v>173</v>
      </c>
      <c r="B367" s="15" t="s">
        <v>174</v>
      </c>
      <c r="C367" s="15" t="s">
        <v>791</v>
      </c>
      <c r="D367" s="15" t="s">
        <v>792</v>
      </c>
      <c r="E367" s="15"/>
      <c r="F367" s="15" t="s">
        <v>778</v>
      </c>
      <c r="G367" s="15" t="s">
        <v>293</v>
      </c>
      <c r="H367" s="15" t="s">
        <v>779</v>
      </c>
    </row>
    <row r="368" customFormat="false" ht="26.25" hidden="false" customHeight="true" outlineLevel="0" collapsed="false">
      <c r="A368" s="15" t="s">
        <v>139</v>
      </c>
      <c r="B368" s="15" t="s">
        <v>140</v>
      </c>
      <c r="C368" s="15" t="s">
        <v>714</v>
      </c>
      <c r="D368" s="15" t="n">
        <v>360</v>
      </c>
      <c r="E368" s="15" t="s">
        <v>715</v>
      </c>
      <c r="F368" s="15" t="s">
        <v>716</v>
      </c>
      <c r="G368" s="15" t="s">
        <v>112</v>
      </c>
      <c r="H368" s="15" t="s">
        <v>717</v>
      </c>
    </row>
    <row r="369" customFormat="false" ht="15" hidden="false" customHeight="true" outlineLevel="0" collapsed="false">
      <c r="A369" s="15" t="s">
        <v>139</v>
      </c>
      <c r="B369" s="15" t="s">
        <v>140</v>
      </c>
      <c r="C369" s="15" t="s">
        <v>718</v>
      </c>
      <c r="D369" s="15" t="s">
        <v>113</v>
      </c>
      <c r="E369" s="15"/>
      <c r="F369" s="15" t="s">
        <v>716</v>
      </c>
      <c r="G369" s="15" t="s">
        <v>112</v>
      </c>
      <c r="H369" s="15"/>
    </row>
    <row r="370" customFormat="false" ht="15" hidden="false" customHeight="true" outlineLevel="0" collapsed="false">
      <c r="A370" s="15" t="s">
        <v>139</v>
      </c>
      <c r="B370" s="15" t="s">
        <v>140</v>
      </c>
      <c r="C370" s="15" t="s">
        <v>719</v>
      </c>
      <c r="D370" s="15" t="n">
        <v>20</v>
      </c>
      <c r="E370" s="15" t="s">
        <v>720</v>
      </c>
      <c r="F370" s="15" t="s">
        <v>716</v>
      </c>
      <c r="G370" s="15" t="s">
        <v>112</v>
      </c>
      <c r="H370" s="15"/>
    </row>
    <row r="371" customFormat="false" ht="15" hidden="false" customHeight="true" outlineLevel="0" collapsed="false">
      <c r="A371" s="15" t="s">
        <v>139</v>
      </c>
      <c r="B371" s="15" t="s">
        <v>140</v>
      </c>
      <c r="C371" s="15" t="s">
        <v>86</v>
      </c>
      <c r="D371" s="15" t="n">
        <v>6</v>
      </c>
      <c r="E371" s="15" t="s">
        <v>721</v>
      </c>
      <c r="F371" s="15" t="s">
        <v>716</v>
      </c>
      <c r="G371" s="15" t="s">
        <v>112</v>
      </c>
      <c r="H371" s="15"/>
    </row>
    <row r="372" customFormat="false" ht="15" hidden="false" customHeight="true" outlineLevel="0" collapsed="false">
      <c r="A372" s="15" t="s">
        <v>139</v>
      </c>
      <c r="B372" s="15" t="s">
        <v>140</v>
      </c>
      <c r="C372" s="15" t="s">
        <v>722</v>
      </c>
      <c r="D372" s="15" t="n">
        <v>455</v>
      </c>
      <c r="E372" s="15" t="s">
        <v>723</v>
      </c>
      <c r="F372" s="15" t="s">
        <v>716</v>
      </c>
      <c r="G372" s="15" t="s">
        <v>112</v>
      </c>
      <c r="H372" s="15"/>
    </row>
    <row r="373" customFormat="false" ht="15" hidden="false" customHeight="true" outlineLevel="0" collapsed="false">
      <c r="A373" s="15" t="s">
        <v>139</v>
      </c>
      <c r="B373" s="15" t="s">
        <v>140</v>
      </c>
      <c r="C373" s="15" t="s">
        <v>724</v>
      </c>
      <c r="D373" s="15" t="n">
        <v>45</v>
      </c>
      <c r="E373" s="15" t="s">
        <v>723</v>
      </c>
      <c r="F373" s="15" t="s">
        <v>716</v>
      </c>
      <c r="G373" s="15" t="s">
        <v>112</v>
      </c>
      <c r="H373" s="15"/>
    </row>
    <row r="374" customFormat="false" ht="15" hidden="false" customHeight="true" outlineLevel="0" collapsed="false">
      <c r="A374" s="15" t="s">
        <v>139</v>
      </c>
      <c r="B374" s="15" t="s">
        <v>140</v>
      </c>
      <c r="C374" s="15" t="s">
        <v>84</v>
      </c>
      <c r="D374" s="15" t="n">
        <v>207</v>
      </c>
      <c r="E374" s="15" t="s">
        <v>725</v>
      </c>
      <c r="F374" s="15" t="s">
        <v>716</v>
      </c>
      <c r="G374" s="15" t="s">
        <v>112</v>
      </c>
      <c r="H374" s="15"/>
    </row>
    <row r="375" customFormat="false" ht="15" hidden="false" customHeight="true" outlineLevel="0" collapsed="false">
      <c r="A375" s="15" t="s">
        <v>139</v>
      </c>
      <c r="B375" s="15" t="s">
        <v>140</v>
      </c>
      <c r="C375" s="15" t="s">
        <v>726</v>
      </c>
      <c r="D375" s="15" t="n">
        <v>4371</v>
      </c>
      <c r="E375" s="15" t="s">
        <v>725</v>
      </c>
      <c r="F375" s="15" t="s">
        <v>716</v>
      </c>
      <c r="G375" s="15" t="s">
        <v>112</v>
      </c>
      <c r="H375" s="15"/>
    </row>
    <row r="376" customFormat="false" ht="15" hidden="false" customHeight="true" outlineLevel="0" collapsed="false">
      <c r="A376" s="15" t="s">
        <v>139</v>
      </c>
      <c r="B376" s="15" t="s">
        <v>140</v>
      </c>
      <c r="C376" s="15" t="s">
        <v>727</v>
      </c>
      <c r="D376" s="15" t="n">
        <v>1907</v>
      </c>
      <c r="E376" s="15" t="s">
        <v>725</v>
      </c>
      <c r="F376" s="15" t="s">
        <v>716</v>
      </c>
      <c r="G376" s="15" t="s">
        <v>112</v>
      </c>
      <c r="H376" s="15"/>
    </row>
    <row r="377" customFormat="false" ht="15" hidden="false" customHeight="true" outlineLevel="0" collapsed="false">
      <c r="A377" s="15" t="s">
        <v>139</v>
      </c>
      <c r="B377" s="15" t="s">
        <v>140</v>
      </c>
      <c r="C377" s="15" t="s">
        <v>728</v>
      </c>
      <c r="D377" s="15" t="n">
        <v>1627</v>
      </c>
      <c r="E377" s="15" t="s">
        <v>725</v>
      </c>
      <c r="F377" s="15" t="s">
        <v>716</v>
      </c>
      <c r="G377" s="15" t="s">
        <v>112</v>
      </c>
      <c r="H377" s="15"/>
    </row>
    <row r="378" customFormat="false" ht="15" hidden="false" customHeight="true" outlineLevel="0" collapsed="false">
      <c r="A378" s="15" t="s">
        <v>139</v>
      </c>
      <c r="B378" s="15" t="s">
        <v>140</v>
      </c>
      <c r="C378" s="15" t="s">
        <v>729</v>
      </c>
      <c r="D378" s="15" t="n">
        <v>2775</v>
      </c>
      <c r="E378" s="15" t="s">
        <v>725</v>
      </c>
      <c r="F378" s="15" t="s">
        <v>716</v>
      </c>
      <c r="G378" s="15" t="s">
        <v>112</v>
      </c>
      <c r="H378" s="15"/>
    </row>
    <row r="379" customFormat="false" ht="15" hidden="false" customHeight="true" outlineLevel="0" collapsed="false">
      <c r="A379" s="15" t="s">
        <v>139</v>
      </c>
      <c r="B379" s="15" t="s">
        <v>140</v>
      </c>
      <c r="C379" s="15" t="s">
        <v>730</v>
      </c>
      <c r="D379" s="15" t="n">
        <v>10</v>
      </c>
      <c r="E379" s="15" t="s">
        <v>731</v>
      </c>
      <c r="F379" s="15" t="s">
        <v>716</v>
      </c>
      <c r="G379" s="15" t="s">
        <v>112</v>
      </c>
      <c r="H379" s="15"/>
    </row>
    <row r="380" customFormat="false" ht="26.25" hidden="false" customHeight="true" outlineLevel="0" collapsed="false">
      <c r="A380" s="15" t="s">
        <v>139</v>
      </c>
      <c r="B380" s="15" t="s">
        <v>140</v>
      </c>
      <c r="C380" s="15" t="s">
        <v>98</v>
      </c>
      <c r="D380" s="15" t="s">
        <v>732</v>
      </c>
      <c r="E380" s="15"/>
      <c r="F380" s="15" t="s">
        <v>716</v>
      </c>
      <c r="G380" s="15" t="s">
        <v>112</v>
      </c>
      <c r="H380" s="15"/>
    </row>
    <row r="381" customFormat="false" ht="26.25" hidden="false" customHeight="true" outlineLevel="0" collapsed="false">
      <c r="A381" s="15" t="s">
        <v>139</v>
      </c>
      <c r="B381" s="15" t="s">
        <v>140</v>
      </c>
      <c r="C381" s="15" t="s">
        <v>733</v>
      </c>
      <c r="D381" s="15" t="s">
        <v>805</v>
      </c>
      <c r="E381" s="15"/>
      <c r="F381" s="15" t="s">
        <v>735</v>
      </c>
      <c r="G381" s="15" t="s">
        <v>112</v>
      </c>
      <c r="H381" s="15" t="s">
        <v>736</v>
      </c>
    </row>
    <row r="382" customFormat="false" ht="15" hidden="false" customHeight="true" outlineLevel="0" collapsed="false">
      <c r="A382" s="15" t="s">
        <v>139</v>
      </c>
      <c r="B382" s="15" t="s">
        <v>140</v>
      </c>
      <c r="C382" s="15" t="s">
        <v>737</v>
      </c>
      <c r="D382" s="15" t="n">
        <v>180</v>
      </c>
      <c r="E382" s="15" t="s">
        <v>738</v>
      </c>
      <c r="F382" s="15" t="s">
        <v>716</v>
      </c>
      <c r="G382" s="15" t="s">
        <v>112</v>
      </c>
      <c r="H382" s="15"/>
    </row>
    <row r="383" customFormat="false" ht="15" hidden="false" customHeight="true" outlineLevel="0" collapsed="false">
      <c r="A383" s="15" t="s">
        <v>139</v>
      </c>
      <c r="B383" s="15" t="s">
        <v>140</v>
      </c>
      <c r="C383" s="15" t="s">
        <v>739</v>
      </c>
      <c r="D383" s="15" t="n">
        <v>160</v>
      </c>
      <c r="E383" s="15" t="s">
        <v>738</v>
      </c>
      <c r="F383" s="15" t="s">
        <v>716</v>
      </c>
      <c r="G383" s="15" t="s">
        <v>112</v>
      </c>
      <c r="H383" s="15"/>
    </row>
    <row r="384" customFormat="false" ht="26.25" hidden="false" customHeight="true" outlineLevel="0" collapsed="false">
      <c r="A384" s="15" t="s">
        <v>139</v>
      </c>
      <c r="B384" s="15" t="s">
        <v>140</v>
      </c>
      <c r="C384" s="15" t="s">
        <v>740</v>
      </c>
      <c r="D384" s="15" t="n">
        <v>7</v>
      </c>
      <c r="E384" s="15" t="s">
        <v>741</v>
      </c>
      <c r="F384" s="15" t="s">
        <v>716</v>
      </c>
      <c r="G384" s="15" t="s">
        <v>112</v>
      </c>
      <c r="H384" s="15"/>
    </row>
    <row r="385" customFormat="false" ht="15" hidden="false" customHeight="true" outlineLevel="0" collapsed="false">
      <c r="A385" s="15" t="s">
        <v>139</v>
      </c>
      <c r="B385" s="15" t="s">
        <v>140</v>
      </c>
      <c r="C385" s="15" t="s">
        <v>742</v>
      </c>
      <c r="D385" s="15" t="n">
        <v>10.2</v>
      </c>
      <c r="E385" s="15" t="s">
        <v>741</v>
      </c>
      <c r="F385" s="15" t="s">
        <v>716</v>
      </c>
      <c r="G385" s="15" t="s">
        <v>112</v>
      </c>
      <c r="H385" s="15"/>
    </row>
    <row r="386" customFormat="false" ht="15" hidden="false" customHeight="true" outlineLevel="0" collapsed="false">
      <c r="A386" s="15" t="s">
        <v>139</v>
      </c>
      <c r="B386" s="15" t="s">
        <v>140</v>
      </c>
      <c r="C386" s="15" t="s">
        <v>743</v>
      </c>
      <c r="D386" s="15" t="s">
        <v>793</v>
      </c>
      <c r="E386" s="15"/>
      <c r="F386" s="15" t="s">
        <v>716</v>
      </c>
      <c r="G386" s="15" t="s">
        <v>112</v>
      </c>
      <c r="H386" s="15"/>
    </row>
    <row r="387" customFormat="false" ht="15" hidden="false" customHeight="true" outlineLevel="0" collapsed="false">
      <c r="A387" s="15" t="s">
        <v>139</v>
      </c>
      <c r="B387" s="15" t="s">
        <v>140</v>
      </c>
      <c r="C387" s="15" t="s">
        <v>745</v>
      </c>
      <c r="D387" s="15" t="s">
        <v>794</v>
      </c>
      <c r="E387" s="15"/>
      <c r="F387" s="15" t="s">
        <v>716</v>
      </c>
      <c r="G387" s="15" t="s">
        <v>112</v>
      </c>
      <c r="H387" s="15"/>
    </row>
    <row r="388" customFormat="false" ht="15" hidden="false" customHeight="true" outlineLevel="0" collapsed="false">
      <c r="A388" s="15" t="s">
        <v>139</v>
      </c>
      <c r="B388" s="15" t="s">
        <v>140</v>
      </c>
      <c r="C388" s="15" t="s">
        <v>747</v>
      </c>
      <c r="D388" s="15" t="s">
        <v>801</v>
      </c>
      <c r="E388" s="15"/>
      <c r="F388" s="15" t="s">
        <v>716</v>
      </c>
      <c r="G388" s="15" t="s">
        <v>112</v>
      </c>
      <c r="H388" s="15"/>
    </row>
    <row r="389" customFormat="false" ht="15" hidden="false" customHeight="true" outlineLevel="0" collapsed="false">
      <c r="A389" s="15" t="s">
        <v>139</v>
      </c>
      <c r="B389" s="15" t="s">
        <v>140</v>
      </c>
      <c r="C389" s="15" t="s">
        <v>749</v>
      </c>
      <c r="D389" s="15" t="s">
        <v>806</v>
      </c>
      <c r="E389" s="15"/>
      <c r="F389" s="15" t="s">
        <v>716</v>
      </c>
      <c r="G389" s="15" t="s">
        <v>112</v>
      </c>
      <c r="H389" s="15" t="s">
        <v>751</v>
      </c>
    </row>
    <row r="390" customFormat="false" ht="15" hidden="false" customHeight="true" outlineLevel="0" collapsed="false">
      <c r="A390" s="15" t="s">
        <v>139</v>
      </c>
      <c r="B390" s="15" t="s">
        <v>140</v>
      </c>
      <c r="C390" s="15" t="s">
        <v>752</v>
      </c>
      <c r="D390" s="15" t="s">
        <v>796</v>
      </c>
      <c r="E390" s="15"/>
      <c r="F390" s="15" t="s">
        <v>716</v>
      </c>
      <c r="G390" s="15" t="s">
        <v>112</v>
      </c>
      <c r="H390" s="15"/>
    </row>
    <row r="391" customFormat="false" ht="15" hidden="false" customHeight="true" outlineLevel="0" collapsed="false">
      <c r="A391" s="15" t="s">
        <v>139</v>
      </c>
      <c r="B391" s="15" t="s">
        <v>140</v>
      </c>
      <c r="C391" s="15" t="s">
        <v>90</v>
      </c>
      <c r="D391" s="15" t="s">
        <v>802</v>
      </c>
      <c r="E391" s="15"/>
      <c r="F391" s="15" t="s">
        <v>716</v>
      </c>
      <c r="G391" s="15" t="s">
        <v>112</v>
      </c>
      <c r="H391" s="15"/>
    </row>
    <row r="392" customFormat="false" ht="15" hidden="false" customHeight="true" outlineLevel="0" collapsed="false">
      <c r="A392" s="15" t="s">
        <v>139</v>
      </c>
      <c r="B392" s="15" t="s">
        <v>140</v>
      </c>
      <c r="C392" s="15" t="s">
        <v>754</v>
      </c>
      <c r="D392" s="15" t="s">
        <v>803</v>
      </c>
      <c r="E392" s="15"/>
      <c r="F392" s="15" t="s">
        <v>716</v>
      </c>
      <c r="G392" s="15" t="s">
        <v>112</v>
      </c>
      <c r="H392" s="15"/>
    </row>
    <row r="393" customFormat="false" ht="15" hidden="false" customHeight="true" outlineLevel="0" collapsed="false">
      <c r="A393" s="15" t="s">
        <v>139</v>
      </c>
      <c r="B393" s="15" t="s">
        <v>140</v>
      </c>
      <c r="C393" s="15" t="s">
        <v>756</v>
      </c>
      <c r="D393" s="15" t="s">
        <v>804</v>
      </c>
      <c r="E393" s="15"/>
      <c r="F393" s="15" t="s">
        <v>716</v>
      </c>
      <c r="G393" s="15" t="s">
        <v>112</v>
      </c>
      <c r="H393" s="15"/>
    </row>
    <row r="394" customFormat="false" ht="15" hidden="false" customHeight="true" outlineLevel="0" collapsed="false">
      <c r="A394" s="15" t="s">
        <v>139</v>
      </c>
      <c r="B394" s="15" t="s">
        <v>140</v>
      </c>
      <c r="C394" s="15" t="s">
        <v>757</v>
      </c>
      <c r="D394" s="15" t="s">
        <v>797</v>
      </c>
      <c r="E394" s="15"/>
      <c r="F394" s="15" t="s">
        <v>716</v>
      </c>
      <c r="G394" s="15" t="s">
        <v>112</v>
      </c>
      <c r="H394" s="15"/>
    </row>
    <row r="395" customFormat="false" ht="15" hidden="false" customHeight="true" outlineLevel="0" collapsed="false">
      <c r="A395" s="15" t="s">
        <v>139</v>
      </c>
      <c r="B395" s="15" t="s">
        <v>140</v>
      </c>
      <c r="C395" s="15" t="s">
        <v>759</v>
      </c>
      <c r="D395" s="15" t="s">
        <v>798</v>
      </c>
      <c r="E395" s="15"/>
      <c r="F395" s="15" t="s">
        <v>716</v>
      </c>
      <c r="G395" s="15" t="s">
        <v>112</v>
      </c>
      <c r="H395" s="15"/>
    </row>
    <row r="396" customFormat="false" ht="15" hidden="false" customHeight="true" outlineLevel="0" collapsed="false">
      <c r="A396" s="15" t="s">
        <v>139</v>
      </c>
      <c r="B396" s="15" t="s">
        <v>140</v>
      </c>
      <c r="C396" s="15" t="s">
        <v>761</v>
      </c>
      <c r="D396" s="15" t="s">
        <v>755</v>
      </c>
      <c r="E396" s="15"/>
      <c r="F396" s="15" t="s">
        <v>716</v>
      </c>
      <c r="G396" s="15" t="s">
        <v>112</v>
      </c>
      <c r="H396" s="15"/>
    </row>
    <row r="397" customFormat="false" ht="15" hidden="false" customHeight="true" outlineLevel="0" collapsed="false">
      <c r="A397" s="15" t="s">
        <v>139</v>
      </c>
      <c r="B397" s="15" t="s">
        <v>140</v>
      </c>
      <c r="C397" s="15" t="s">
        <v>762</v>
      </c>
      <c r="D397" s="15" t="s">
        <v>755</v>
      </c>
      <c r="E397" s="15"/>
      <c r="F397" s="15" t="s">
        <v>716</v>
      </c>
      <c r="G397" s="15" t="s">
        <v>112</v>
      </c>
      <c r="H397" s="15"/>
    </row>
    <row r="398" customFormat="false" ht="15" hidden="false" customHeight="true" outlineLevel="0" collapsed="false">
      <c r="A398" s="15" t="s">
        <v>139</v>
      </c>
      <c r="B398" s="15" t="s">
        <v>140</v>
      </c>
      <c r="C398" s="15" t="s">
        <v>92</v>
      </c>
      <c r="D398" s="15" t="s">
        <v>755</v>
      </c>
      <c r="E398" s="15"/>
      <c r="F398" s="15" t="s">
        <v>716</v>
      </c>
      <c r="G398" s="15" t="s">
        <v>112</v>
      </c>
      <c r="H398" s="15"/>
    </row>
    <row r="399" customFormat="false" ht="15" hidden="false" customHeight="true" outlineLevel="0" collapsed="false">
      <c r="A399" s="15" t="s">
        <v>139</v>
      </c>
      <c r="B399" s="15" t="s">
        <v>140</v>
      </c>
      <c r="C399" s="15" t="s">
        <v>763</v>
      </c>
      <c r="D399" s="15" t="s">
        <v>807</v>
      </c>
      <c r="E399" s="15"/>
      <c r="F399" s="15" t="s">
        <v>716</v>
      </c>
      <c r="G399" s="15" t="s">
        <v>112</v>
      </c>
      <c r="H399" s="15"/>
    </row>
    <row r="400" customFormat="false" ht="15" hidden="false" customHeight="true" outlineLevel="0" collapsed="false">
      <c r="A400" s="15" t="s">
        <v>139</v>
      </c>
      <c r="B400" s="15" t="s">
        <v>140</v>
      </c>
      <c r="C400" s="15" t="s">
        <v>764</v>
      </c>
      <c r="D400" s="15" t="s">
        <v>755</v>
      </c>
      <c r="E400" s="15"/>
      <c r="F400" s="15" t="s">
        <v>716</v>
      </c>
      <c r="G400" s="15" t="s">
        <v>112</v>
      </c>
      <c r="H400" s="15"/>
    </row>
    <row r="401" customFormat="false" ht="15" hidden="false" customHeight="true" outlineLevel="0" collapsed="false">
      <c r="A401" s="15" t="s">
        <v>139</v>
      </c>
      <c r="B401" s="15" t="s">
        <v>140</v>
      </c>
      <c r="C401" s="15" t="s">
        <v>765</v>
      </c>
      <c r="D401" s="15" t="s">
        <v>799</v>
      </c>
      <c r="E401" s="15"/>
      <c r="F401" s="15" t="s">
        <v>716</v>
      </c>
      <c r="G401" s="15" t="s">
        <v>112</v>
      </c>
      <c r="H401" s="15"/>
    </row>
    <row r="402" customFormat="false" ht="15" hidden="false" customHeight="true" outlineLevel="0" collapsed="false">
      <c r="A402" s="15" t="s">
        <v>139</v>
      </c>
      <c r="B402" s="15" t="s">
        <v>140</v>
      </c>
      <c r="C402" s="15" t="s">
        <v>767</v>
      </c>
      <c r="D402" s="15" t="s">
        <v>768</v>
      </c>
      <c r="E402" s="15"/>
      <c r="F402" s="15" t="s">
        <v>716</v>
      </c>
      <c r="G402" s="15" t="s">
        <v>112</v>
      </c>
      <c r="H402" s="15"/>
    </row>
    <row r="403" customFormat="false" ht="26.25" hidden="false" customHeight="true" outlineLevel="0" collapsed="false">
      <c r="A403" s="15" t="s">
        <v>139</v>
      </c>
      <c r="B403" s="15" t="s">
        <v>140</v>
      </c>
      <c r="C403" s="15" t="s">
        <v>769</v>
      </c>
      <c r="D403" s="15" t="n">
        <v>5</v>
      </c>
      <c r="E403" s="15" t="s">
        <v>721</v>
      </c>
      <c r="F403" s="15" t="s">
        <v>770</v>
      </c>
      <c r="G403" s="15" t="s">
        <v>293</v>
      </c>
      <c r="H403" s="15" t="s">
        <v>771</v>
      </c>
    </row>
    <row r="404" customFormat="false" ht="26.25" hidden="false" customHeight="true" outlineLevel="0" collapsed="false">
      <c r="A404" s="15" t="s">
        <v>139</v>
      </c>
      <c r="B404" s="15" t="s">
        <v>140</v>
      </c>
      <c r="C404" s="15" t="s">
        <v>772</v>
      </c>
      <c r="D404" s="15" t="n">
        <v>50000</v>
      </c>
      <c r="E404" s="15" t="s">
        <v>773</v>
      </c>
      <c r="F404" s="15" t="s">
        <v>770</v>
      </c>
      <c r="G404" s="15" t="s">
        <v>293</v>
      </c>
      <c r="H404" s="15" t="s">
        <v>774</v>
      </c>
    </row>
    <row r="405" customFormat="false" ht="26.25" hidden="false" customHeight="true" outlineLevel="0" collapsed="false">
      <c r="A405" s="15" t="s">
        <v>139</v>
      </c>
      <c r="B405" s="15" t="s">
        <v>140</v>
      </c>
      <c r="C405" s="15" t="s">
        <v>775</v>
      </c>
      <c r="D405" s="15" t="n">
        <v>75000</v>
      </c>
      <c r="E405" s="15" t="s">
        <v>773</v>
      </c>
      <c r="F405" s="15" t="s">
        <v>770</v>
      </c>
      <c r="G405" s="15" t="s">
        <v>293</v>
      </c>
      <c r="H405" s="15" t="s">
        <v>774</v>
      </c>
    </row>
    <row r="406" customFormat="false" ht="39" hidden="false" customHeight="true" outlineLevel="0" collapsed="false">
      <c r="A406" s="15" t="s">
        <v>139</v>
      </c>
      <c r="B406" s="15" t="s">
        <v>140</v>
      </c>
      <c r="C406" s="15" t="s">
        <v>776</v>
      </c>
      <c r="D406" s="15" t="s">
        <v>800</v>
      </c>
      <c r="E406" s="15"/>
      <c r="F406" s="15" t="s">
        <v>778</v>
      </c>
      <c r="G406" s="15" t="s">
        <v>293</v>
      </c>
      <c r="H406" s="15" t="s">
        <v>779</v>
      </c>
    </row>
    <row r="407" customFormat="false" ht="39" hidden="false" customHeight="true" outlineLevel="0" collapsed="false">
      <c r="A407" s="15" t="s">
        <v>139</v>
      </c>
      <c r="B407" s="15" t="s">
        <v>140</v>
      </c>
      <c r="C407" s="15" t="s">
        <v>780</v>
      </c>
      <c r="D407" s="15" t="s">
        <v>781</v>
      </c>
      <c r="E407" s="15"/>
      <c r="F407" s="15" t="s">
        <v>778</v>
      </c>
      <c r="G407" s="15" t="s">
        <v>293</v>
      </c>
      <c r="H407" s="15" t="s">
        <v>779</v>
      </c>
    </row>
    <row r="408" customFormat="false" ht="39" hidden="false" customHeight="true" outlineLevel="0" collapsed="false">
      <c r="A408" s="15" t="s">
        <v>139</v>
      </c>
      <c r="B408" s="15" t="s">
        <v>140</v>
      </c>
      <c r="C408" s="15" t="s">
        <v>782</v>
      </c>
      <c r="D408" s="15" t="n">
        <v>36</v>
      </c>
      <c r="E408" s="15" t="s">
        <v>783</v>
      </c>
      <c r="F408" s="15" t="s">
        <v>778</v>
      </c>
      <c r="G408" s="15" t="s">
        <v>293</v>
      </c>
      <c r="H408" s="15" t="s">
        <v>779</v>
      </c>
    </row>
    <row r="409" customFormat="false" ht="39" hidden="false" customHeight="true" outlineLevel="0" collapsed="false">
      <c r="A409" s="15" t="s">
        <v>139</v>
      </c>
      <c r="B409" s="15" t="s">
        <v>140</v>
      </c>
      <c r="C409" s="15" t="s">
        <v>784</v>
      </c>
      <c r="D409" s="15" t="n">
        <v>11</v>
      </c>
      <c r="E409" s="15" t="s">
        <v>738</v>
      </c>
      <c r="F409" s="15" t="s">
        <v>778</v>
      </c>
      <c r="G409" s="15" t="s">
        <v>293</v>
      </c>
      <c r="H409" s="15" t="s">
        <v>779</v>
      </c>
    </row>
    <row r="410" customFormat="false" ht="39" hidden="false" customHeight="true" outlineLevel="0" collapsed="false">
      <c r="A410" s="15" t="s">
        <v>139</v>
      </c>
      <c r="B410" s="15" t="s">
        <v>140</v>
      </c>
      <c r="C410" s="15" t="s">
        <v>787</v>
      </c>
      <c r="D410" s="15" t="s">
        <v>788</v>
      </c>
      <c r="E410" s="15"/>
      <c r="F410" s="15" t="s">
        <v>778</v>
      </c>
      <c r="G410" s="15" t="s">
        <v>293</v>
      </c>
      <c r="H410" s="15" t="s">
        <v>779</v>
      </c>
    </row>
    <row r="411" customFormat="false" ht="39" hidden="false" customHeight="true" outlineLevel="0" collapsed="false">
      <c r="A411" s="15" t="s">
        <v>139</v>
      </c>
      <c r="B411" s="15" t="s">
        <v>140</v>
      </c>
      <c r="C411" s="15" t="s">
        <v>789</v>
      </c>
      <c r="D411" s="15" t="s">
        <v>790</v>
      </c>
      <c r="E411" s="15"/>
      <c r="F411" s="15" t="s">
        <v>778</v>
      </c>
      <c r="G411" s="15" t="s">
        <v>293</v>
      </c>
      <c r="H411" s="15" t="s">
        <v>779</v>
      </c>
    </row>
    <row r="412" customFormat="false" ht="39" hidden="false" customHeight="true" outlineLevel="0" collapsed="false">
      <c r="A412" s="15" t="s">
        <v>139</v>
      </c>
      <c r="B412" s="15" t="s">
        <v>140</v>
      </c>
      <c r="C412" s="15" t="s">
        <v>791</v>
      </c>
      <c r="D412" s="15" t="s">
        <v>792</v>
      </c>
      <c r="E412" s="15"/>
      <c r="F412" s="15" t="s">
        <v>778</v>
      </c>
      <c r="G412" s="15" t="s">
        <v>293</v>
      </c>
      <c r="H412" s="15" t="s">
        <v>779</v>
      </c>
    </row>
    <row r="413" customFormat="false" ht="26.25" hidden="false" customHeight="true" outlineLevel="0" collapsed="false">
      <c r="A413" s="15" t="s">
        <v>180</v>
      </c>
      <c r="B413" s="15" t="s">
        <v>181</v>
      </c>
      <c r="C413" s="15" t="s">
        <v>714</v>
      </c>
      <c r="D413" s="15" t="n">
        <v>360</v>
      </c>
      <c r="E413" s="15" t="s">
        <v>715</v>
      </c>
      <c r="F413" s="15" t="s">
        <v>716</v>
      </c>
      <c r="G413" s="15" t="s">
        <v>112</v>
      </c>
      <c r="H413" s="15" t="s">
        <v>717</v>
      </c>
    </row>
    <row r="414" customFormat="false" ht="15" hidden="false" customHeight="true" outlineLevel="0" collapsed="false">
      <c r="A414" s="15" t="s">
        <v>180</v>
      </c>
      <c r="B414" s="15" t="s">
        <v>181</v>
      </c>
      <c r="C414" s="15" t="s">
        <v>718</v>
      </c>
      <c r="D414" s="15" t="s">
        <v>113</v>
      </c>
      <c r="E414" s="15"/>
      <c r="F414" s="15" t="s">
        <v>716</v>
      </c>
      <c r="G414" s="15" t="s">
        <v>112</v>
      </c>
      <c r="H414" s="15"/>
    </row>
    <row r="415" customFormat="false" ht="15" hidden="false" customHeight="true" outlineLevel="0" collapsed="false">
      <c r="A415" s="15" t="s">
        <v>180</v>
      </c>
      <c r="B415" s="15" t="s">
        <v>181</v>
      </c>
      <c r="C415" s="15" t="s">
        <v>719</v>
      </c>
      <c r="D415" s="15" t="n">
        <v>20</v>
      </c>
      <c r="E415" s="15" t="s">
        <v>720</v>
      </c>
      <c r="F415" s="15" t="s">
        <v>716</v>
      </c>
      <c r="G415" s="15" t="s">
        <v>112</v>
      </c>
      <c r="H415" s="15"/>
    </row>
    <row r="416" customFormat="false" ht="15" hidden="false" customHeight="true" outlineLevel="0" collapsed="false">
      <c r="A416" s="15" t="s">
        <v>180</v>
      </c>
      <c r="B416" s="15" t="s">
        <v>181</v>
      </c>
      <c r="C416" s="15" t="s">
        <v>86</v>
      </c>
      <c r="D416" s="15" t="n">
        <v>6</v>
      </c>
      <c r="E416" s="15" t="s">
        <v>721</v>
      </c>
      <c r="F416" s="15" t="s">
        <v>716</v>
      </c>
      <c r="G416" s="15" t="s">
        <v>112</v>
      </c>
      <c r="H416" s="15"/>
    </row>
    <row r="417" customFormat="false" ht="15" hidden="false" customHeight="true" outlineLevel="0" collapsed="false">
      <c r="A417" s="15" t="s">
        <v>180</v>
      </c>
      <c r="B417" s="15" t="s">
        <v>181</v>
      </c>
      <c r="C417" s="15" t="s">
        <v>722</v>
      </c>
      <c r="D417" s="15" t="n">
        <v>455</v>
      </c>
      <c r="E417" s="15" t="s">
        <v>723</v>
      </c>
      <c r="F417" s="15" t="s">
        <v>716</v>
      </c>
      <c r="G417" s="15" t="s">
        <v>112</v>
      </c>
      <c r="H417" s="15"/>
    </row>
    <row r="418" customFormat="false" ht="15" hidden="false" customHeight="true" outlineLevel="0" collapsed="false">
      <c r="A418" s="15" t="s">
        <v>180</v>
      </c>
      <c r="B418" s="15" t="s">
        <v>181</v>
      </c>
      <c r="C418" s="15" t="s">
        <v>724</v>
      </c>
      <c r="D418" s="15" t="n">
        <v>45</v>
      </c>
      <c r="E418" s="15" t="s">
        <v>723</v>
      </c>
      <c r="F418" s="15" t="s">
        <v>716</v>
      </c>
      <c r="G418" s="15" t="s">
        <v>112</v>
      </c>
      <c r="H418" s="15"/>
    </row>
    <row r="419" customFormat="false" ht="15" hidden="false" customHeight="true" outlineLevel="0" collapsed="false">
      <c r="A419" s="15" t="s">
        <v>180</v>
      </c>
      <c r="B419" s="15" t="s">
        <v>181</v>
      </c>
      <c r="C419" s="15" t="s">
        <v>84</v>
      </c>
      <c r="D419" s="15" t="n">
        <v>207</v>
      </c>
      <c r="E419" s="15" t="s">
        <v>725</v>
      </c>
      <c r="F419" s="15" t="s">
        <v>716</v>
      </c>
      <c r="G419" s="15" t="s">
        <v>112</v>
      </c>
      <c r="H419" s="15"/>
    </row>
    <row r="420" customFormat="false" ht="15" hidden="false" customHeight="true" outlineLevel="0" collapsed="false">
      <c r="A420" s="15" t="s">
        <v>180</v>
      </c>
      <c r="B420" s="15" t="s">
        <v>181</v>
      </c>
      <c r="C420" s="15" t="s">
        <v>726</v>
      </c>
      <c r="D420" s="15" t="n">
        <v>4371</v>
      </c>
      <c r="E420" s="15" t="s">
        <v>725</v>
      </c>
      <c r="F420" s="15" t="s">
        <v>716</v>
      </c>
      <c r="G420" s="15" t="s">
        <v>112</v>
      </c>
      <c r="H420" s="15"/>
    </row>
    <row r="421" customFormat="false" ht="15" hidden="false" customHeight="true" outlineLevel="0" collapsed="false">
      <c r="A421" s="15" t="s">
        <v>180</v>
      </c>
      <c r="B421" s="15" t="s">
        <v>181</v>
      </c>
      <c r="C421" s="15" t="s">
        <v>727</v>
      </c>
      <c r="D421" s="15" t="n">
        <v>1907</v>
      </c>
      <c r="E421" s="15" t="s">
        <v>725</v>
      </c>
      <c r="F421" s="15" t="s">
        <v>716</v>
      </c>
      <c r="G421" s="15" t="s">
        <v>112</v>
      </c>
      <c r="H421" s="15"/>
    </row>
    <row r="422" customFormat="false" ht="15" hidden="false" customHeight="true" outlineLevel="0" collapsed="false">
      <c r="A422" s="15" t="s">
        <v>180</v>
      </c>
      <c r="B422" s="15" t="s">
        <v>181</v>
      </c>
      <c r="C422" s="15" t="s">
        <v>728</v>
      </c>
      <c r="D422" s="15" t="n">
        <v>1627</v>
      </c>
      <c r="E422" s="15" t="s">
        <v>725</v>
      </c>
      <c r="F422" s="15" t="s">
        <v>716</v>
      </c>
      <c r="G422" s="15" t="s">
        <v>112</v>
      </c>
      <c r="H422" s="15"/>
    </row>
    <row r="423" customFormat="false" ht="15" hidden="false" customHeight="true" outlineLevel="0" collapsed="false">
      <c r="A423" s="15" t="s">
        <v>180</v>
      </c>
      <c r="B423" s="15" t="s">
        <v>181</v>
      </c>
      <c r="C423" s="15" t="s">
        <v>729</v>
      </c>
      <c r="D423" s="15" t="n">
        <v>2775</v>
      </c>
      <c r="E423" s="15" t="s">
        <v>725</v>
      </c>
      <c r="F423" s="15" t="s">
        <v>716</v>
      </c>
      <c r="G423" s="15" t="s">
        <v>112</v>
      </c>
      <c r="H423" s="15"/>
    </row>
    <row r="424" customFormat="false" ht="15" hidden="false" customHeight="true" outlineLevel="0" collapsed="false">
      <c r="A424" s="15" t="s">
        <v>180</v>
      </c>
      <c r="B424" s="15" t="s">
        <v>181</v>
      </c>
      <c r="C424" s="15" t="s">
        <v>730</v>
      </c>
      <c r="D424" s="15" t="n">
        <v>10</v>
      </c>
      <c r="E424" s="15" t="s">
        <v>731</v>
      </c>
      <c r="F424" s="15" t="s">
        <v>716</v>
      </c>
      <c r="G424" s="15" t="s">
        <v>112</v>
      </c>
      <c r="H424" s="15"/>
    </row>
    <row r="425" customFormat="false" ht="26.25" hidden="false" customHeight="true" outlineLevel="0" collapsed="false">
      <c r="A425" s="15" t="s">
        <v>180</v>
      </c>
      <c r="B425" s="15" t="s">
        <v>181</v>
      </c>
      <c r="C425" s="15" t="s">
        <v>98</v>
      </c>
      <c r="D425" s="15" t="s">
        <v>732</v>
      </c>
      <c r="E425" s="15"/>
      <c r="F425" s="15" t="s">
        <v>716</v>
      </c>
      <c r="G425" s="15" t="s">
        <v>112</v>
      </c>
      <c r="H425" s="15"/>
    </row>
    <row r="426" customFormat="false" ht="26.25" hidden="false" customHeight="true" outlineLevel="0" collapsed="false">
      <c r="A426" s="15" t="s">
        <v>180</v>
      </c>
      <c r="B426" s="15" t="s">
        <v>181</v>
      </c>
      <c r="C426" s="15" t="s">
        <v>733</v>
      </c>
      <c r="D426" s="15" t="s">
        <v>805</v>
      </c>
      <c r="E426" s="15"/>
      <c r="F426" s="15" t="s">
        <v>735</v>
      </c>
      <c r="G426" s="15" t="s">
        <v>112</v>
      </c>
      <c r="H426" s="15" t="s">
        <v>736</v>
      </c>
    </row>
    <row r="427" customFormat="false" ht="15" hidden="false" customHeight="true" outlineLevel="0" collapsed="false">
      <c r="A427" s="15" t="s">
        <v>180</v>
      </c>
      <c r="B427" s="15" t="s">
        <v>181</v>
      </c>
      <c r="C427" s="15" t="s">
        <v>737</v>
      </c>
      <c r="D427" s="15" t="n">
        <v>180</v>
      </c>
      <c r="E427" s="15" t="s">
        <v>738</v>
      </c>
      <c r="F427" s="15" t="s">
        <v>716</v>
      </c>
      <c r="G427" s="15" t="s">
        <v>112</v>
      </c>
      <c r="H427" s="15"/>
    </row>
    <row r="428" customFormat="false" ht="15" hidden="false" customHeight="true" outlineLevel="0" collapsed="false">
      <c r="A428" s="15" t="s">
        <v>180</v>
      </c>
      <c r="B428" s="15" t="s">
        <v>181</v>
      </c>
      <c r="C428" s="15" t="s">
        <v>739</v>
      </c>
      <c r="D428" s="15" t="n">
        <v>160</v>
      </c>
      <c r="E428" s="15" t="s">
        <v>738</v>
      </c>
      <c r="F428" s="15" t="s">
        <v>716</v>
      </c>
      <c r="G428" s="15" t="s">
        <v>112</v>
      </c>
      <c r="H428" s="15"/>
    </row>
    <row r="429" customFormat="false" ht="26.25" hidden="false" customHeight="true" outlineLevel="0" collapsed="false">
      <c r="A429" s="15" t="s">
        <v>180</v>
      </c>
      <c r="B429" s="15" t="s">
        <v>181</v>
      </c>
      <c r="C429" s="15" t="s">
        <v>740</v>
      </c>
      <c r="D429" s="15" t="n">
        <v>7</v>
      </c>
      <c r="E429" s="15" t="s">
        <v>741</v>
      </c>
      <c r="F429" s="15" t="s">
        <v>716</v>
      </c>
      <c r="G429" s="15" t="s">
        <v>112</v>
      </c>
      <c r="H429" s="15"/>
    </row>
    <row r="430" customFormat="false" ht="15" hidden="false" customHeight="true" outlineLevel="0" collapsed="false">
      <c r="A430" s="15" t="s">
        <v>180</v>
      </c>
      <c r="B430" s="15" t="s">
        <v>181</v>
      </c>
      <c r="C430" s="15" t="s">
        <v>742</v>
      </c>
      <c r="D430" s="15" t="n">
        <v>10.2</v>
      </c>
      <c r="E430" s="15" t="s">
        <v>741</v>
      </c>
      <c r="F430" s="15" t="s">
        <v>716</v>
      </c>
      <c r="G430" s="15" t="s">
        <v>112</v>
      </c>
      <c r="H430" s="15"/>
    </row>
    <row r="431" customFormat="false" ht="15" hidden="false" customHeight="true" outlineLevel="0" collapsed="false">
      <c r="A431" s="15" t="s">
        <v>180</v>
      </c>
      <c r="B431" s="15" t="s">
        <v>181</v>
      </c>
      <c r="C431" s="15" t="s">
        <v>743</v>
      </c>
      <c r="D431" s="15" t="s">
        <v>793</v>
      </c>
      <c r="E431" s="15"/>
      <c r="F431" s="15" t="s">
        <v>716</v>
      </c>
      <c r="G431" s="15" t="s">
        <v>112</v>
      </c>
      <c r="H431" s="15"/>
    </row>
    <row r="432" customFormat="false" ht="15" hidden="false" customHeight="true" outlineLevel="0" collapsed="false">
      <c r="A432" s="15" t="s">
        <v>180</v>
      </c>
      <c r="B432" s="15" t="s">
        <v>181</v>
      </c>
      <c r="C432" s="15" t="s">
        <v>745</v>
      </c>
      <c r="D432" s="15" t="s">
        <v>794</v>
      </c>
      <c r="E432" s="15"/>
      <c r="F432" s="15" t="s">
        <v>716</v>
      </c>
      <c r="G432" s="15" t="s">
        <v>112</v>
      </c>
      <c r="H432" s="15"/>
    </row>
    <row r="433" customFormat="false" ht="15" hidden="false" customHeight="true" outlineLevel="0" collapsed="false">
      <c r="A433" s="15" t="s">
        <v>180</v>
      </c>
      <c r="B433" s="15" t="s">
        <v>181</v>
      </c>
      <c r="C433" s="15" t="s">
        <v>747</v>
      </c>
      <c r="D433" s="15" t="s">
        <v>801</v>
      </c>
      <c r="E433" s="15"/>
      <c r="F433" s="15" t="s">
        <v>716</v>
      </c>
      <c r="G433" s="15" t="s">
        <v>112</v>
      </c>
      <c r="H433" s="15"/>
    </row>
    <row r="434" customFormat="false" ht="15" hidden="false" customHeight="true" outlineLevel="0" collapsed="false">
      <c r="A434" s="15" t="s">
        <v>180</v>
      </c>
      <c r="B434" s="15" t="s">
        <v>181</v>
      </c>
      <c r="C434" s="15" t="s">
        <v>749</v>
      </c>
      <c r="D434" s="15" t="s">
        <v>806</v>
      </c>
      <c r="E434" s="15"/>
      <c r="F434" s="15" t="s">
        <v>716</v>
      </c>
      <c r="G434" s="15" t="s">
        <v>112</v>
      </c>
      <c r="H434" s="15" t="s">
        <v>751</v>
      </c>
    </row>
    <row r="435" customFormat="false" ht="15" hidden="false" customHeight="true" outlineLevel="0" collapsed="false">
      <c r="A435" s="15" t="s">
        <v>180</v>
      </c>
      <c r="B435" s="15" t="s">
        <v>181</v>
      </c>
      <c r="C435" s="15" t="s">
        <v>752</v>
      </c>
      <c r="D435" s="15" t="s">
        <v>796</v>
      </c>
      <c r="E435" s="15"/>
      <c r="F435" s="15" t="s">
        <v>716</v>
      </c>
      <c r="G435" s="15" t="s">
        <v>112</v>
      </c>
      <c r="H435" s="15"/>
    </row>
    <row r="436" customFormat="false" ht="15" hidden="false" customHeight="true" outlineLevel="0" collapsed="false">
      <c r="A436" s="15" t="s">
        <v>180</v>
      </c>
      <c r="B436" s="15" t="s">
        <v>181</v>
      </c>
      <c r="C436" s="15" t="s">
        <v>90</v>
      </c>
      <c r="D436" s="15" t="s">
        <v>802</v>
      </c>
      <c r="E436" s="15"/>
      <c r="F436" s="15" t="s">
        <v>716</v>
      </c>
      <c r="G436" s="15" t="s">
        <v>112</v>
      </c>
      <c r="H436" s="15"/>
    </row>
    <row r="437" customFormat="false" ht="15" hidden="false" customHeight="true" outlineLevel="0" collapsed="false">
      <c r="A437" s="15" t="s">
        <v>180</v>
      </c>
      <c r="B437" s="15" t="s">
        <v>181</v>
      </c>
      <c r="C437" s="15" t="s">
        <v>754</v>
      </c>
      <c r="D437" s="15" t="s">
        <v>803</v>
      </c>
      <c r="E437" s="15"/>
      <c r="F437" s="15" t="s">
        <v>716</v>
      </c>
      <c r="G437" s="15" t="s">
        <v>112</v>
      </c>
      <c r="H437" s="15"/>
    </row>
    <row r="438" customFormat="false" ht="15" hidden="false" customHeight="true" outlineLevel="0" collapsed="false">
      <c r="A438" s="15" t="s">
        <v>180</v>
      </c>
      <c r="B438" s="15" t="s">
        <v>181</v>
      </c>
      <c r="C438" s="15" t="s">
        <v>756</v>
      </c>
      <c r="D438" s="15" t="s">
        <v>804</v>
      </c>
      <c r="E438" s="15"/>
      <c r="F438" s="15" t="s">
        <v>716</v>
      </c>
      <c r="G438" s="15" t="s">
        <v>112</v>
      </c>
      <c r="H438" s="15"/>
    </row>
    <row r="439" customFormat="false" ht="15" hidden="false" customHeight="true" outlineLevel="0" collapsed="false">
      <c r="A439" s="15" t="s">
        <v>180</v>
      </c>
      <c r="B439" s="15" t="s">
        <v>181</v>
      </c>
      <c r="C439" s="15" t="s">
        <v>757</v>
      </c>
      <c r="D439" s="15" t="s">
        <v>797</v>
      </c>
      <c r="E439" s="15"/>
      <c r="F439" s="15" t="s">
        <v>716</v>
      </c>
      <c r="G439" s="15" t="s">
        <v>112</v>
      </c>
      <c r="H439" s="15"/>
    </row>
    <row r="440" customFormat="false" ht="15" hidden="false" customHeight="true" outlineLevel="0" collapsed="false">
      <c r="A440" s="15" t="s">
        <v>180</v>
      </c>
      <c r="B440" s="15" t="s">
        <v>181</v>
      </c>
      <c r="C440" s="15" t="s">
        <v>759</v>
      </c>
      <c r="D440" s="15" t="s">
        <v>798</v>
      </c>
      <c r="E440" s="15"/>
      <c r="F440" s="15" t="s">
        <v>716</v>
      </c>
      <c r="G440" s="15" t="s">
        <v>112</v>
      </c>
      <c r="H440" s="15"/>
    </row>
    <row r="441" customFormat="false" ht="15" hidden="false" customHeight="true" outlineLevel="0" collapsed="false">
      <c r="A441" s="15" t="s">
        <v>180</v>
      </c>
      <c r="B441" s="15" t="s">
        <v>181</v>
      </c>
      <c r="C441" s="15" t="s">
        <v>761</v>
      </c>
      <c r="D441" s="15" t="s">
        <v>755</v>
      </c>
      <c r="E441" s="15"/>
      <c r="F441" s="15" t="s">
        <v>716</v>
      </c>
      <c r="G441" s="15" t="s">
        <v>112</v>
      </c>
      <c r="H441" s="15"/>
    </row>
    <row r="442" customFormat="false" ht="15" hidden="false" customHeight="true" outlineLevel="0" collapsed="false">
      <c r="A442" s="15" t="s">
        <v>180</v>
      </c>
      <c r="B442" s="15" t="s">
        <v>181</v>
      </c>
      <c r="C442" s="15" t="s">
        <v>762</v>
      </c>
      <c r="D442" s="15" t="s">
        <v>755</v>
      </c>
      <c r="E442" s="15"/>
      <c r="F442" s="15" t="s">
        <v>716</v>
      </c>
      <c r="G442" s="15" t="s">
        <v>112</v>
      </c>
      <c r="H442" s="15"/>
    </row>
    <row r="443" customFormat="false" ht="15" hidden="false" customHeight="true" outlineLevel="0" collapsed="false">
      <c r="A443" s="15" t="s">
        <v>180</v>
      </c>
      <c r="B443" s="15" t="s">
        <v>181</v>
      </c>
      <c r="C443" s="15" t="s">
        <v>92</v>
      </c>
      <c r="D443" s="15" t="s">
        <v>755</v>
      </c>
      <c r="E443" s="15"/>
      <c r="F443" s="15" t="s">
        <v>716</v>
      </c>
      <c r="G443" s="15" t="s">
        <v>112</v>
      </c>
      <c r="H443" s="15"/>
    </row>
    <row r="444" customFormat="false" ht="15" hidden="false" customHeight="true" outlineLevel="0" collapsed="false">
      <c r="A444" s="15" t="s">
        <v>180</v>
      </c>
      <c r="B444" s="15" t="s">
        <v>181</v>
      </c>
      <c r="C444" s="15" t="s">
        <v>763</v>
      </c>
      <c r="D444" s="15" t="s">
        <v>807</v>
      </c>
      <c r="E444" s="15"/>
      <c r="F444" s="15" t="s">
        <v>716</v>
      </c>
      <c r="G444" s="15" t="s">
        <v>112</v>
      </c>
      <c r="H444" s="15"/>
    </row>
    <row r="445" customFormat="false" ht="15" hidden="false" customHeight="true" outlineLevel="0" collapsed="false">
      <c r="A445" s="15" t="s">
        <v>180</v>
      </c>
      <c r="B445" s="15" t="s">
        <v>181</v>
      </c>
      <c r="C445" s="15" t="s">
        <v>764</v>
      </c>
      <c r="D445" s="15" t="s">
        <v>755</v>
      </c>
      <c r="E445" s="15"/>
      <c r="F445" s="15" t="s">
        <v>716</v>
      </c>
      <c r="G445" s="15" t="s">
        <v>112</v>
      </c>
      <c r="H445" s="15"/>
    </row>
    <row r="446" customFormat="false" ht="15" hidden="false" customHeight="true" outlineLevel="0" collapsed="false">
      <c r="A446" s="15" t="s">
        <v>180</v>
      </c>
      <c r="B446" s="15" t="s">
        <v>181</v>
      </c>
      <c r="C446" s="15" t="s">
        <v>765</v>
      </c>
      <c r="D446" s="15" t="s">
        <v>799</v>
      </c>
      <c r="E446" s="15"/>
      <c r="F446" s="15" t="s">
        <v>716</v>
      </c>
      <c r="G446" s="15" t="s">
        <v>112</v>
      </c>
      <c r="H446" s="15"/>
    </row>
    <row r="447" customFormat="false" ht="15" hidden="false" customHeight="true" outlineLevel="0" collapsed="false">
      <c r="A447" s="15" t="s">
        <v>180</v>
      </c>
      <c r="B447" s="15" t="s">
        <v>181</v>
      </c>
      <c r="C447" s="15" t="s">
        <v>767</v>
      </c>
      <c r="D447" s="15" t="s">
        <v>768</v>
      </c>
      <c r="E447" s="15"/>
      <c r="F447" s="15" t="s">
        <v>716</v>
      </c>
      <c r="G447" s="15" t="s">
        <v>112</v>
      </c>
      <c r="H447" s="15"/>
    </row>
    <row r="448" customFormat="false" ht="26.25" hidden="false" customHeight="true" outlineLevel="0" collapsed="false">
      <c r="A448" s="15" t="s">
        <v>180</v>
      </c>
      <c r="B448" s="15" t="s">
        <v>181</v>
      </c>
      <c r="C448" s="15" t="s">
        <v>769</v>
      </c>
      <c r="D448" s="15" t="n">
        <v>5</v>
      </c>
      <c r="E448" s="15" t="s">
        <v>721</v>
      </c>
      <c r="F448" s="15" t="s">
        <v>770</v>
      </c>
      <c r="G448" s="15" t="s">
        <v>293</v>
      </c>
      <c r="H448" s="15" t="s">
        <v>771</v>
      </c>
    </row>
    <row r="449" customFormat="false" ht="26.25" hidden="false" customHeight="true" outlineLevel="0" collapsed="false">
      <c r="A449" s="15" t="s">
        <v>180</v>
      </c>
      <c r="B449" s="15" t="s">
        <v>181</v>
      </c>
      <c r="C449" s="15" t="s">
        <v>772</v>
      </c>
      <c r="D449" s="15" t="n">
        <v>50000</v>
      </c>
      <c r="E449" s="15" t="s">
        <v>773</v>
      </c>
      <c r="F449" s="15" t="s">
        <v>770</v>
      </c>
      <c r="G449" s="15" t="s">
        <v>293</v>
      </c>
      <c r="H449" s="15" t="s">
        <v>774</v>
      </c>
    </row>
    <row r="450" customFormat="false" ht="26.25" hidden="false" customHeight="true" outlineLevel="0" collapsed="false">
      <c r="A450" s="15" t="s">
        <v>180</v>
      </c>
      <c r="B450" s="15" t="s">
        <v>181</v>
      </c>
      <c r="C450" s="15" t="s">
        <v>775</v>
      </c>
      <c r="D450" s="15" t="n">
        <v>75000</v>
      </c>
      <c r="E450" s="15" t="s">
        <v>773</v>
      </c>
      <c r="F450" s="15" t="s">
        <v>770</v>
      </c>
      <c r="G450" s="15" t="s">
        <v>293</v>
      </c>
      <c r="H450" s="15" t="s">
        <v>774</v>
      </c>
    </row>
    <row r="451" customFormat="false" ht="39" hidden="false" customHeight="true" outlineLevel="0" collapsed="false">
      <c r="A451" s="15" t="s">
        <v>180</v>
      </c>
      <c r="B451" s="15" t="s">
        <v>181</v>
      </c>
      <c r="C451" s="15" t="s">
        <v>776</v>
      </c>
      <c r="D451" s="15" t="s">
        <v>800</v>
      </c>
      <c r="E451" s="15"/>
      <c r="F451" s="15" t="s">
        <v>778</v>
      </c>
      <c r="G451" s="15" t="s">
        <v>293</v>
      </c>
      <c r="H451" s="15" t="s">
        <v>779</v>
      </c>
    </row>
    <row r="452" customFormat="false" ht="39" hidden="false" customHeight="true" outlineLevel="0" collapsed="false">
      <c r="A452" s="15" t="s">
        <v>180</v>
      </c>
      <c r="B452" s="15" t="s">
        <v>181</v>
      </c>
      <c r="C452" s="15" t="s">
        <v>780</v>
      </c>
      <c r="D452" s="15" t="s">
        <v>781</v>
      </c>
      <c r="E452" s="15"/>
      <c r="F452" s="15" t="s">
        <v>778</v>
      </c>
      <c r="G452" s="15" t="s">
        <v>293</v>
      </c>
      <c r="H452" s="15" t="s">
        <v>779</v>
      </c>
    </row>
    <row r="453" customFormat="false" ht="39" hidden="false" customHeight="true" outlineLevel="0" collapsed="false">
      <c r="A453" s="15" t="s">
        <v>180</v>
      </c>
      <c r="B453" s="15" t="s">
        <v>181</v>
      </c>
      <c r="C453" s="15" t="s">
        <v>782</v>
      </c>
      <c r="D453" s="15" t="n">
        <v>36</v>
      </c>
      <c r="E453" s="15" t="s">
        <v>783</v>
      </c>
      <c r="F453" s="15" t="s">
        <v>778</v>
      </c>
      <c r="G453" s="15" t="s">
        <v>293</v>
      </c>
      <c r="H453" s="15" t="s">
        <v>779</v>
      </c>
    </row>
    <row r="454" customFormat="false" ht="39" hidden="false" customHeight="true" outlineLevel="0" collapsed="false">
      <c r="A454" s="15" t="s">
        <v>180</v>
      </c>
      <c r="B454" s="15" t="s">
        <v>181</v>
      </c>
      <c r="C454" s="15" t="s">
        <v>784</v>
      </c>
      <c r="D454" s="15" t="n">
        <v>11</v>
      </c>
      <c r="E454" s="15" t="s">
        <v>738</v>
      </c>
      <c r="F454" s="15" t="s">
        <v>778</v>
      </c>
      <c r="G454" s="15" t="s">
        <v>293</v>
      </c>
      <c r="H454" s="15" t="s">
        <v>779</v>
      </c>
    </row>
    <row r="455" customFormat="false" ht="39" hidden="false" customHeight="true" outlineLevel="0" collapsed="false">
      <c r="A455" s="15" t="s">
        <v>180</v>
      </c>
      <c r="B455" s="15" t="s">
        <v>181</v>
      </c>
      <c r="C455" s="15" t="s">
        <v>787</v>
      </c>
      <c r="D455" s="15" t="s">
        <v>788</v>
      </c>
      <c r="E455" s="15"/>
      <c r="F455" s="15" t="s">
        <v>778</v>
      </c>
      <c r="G455" s="15" t="s">
        <v>293</v>
      </c>
      <c r="H455" s="15" t="s">
        <v>779</v>
      </c>
    </row>
    <row r="456" customFormat="false" ht="39" hidden="false" customHeight="true" outlineLevel="0" collapsed="false">
      <c r="A456" s="15" t="s">
        <v>180</v>
      </c>
      <c r="B456" s="15" t="s">
        <v>181</v>
      </c>
      <c r="C456" s="15" t="s">
        <v>789</v>
      </c>
      <c r="D456" s="15" t="s">
        <v>790</v>
      </c>
      <c r="E456" s="15"/>
      <c r="F456" s="15" t="s">
        <v>778</v>
      </c>
      <c r="G456" s="15" t="s">
        <v>293</v>
      </c>
      <c r="H456" s="15" t="s">
        <v>779</v>
      </c>
    </row>
    <row r="457" customFormat="false" ht="39" hidden="false" customHeight="true" outlineLevel="0" collapsed="false">
      <c r="A457" s="15" t="s">
        <v>180</v>
      </c>
      <c r="B457" s="15" t="s">
        <v>181</v>
      </c>
      <c r="C457" s="15" t="s">
        <v>791</v>
      </c>
      <c r="D457" s="15" t="s">
        <v>792</v>
      </c>
      <c r="E457" s="15"/>
      <c r="F457" s="15" t="s">
        <v>778</v>
      </c>
      <c r="G457" s="15" t="s">
        <v>293</v>
      </c>
      <c r="H457" s="15" t="s">
        <v>779</v>
      </c>
    </row>
    <row r="458" customFormat="false" ht="26.25" hidden="false" customHeight="true" outlineLevel="0" collapsed="false">
      <c r="A458" s="15" t="s">
        <v>148</v>
      </c>
      <c r="B458" s="15" t="s">
        <v>149</v>
      </c>
      <c r="C458" s="15" t="s">
        <v>714</v>
      </c>
      <c r="D458" s="15" t="n">
        <v>360</v>
      </c>
      <c r="E458" s="15" t="s">
        <v>715</v>
      </c>
      <c r="F458" s="15" t="s">
        <v>716</v>
      </c>
      <c r="G458" s="15" t="s">
        <v>112</v>
      </c>
      <c r="H458" s="15" t="s">
        <v>717</v>
      </c>
    </row>
    <row r="459" customFormat="false" ht="15" hidden="false" customHeight="true" outlineLevel="0" collapsed="false">
      <c r="A459" s="15" t="s">
        <v>148</v>
      </c>
      <c r="B459" s="15" t="s">
        <v>149</v>
      </c>
      <c r="C459" s="15" t="s">
        <v>718</v>
      </c>
      <c r="D459" s="15" t="s">
        <v>113</v>
      </c>
      <c r="E459" s="15"/>
      <c r="F459" s="15" t="s">
        <v>716</v>
      </c>
      <c r="G459" s="15" t="s">
        <v>112</v>
      </c>
      <c r="H459" s="15"/>
    </row>
    <row r="460" customFormat="false" ht="15" hidden="false" customHeight="true" outlineLevel="0" collapsed="false">
      <c r="A460" s="15" t="s">
        <v>148</v>
      </c>
      <c r="B460" s="15" t="s">
        <v>149</v>
      </c>
      <c r="C460" s="15" t="s">
        <v>719</v>
      </c>
      <c r="D460" s="15" t="n">
        <v>20</v>
      </c>
      <c r="E460" s="15" t="s">
        <v>720</v>
      </c>
      <c r="F460" s="15" t="s">
        <v>716</v>
      </c>
      <c r="G460" s="15" t="s">
        <v>112</v>
      </c>
      <c r="H460" s="15"/>
    </row>
    <row r="461" customFormat="false" ht="15" hidden="false" customHeight="true" outlineLevel="0" collapsed="false">
      <c r="A461" s="15" t="s">
        <v>148</v>
      </c>
      <c r="B461" s="15" t="s">
        <v>149</v>
      </c>
      <c r="C461" s="15" t="s">
        <v>86</v>
      </c>
      <c r="D461" s="15" t="n">
        <v>6</v>
      </c>
      <c r="E461" s="15" t="s">
        <v>721</v>
      </c>
      <c r="F461" s="15" t="s">
        <v>716</v>
      </c>
      <c r="G461" s="15" t="s">
        <v>112</v>
      </c>
      <c r="H461" s="15"/>
    </row>
    <row r="462" customFormat="false" ht="15" hidden="false" customHeight="true" outlineLevel="0" collapsed="false">
      <c r="A462" s="15" t="s">
        <v>148</v>
      </c>
      <c r="B462" s="15" t="s">
        <v>149</v>
      </c>
      <c r="C462" s="15" t="s">
        <v>722</v>
      </c>
      <c r="D462" s="15" t="n">
        <v>455</v>
      </c>
      <c r="E462" s="15" t="s">
        <v>723</v>
      </c>
      <c r="F462" s="15" t="s">
        <v>716</v>
      </c>
      <c r="G462" s="15" t="s">
        <v>112</v>
      </c>
      <c r="H462" s="15"/>
    </row>
    <row r="463" customFormat="false" ht="15" hidden="false" customHeight="true" outlineLevel="0" collapsed="false">
      <c r="A463" s="15" t="s">
        <v>148</v>
      </c>
      <c r="B463" s="15" t="s">
        <v>149</v>
      </c>
      <c r="C463" s="15" t="s">
        <v>724</v>
      </c>
      <c r="D463" s="15" t="n">
        <v>45</v>
      </c>
      <c r="E463" s="15" t="s">
        <v>723</v>
      </c>
      <c r="F463" s="15" t="s">
        <v>716</v>
      </c>
      <c r="G463" s="15" t="s">
        <v>112</v>
      </c>
      <c r="H463" s="15"/>
    </row>
    <row r="464" customFormat="false" ht="15" hidden="false" customHeight="true" outlineLevel="0" collapsed="false">
      <c r="A464" s="15" t="s">
        <v>148</v>
      </c>
      <c r="B464" s="15" t="s">
        <v>149</v>
      </c>
      <c r="C464" s="15" t="s">
        <v>84</v>
      </c>
      <c r="D464" s="15" t="n">
        <v>207</v>
      </c>
      <c r="E464" s="15" t="s">
        <v>725</v>
      </c>
      <c r="F464" s="15" t="s">
        <v>716</v>
      </c>
      <c r="G464" s="15" t="s">
        <v>112</v>
      </c>
      <c r="H464" s="15"/>
    </row>
    <row r="465" customFormat="false" ht="15" hidden="false" customHeight="true" outlineLevel="0" collapsed="false">
      <c r="A465" s="15" t="s">
        <v>148</v>
      </c>
      <c r="B465" s="15" t="s">
        <v>149</v>
      </c>
      <c r="C465" s="15" t="s">
        <v>726</v>
      </c>
      <c r="D465" s="15" t="n">
        <v>4371</v>
      </c>
      <c r="E465" s="15" t="s">
        <v>725</v>
      </c>
      <c r="F465" s="15" t="s">
        <v>716</v>
      </c>
      <c r="G465" s="15" t="s">
        <v>112</v>
      </c>
      <c r="H465" s="15"/>
    </row>
    <row r="466" customFormat="false" ht="15" hidden="false" customHeight="true" outlineLevel="0" collapsed="false">
      <c r="A466" s="15" t="s">
        <v>148</v>
      </c>
      <c r="B466" s="15" t="s">
        <v>149</v>
      </c>
      <c r="C466" s="15" t="s">
        <v>727</v>
      </c>
      <c r="D466" s="15" t="n">
        <v>1907</v>
      </c>
      <c r="E466" s="15" t="s">
        <v>725</v>
      </c>
      <c r="F466" s="15" t="s">
        <v>716</v>
      </c>
      <c r="G466" s="15" t="s">
        <v>112</v>
      </c>
      <c r="H466" s="15"/>
    </row>
    <row r="467" customFormat="false" ht="15" hidden="false" customHeight="true" outlineLevel="0" collapsed="false">
      <c r="A467" s="15" t="s">
        <v>148</v>
      </c>
      <c r="B467" s="15" t="s">
        <v>149</v>
      </c>
      <c r="C467" s="15" t="s">
        <v>728</v>
      </c>
      <c r="D467" s="15" t="n">
        <v>1627</v>
      </c>
      <c r="E467" s="15" t="s">
        <v>725</v>
      </c>
      <c r="F467" s="15" t="s">
        <v>716</v>
      </c>
      <c r="G467" s="15" t="s">
        <v>112</v>
      </c>
      <c r="H467" s="15"/>
    </row>
    <row r="468" customFormat="false" ht="15" hidden="false" customHeight="true" outlineLevel="0" collapsed="false">
      <c r="A468" s="15" t="s">
        <v>148</v>
      </c>
      <c r="B468" s="15" t="s">
        <v>149</v>
      </c>
      <c r="C468" s="15" t="s">
        <v>729</v>
      </c>
      <c r="D468" s="15" t="n">
        <v>2775</v>
      </c>
      <c r="E468" s="15" t="s">
        <v>725</v>
      </c>
      <c r="F468" s="15" t="s">
        <v>716</v>
      </c>
      <c r="G468" s="15" t="s">
        <v>112</v>
      </c>
      <c r="H468" s="15"/>
    </row>
    <row r="469" customFormat="false" ht="15" hidden="false" customHeight="true" outlineLevel="0" collapsed="false">
      <c r="A469" s="15" t="s">
        <v>148</v>
      </c>
      <c r="B469" s="15" t="s">
        <v>149</v>
      </c>
      <c r="C469" s="15" t="s">
        <v>730</v>
      </c>
      <c r="D469" s="15" t="n">
        <v>10</v>
      </c>
      <c r="E469" s="15" t="s">
        <v>731</v>
      </c>
      <c r="F469" s="15" t="s">
        <v>716</v>
      </c>
      <c r="G469" s="15" t="s">
        <v>112</v>
      </c>
      <c r="H469" s="15"/>
    </row>
    <row r="470" customFormat="false" ht="26.25" hidden="false" customHeight="true" outlineLevel="0" collapsed="false">
      <c r="A470" s="15" t="s">
        <v>148</v>
      </c>
      <c r="B470" s="15" t="s">
        <v>149</v>
      </c>
      <c r="C470" s="15" t="s">
        <v>98</v>
      </c>
      <c r="D470" s="15" t="s">
        <v>732</v>
      </c>
      <c r="E470" s="15"/>
      <c r="F470" s="15" t="s">
        <v>716</v>
      </c>
      <c r="G470" s="15" t="s">
        <v>112</v>
      </c>
      <c r="H470" s="15"/>
    </row>
    <row r="471" customFormat="false" ht="26.25" hidden="false" customHeight="true" outlineLevel="0" collapsed="false">
      <c r="A471" s="15" t="s">
        <v>148</v>
      </c>
      <c r="B471" s="15" t="s">
        <v>149</v>
      </c>
      <c r="C471" s="15" t="s">
        <v>733</v>
      </c>
      <c r="D471" s="15" t="s">
        <v>808</v>
      </c>
      <c r="E471" s="15"/>
      <c r="F471" s="15" t="s">
        <v>735</v>
      </c>
      <c r="G471" s="15" t="s">
        <v>112</v>
      </c>
      <c r="H471" s="15" t="s">
        <v>736</v>
      </c>
    </row>
    <row r="472" customFormat="false" ht="15" hidden="false" customHeight="true" outlineLevel="0" collapsed="false">
      <c r="A472" s="15" t="s">
        <v>148</v>
      </c>
      <c r="B472" s="15" t="s">
        <v>149</v>
      </c>
      <c r="C472" s="15" t="s">
        <v>737</v>
      </c>
      <c r="D472" s="15" t="n">
        <v>210</v>
      </c>
      <c r="E472" s="15" t="s">
        <v>738</v>
      </c>
      <c r="F472" s="15" t="s">
        <v>716</v>
      </c>
      <c r="G472" s="15" t="s">
        <v>112</v>
      </c>
      <c r="H472" s="15"/>
    </row>
    <row r="473" customFormat="false" ht="15" hidden="false" customHeight="true" outlineLevel="0" collapsed="false">
      <c r="A473" s="15" t="s">
        <v>148</v>
      </c>
      <c r="B473" s="15" t="s">
        <v>149</v>
      </c>
      <c r="C473" s="15" t="s">
        <v>739</v>
      </c>
      <c r="D473" s="15" t="n">
        <v>180</v>
      </c>
      <c r="E473" s="15" t="s">
        <v>738</v>
      </c>
      <c r="F473" s="15" t="s">
        <v>716</v>
      </c>
      <c r="G473" s="15" t="s">
        <v>112</v>
      </c>
      <c r="H473" s="15"/>
    </row>
    <row r="474" customFormat="false" ht="26.25" hidden="false" customHeight="true" outlineLevel="0" collapsed="false">
      <c r="A474" s="15" t="s">
        <v>148</v>
      </c>
      <c r="B474" s="15" t="s">
        <v>149</v>
      </c>
      <c r="C474" s="15" t="s">
        <v>740</v>
      </c>
      <c r="D474" s="15" t="n">
        <v>8</v>
      </c>
      <c r="E474" s="15" t="s">
        <v>741</v>
      </c>
      <c r="F474" s="15" t="s">
        <v>716</v>
      </c>
      <c r="G474" s="15" t="s">
        <v>112</v>
      </c>
      <c r="H474" s="15"/>
    </row>
    <row r="475" customFormat="false" ht="15" hidden="false" customHeight="true" outlineLevel="0" collapsed="false">
      <c r="A475" s="15" t="s">
        <v>148</v>
      </c>
      <c r="B475" s="15" t="s">
        <v>149</v>
      </c>
      <c r="C475" s="15" t="s">
        <v>742</v>
      </c>
      <c r="D475" s="15" t="n">
        <v>11.7</v>
      </c>
      <c r="E475" s="15" t="s">
        <v>741</v>
      </c>
      <c r="F475" s="15" t="s">
        <v>716</v>
      </c>
      <c r="G475" s="15" t="s">
        <v>112</v>
      </c>
      <c r="H475" s="15"/>
    </row>
    <row r="476" customFormat="false" ht="15" hidden="false" customHeight="true" outlineLevel="0" collapsed="false">
      <c r="A476" s="15" t="s">
        <v>148</v>
      </c>
      <c r="B476" s="15" t="s">
        <v>149</v>
      </c>
      <c r="C476" s="15" t="s">
        <v>743</v>
      </c>
      <c r="D476" s="15" t="s">
        <v>793</v>
      </c>
      <c r="E476" s="15"/>
      <c r="F476" s="15" t="s">
        <v>716</v>
      </c>
      <c r="G476" s="15" t="s">
        <v>112</v>
      </c>
      <c r="H476" s="15"/>
    </row>
    <row r="477" customFormat="false" ht="15" hidden="false" customHeight="true" outlineLevel="0" collapsed="false">
      <c r="A477" s="15" t="s">
        <v>148</v>
      </c>
      <c r="B477" s="15" t="s">
        <v>149</v>
      </c>
      <c r="C477" s="15" t="s">
        <v>745</v>
      </c>
      <c r="D477" s="15" t="s">
        <v>794</v>
      </c>
      <c r="E477" s="15"/>
      <c r="F477" s="15" t="s">
        <v>716</v>
      </c>
      <c r="G477" s="15" t="s">
        <v>112</v>
      </c>
      <c r="H477" s="15"/>
    </row>
    <row r="478" customFormat="false" ht="15" hidden="false" customHeight="true" outlineLevel="0" collapsed="false">
      <c r="A478" s="15" t="s">
        <v>148</v>
      </c>
      <c r="B478" s="15" t="s">
        <v>149</v>
      </c>
      <c r="C478" s="15" t="s">
        <v>747</v>
      </c>
      <c r="D478" s="15" t="s">
        <v>801</v>
      </c>
      <c r="E478" s="15"/>
      <c r="F478" s="15" t="s">
        <v>716</v>
      </c>
      <c r="G478" s="15" t="s">
        <v>112</v>
      </c>
      <c r="H478" s="15"/>
    </row>
    <row r="479" customFormat="false" ht="15" hidden="false" customHeight="true" outlineLevel="0" collapsed="false">
      <c r="A479" s="15" t="s">
        <v>148</v>
      </c>
      <c r="B479" s="15" t="s">
        <v>149</v>
      </c>
      <c r="C479" s="15" t="s">
        <v>749</v>
      </c>
      <c r="D479" s="15" t="s">
        <v>806</v>
      </c>
      <c r="E479" s="15"/>
      <c r="F479" s="15" t="s">
        <v>716</v>
      </c>
      <c r="G479" s="15" t="s">
        <v>112</v>
      </c>
      <c r="H479" s="15" t="s">
        <v>751</v>
      </c>
    </row>
    <row r="480" customFormat="false" ht="15" hidden="false" customHeight="true" outlineLevel="0" collapsed="false">
      <c r="A480" s="15" t="s">
        <v>148</v>
      </c>
      <c r="B480" s="15" t="s">
        <v>149</v>
      </c>
      <c r="C480" s="15" t="s">
        <v>752</v>
      </c>
      <c r="D480" s="15" t="s">
        <v>796</v>
      </c>
      <c r="E480" s="15"/>
      <c r="F480" s="15" t="s">
        <v>716</v>
      </c>
      <c r="G480" s="15" t="s">
        <v>112</v>
      </c>
      <c r="H480" s="15"/>
    </row>
    <row r="481" customFormat="false" ht="15" hidden="false" customHeight="true" outlineLevel="0" collapsed="false">
      <c r="A481" s="15" t="s">
        <v>148</v>
      </c>
      <c r="B481" s="15" t="s">
        <v>149</v>
      </c>
      <c r="C481" s="15" t="s">
        <v>90</v>
      </c>
      <c r="D481" s="15" t="s">
        <v>802</v>
      </c>
      <c r="E481" s="15"/>
      <c r="F481" s="15" t="s">
        <v>716</v>
      </c>
      <c r="G481" s="15" t="s">
        <v>112</v>
      </c>
      <c r="H481" s="15"/>
    </row>
    <row r="482" customFormat="false" ht="15" hidden="false" customHeight="true" outlineLevel="0" collapsed="false">
      <c r="A482" s="15" t="s">
        <v>148</v>
      </c>
      <c r="B482" s="15" t="s">
        <v>149</v>
      </c>
      <c r="C482" s="15" t="s">
        <v>754</v>
      </c>
      <c r="D482" s="15" t="s">
        <v>803</v>
      </c>
      <c r="E482" s="15"/>
      <c r="F482" s="15" t="s">
        <v>716</v>
      </c>
      <c r="G482" s="15" t="s">
        <v>112</v>
      </c>
      <c r="H482" s="15"/>
    </row>
    <row r="483" customFormat="false" ht="15" hidden="false" customHeight="true" outlineLevel="0" collapsed="false">
      <c r="A483" s="15" t="s">
        <v>148</v>
      </c>
      <c r="B483" s="15" t="s">
        <v>149</v>
      </c>
      <c r="C483" s="15" t="s">
        <v>756</v>
      </c>
      <c r="D483" s="15" t="s">
        <v>804</v>
      </c>
      <c r="E483" s="15"/>
      <c r="F483" s="15" t="s">
        <v>716</v>
      </c>
      <c r="G483" s="15" t="s">
        <v>112</v>
      </c>
      <c r="H483" s="15"/>
    </row>
    <row r="484" customFormat="false" ht="15" hidden="false" customHeight="true" outlineLevel="0" collapsed="false">
      <c r="A484" s="15" t="s">
        <v>148</v>
      </c>
      <c r="B484" s="15" t="s">
        <v>149</v>
      </c>
      <c r="C484" s="15" t="s">
        <v>757</v>
      </c>
      <c r="D484" s="15" t="s">
        <v>797</v>
      </c>
      <c r="E484" s="15"/>
      <c r="F484" s="15" t="s">
        <v>716</v>
      </c>
      <c r="G484" s="15" t="s">
        <v>112</v>
      </c>
      <c r="H484" s="15"/>
    </row>
    <row r="485" customFormat="false" ht="15" hidden="false" customHeight="true" outlineLevel="0" collapsed="false">
      <c r="A485" s="15" t="s">
        <v>148</v>
      </c>
      <c r="B485" s="15" t="s">
        <v>149</v>
      </c>
      <c r="C485" s="15" t="s">
        <v>759</v>
      </c>
      <c r="D485" s="15" t="s">
        <v>798</v>
      </c>
      <c r="E485" s="15"/>
      <c r="F485" s="15" t="s">
        <v>716</v>
      </c>
      <c r="G485" s="15" t="s">
        <v>112</v>
      </c>
      <c r="H485" s="15"/>
    </row>
    <row r="486" customFormat="false" ht="15" hidden="false" customHeight="true" outlineLevel="0" collapsed="false">
      <c r="A486" s="15" t="s">
        <v>148</v>
      </c>
      <c r="B486" s="15" t="s">
        <v>149</v>
      </c>
      <c r="C486" s="15" t="s">
        <v>761</v>
      </c>
      <c r="D486" s="15" t="s">
        <v>755</v>
      </c>
      <c r="E486" s="15"/>
      <c r="F486" s="15" t="s">
        <v>716</v>
      </c>
      <c r="G486" s="15" t="s">
        <v>112</v>
      </c>
      <c r="H486" s="15"/>
    </row>
    <row r="487" customFormat="false" ht="15" hidden="false" customHeight="true" outlineLevel="0" collapsed="false">
      <c r="A487" s="15" t="s">
        <v>148</v>
      </c>
      <c r="B487" s="15" t="s">
        <v>149</v>
      </c>
      <c r="C487" s="15" t="s">
        <v>762</v>
      </c>
      <c r="D487" s="15" t="s">
        <v>755</v>
      </c>
      <c r="E487" s="15"/>
      <c r="F487" s="15" t="s">
        <v>716</v>
      </c>
      <c r="G487" s="15" t="s">
        <v>112</v>
      </c>
      <c r="H487" s="15"/>
    </row>
    <row r="488" customFormat="false" ht="15" hidden="false" customHeight="true" outlineLevel="0" collapsed="false">
      <c r="A488" s="15" t="s">
        <v>148</v>
      </c>
      <c r="B488" s="15" t="s">
        <v>149</v>
      </c>
      <c r="C488" s="15" t="s">
        <v>92</v>
      </c>
      <c r="D488" s="15" t="s">
        <v>755</v>
      </c>
      <c r="E488" s="15"/>
      <c r="F488" s="15" t="s">
        <v>716</v>
      </c>
      <c r="G488" s="15" t="s">
        <v>112</v>
      </c>
      <c r="H488" s="15"/>
    </row>
    <row r="489" customFormat="false" ht="15" hidden="false" customHeight="true" outlineLevel="0" collapsed="false">
      <c r="A489" s="15" t="s">
        <v>148</v>
      </c>
      <c r="B489" s="15" t="s">
        <v>149</v>
      </c>
      <c r="C489" s="15" t="s">
        <v>763</v>
      </c>
      <c r="D489" s="15" t="s">
        <v>807</v>
      </c>
      <c r="E489" s="15"/>
      <c r="F489" s="15" t="s">
        <v>716</v>
      </c>
      <c r="G489" s="15" t="s">
        <v>112</v>
      </c>
      <c r="H489" s="15"/>
    </row>
    <row r="490" customFormat="false" ht="15" hidden="false" customHeight="true" outlineLevel="0" collapsed="false">
      <c r="A490" s="15" t="s">
        <v>148</v>
      </c>
      <c r="B490" s="15" t="s">
        <v>149</v>
      </c>
      <c r="C490" s="15" t="s">
        <v>764</v>
      </c>
      <c r="D490" s="15" t="s">
        <v>755</v>
      </c>
      <c r="E490" s="15"/>
      <c r="F490" s="15" t="s">
        <v>716</v>
      </c>
      <c r="G490" s="15" t="s">
        <v>112</v>
      </c>
      <c r="H490" s="15"/>
    </row>
    <row r="491" customFormat="false" ht="15" hidden="false" customHeight="true" outlineLevel="0" collapsed="false">
      <c r="A491" s="15" t="s">
        <v>148</v>
      </c>
      <c r="B491" s="15" t="s">
        <v>149</v>
      </c>
      <c r="C491" s="15" t="s">
        <v>765</v>
      </c>
      <c r="D491" s="15" t="s">
        <v>799</v>
      </c>
      <c r="E491" s="15"/>
      <c r="F491" s="15" t="s">
        <v>716</v>
      </c>
      <c r="G491" s="15" t="s">
        <v>112</v>
      </c>
      <c r="H491" s="15"/>
    </row>
    <row r="492" customFormat="false" ht="15" hidden="false" customHeight="true" outlineLevel="0" collapsed="false">
      <c r="A492" s="15" t="s">
        <v>148</v>
      </c>
      <c r="B492" s="15" t="s">
        <v>149</v>
      </c>
      <c r="C492" s="15" t="s">
        <v>767</v>
      </c>
      <c r="D492" s="15" t="s">
        <v>768</v>
      </c>
      <c r="E492" s="15"/>
      <c r="F492" s="15" t="s">
        <v>716</v>
      </c>
      <c r="G492" s="15" t="s">
        <v>112</v>
      </c>
      <c r="H492" s="15"/>
    </row>
    <row r="493" customFormat="false" ht="26.25" hidden="false" customHeight="true" outlineLevel="0" collapsed="false">
      <c r="A493" s="15" t="s">
        <v>148</v>
      </c>
      <c r="B493" s="15" t="s">
        <v>149</v>
      </c>
      <c r="C493" s="15" t="s">
        <v>769</v>
      </c>
      <c r="D493" s="15" t="n">
        <v>5</v>
      </c>
      <c r="E493" s="15" t="s">
        <v>721</v>
      </c>
      <c r="F493" s="15" t="s">
        <v>770</v>
      </c>
      <c r="G493" s="15" t="s">
        <v>293</v>
      </c>
      <c r="H493" s="15" t="s">
        <v>771</v>
      </c>
    </row>
    <row r="494" customFormat="false" ht="26.25" hidden="false" customHeight="true" outlineLevel="0" collapsed="false">
      <c r="A494" s="15" t="s">
        <v>148</v>
      </c>
      <c r="B494" s="15" t="s">
        <v>149</v>
      </c>
      <c r="C494" s="15" t="s">
        <v>772</v>
      </c>
      <c r="D494" s="15" t="n">
        <v>50000</v>
      </c>
      <c r="E494" s="15" t="s">
        <v>773</v>
      </c>
      <c r="F494" s="15" t="s">
        <v>770</v>
      </c>
      <c r="G494" s="15" t="s">
        <v>293</v>
      </c>
      <c r="H494" s="15" t="s">
        <v>774</v>
      </c>
    </row>
    <row r="495" customFormat="false" ht="26.25" hidden="false" customHeight="true" outlineLevel="0" collapsed="false">
      <c r="A495" s="15" t="s">
        <v>148</v>
      </c>
      <c r="B495" s="15" t="s">
        <v>149</v>
      </c>
      <c r="C495" s="15" t="s">
        <v>775</v>
      </c>
      <c r="D495" s="15" t="n">
        <v>75000</v>
      </c>
      <c r="E495" s="15" t="s">
        <v>773</v>
      </c>
      <c r="F495" s="15" t="s">
        <v>770</v>
      </c>
      <c r="G495" s="15" t="s">
        <v>293</v>
      </c>
      <c r="H495" s="15" t="s">
        <v>774</v>
      </c>
    </row>
    <row r="496" customFormat="false" ht="39" hidden="false" customHeight="true" outlineLevel="0" collapsed="false">
      <c r="A496" s="15" t="s">
        <v>148</v>
      </c>
      <c r="B496" s="15" t="s">
        <v>149</v>
      </c>
      <c r="C496" s="15" t="s">
        <v>776</v>
      </c>
      <c r="D496" s="15" t="s">
        <v>800</v>
      </c>
      <c r="E496" s="15"/>
      <c r="F496" s="15" t="s">
        <v>778</v>
      </c>
      <c r="G496" s="15" t="s">
        <v>293</v>
      </c>
      <c r="H496" s="15" t="s">
        <v>779</v>
      </c>
    </row>
    <row r="497" customFormat="false" ht="39" hidden="false" customHeight="true" outlineLevel="0" collapsed="false">
      <c r="A497" s="15" t="s">
        <v>148</v>
      </c>
      <c r="B497" s="15" t="s">
        <v>149</v>
      </c>
      <c r="C497" s="15" t="s">
        <v>780</v>
      </c>
      <c r="D497" s="15" t="s">
        <v>781</v>
      </c>
      <c r="E497" s="15"/>
      <c r="F497" s="15" t="s">
        <v>778</v>
      </c>
      <c r="G497" s="15" t="s">
        <v>293</v>
      </c>
      <c r="H497" s="15" t="s">
        <v>779</v>
      </c>
    </row>
    <row r="498" customFormat="false" ht="39" hidden="false" customHeight="true" outlineLevel="0" collapsed="false">
      <c r="A498" s="15" t="s">
        <v>148</v>
      </c>
      <c r="B498" s="15" t="s">
        <v>149</v>
      </c>
      <c r="C498" s="15" t="s">
        <v>782</v>
      </c>
      <c r="D498" s="15" t="n">
        <v>36</v>
      </c>
      <c r="E498" s="15" t="s">
        <v>783</v>
      </c>
      <c r="F498" s="15" t="s">
        <v>778</v>
      </c>
      <c r="G498" s="15" t="s">
        <v>293</v>
      </c>
      <c r="H498" s="15" t="s">
        <v>779</v>
      </c>
    </row>
    <row r="499" customFormat="false" ht="39" hidden="false" customHeight="true" outlineLevel="0" collapsed="false">
      <c r="A499" s="15" t="s">
        <v>148</v>
      </c>
      <c r="B499" s="15" t="s">
        <v>149</v>
      </c>
      <c r="C499" s="15" t="s">
        <v>784</v>
      </c>
      <c r="D499" s="15" t="n">
        <v>11</v>
      </c>
      <c r="E499" s="15" t="s">
        <v>738</v>
      </c>
      <c r="F499" s="15" t="s">
        <v>778</v>
      </c>
      <c r="G499" s="15" t="s">
        <v>293</v>
      </c>
      <c r="H499" s="15" t="s">
        <v>779</v>
      </c>
    </row>
    <row r="500" customFormat="false" ht="39" hidden="false" customHeight="true" outlineLevel="0" collapsed="false">
      <c r="A500" s="15" t="s">
        <v>148</v>
      </c>
      <c r="B500" s="15" t="s">
        <v>149</v>
      </c>
      <c r="C500" s="15" t="s">
        <v>785</v>
      </c>
      <c r="D500" s="15" t="n">
        <v>409</v>
      </c>
      <c r="E500" s="15" t="s">
        <v>786</v>
      </c>
      <c r="F500" s="15" t="s">
        <v>778</v>
      </c>
      <c r="G500" s="15" t="s">
        <v>293</v>
      </c>
      <c r="H500" s="15" t="s">
        <v>779</v>
      </c>
    </row>
    <row r="501" customFormat="false" ht="39" hidden="false" customHeight="true" outlineLevel="0" collapsed="false">
      <c r="A501" s="15" t="s">
        <v>148</v>
      </c>
      <c r="B501" s="15" t="s">
        <v>149</v>
      </c>
      <c r="C501" s="15" t="s">
        <v>787</v>
      </c>
      <c r="D501" s="15" t="s">
        <v>788</v>
      </c>
      <c r="E501" s="15"/>
      <c r="F501" s="15" t="s">
        <v>778</v>
      </c>
      <c r="G501" s="15" t="s">
        <v>293</v>
      </c>
      <c r="H501" s="15" t="s">
        <v>779</v>
      </c>
    </row>
    <row r="502" customFormat="false" ht="39" hidden="false" customHeight="true" outlineLevel="0" collapsed="false">
      <c r="A502" s="15" t="s">
        <v>148</v>
      </c>
      <c r="B502" s="15" t="s">
        <v>149</v>
      </c>
      <c r="C502" s="15" t="s">
        <v>789</v>
      </c>
      <c r="D502" s="15" t="s">
        <v>790</v>
      </c>
      <c r="E502" s="15"/>
      <c r="F502" s="15" t="s">
        <v>778</v>
      </c>
      <c r="G502" s="15" t="s">
        <v>293</v>
      </c>
      <c r="H502" s="15" t="s">
        <v>779</v>
      </c>
    </row>
    <row r="503" customFormat="false" ht="39" hidden="false" customHeight="true" outlineLevel="0" collapsed="false">
      <c r="A503" s="15" t="s">
        <v>148</v>
      </c>
      <c r="B503" s="15" t="s">
        <v>149</v>
      </c>
      <c r="C503" s="15" t="s">
        <v>791</v>
      </c>
      <c r="D503" s="15" t="s">
        <v>792</v>
      </c>
      <c r="E503" s="15"/>
      <c r="F503" s="15" t="s">
        <v>778</v>
      </c>
      <c r="G503" s="15" t="s">
        <v>293</v>
      </c>
      <c r="H503" s="15" t="s">
        <v>779</v>
      </c>
    </row>
    <row r="504" customFormat="false" ht="26.25" hidden="false" customHeight="true" outlineLevel="0" collapsed="false">
      <c r="A504" s="15" t="s">
        <v>183</v>
      </c>
      <c r="B504" s="15" t="s">
        <v>184</v>
      </c>
      <c r="C504" s="15" t="s">
        <v>714</v>
      </c>
      <c r="D504" s="15" t="n">
        <v>360</v>
      </c>
      <c r="E504" s="15" t="s">
        <v>715</v>
      </c>
      <c r="F504" s="15" t="s">
        <v>716</v>
      </c>
      <c r="G504" s="15" t="s">
        <v>112</v>
      </c>
      <c r="H504" s="15" t="s">
        <v>717</v>
      </c>
    </row>
    <row r="505" customFormat="false" ht="15" hidden="false" customHeight="true" outlineLevel="0" collapsed="false">
      <c r="A505" s="15" t="s">
        <v>183</v>
      </c>
      <c r="B505" s="15" t="s">
        <v>184</v>
      </c>
      <c r="C505" s="15" t="s">
        <v>718</v>
      </c>
      <c r="D505" s="15" t="s">
        <v>113</v>
      </c>
      <c r="E505" s="15"/>
      <c r="F505" s="15" t="s">
        <v>716</v>
      </c>
      <c r="G505" s="15" t="s">
        <v>112</v>
      </c>
      <c r="H505" s="15"/>
    </row>
    <row r="506" customFormat="false" ht="15" hidden="false" customHeight="true" outlineLevel="0" collapsed="false">
      <c r="A506" s="15" t="s">
        <v>183</v>
      </c>
      <c r="B506" s="15" t="s">
        <v>184</v>
      </c>
      <c r="C506" s="15" t="s">
        <v>719</v>
      </c>
      <c r="D506" s="15" t="n">
        <v>20</v>
      </c>
      <c r="E506" s="15" t="s">
        <v>720</v>
      </c>
      <c r="F506" s="15" t="s">
        <v>716</v>
      </c>
      <c r="G506" s="15" t="s">
        <v>112</v>
      </c>
      <c r="H506" s="15"/>
    </row>
    <row r="507" customFormat="false" ht="15" hidden="false" customHeight="true" outlineLevel="0" collapsed="false">
      <c r="A507" s="15" t="s">
        <v>183</v>
      </c>
      <c r="B507" s="15" t="s">
        <v>184</v>
      </c>
      <c r="C507" s="15" t="s">
        <v>86</v>
      </c>
      <c r="D507" s="15" t="n">
        <v>6</v>
      </c>
      <c r="E507" s="15" t="s">
        <v>721</v>
      </c>
      <c r="F507" s="15" t="s">
        <v>716</v>
      </c>
      <c r="G507" s="15" t="s">
        <v>112</v>
      </c>
      <c r="H507" s="15"/>
    </row>
    <row r="508" customFormat="false" ht="15" hidden="false" customHeight="true" outlineLevel="0" collapsed="false">
      <c r="A508" s="15" t="s">
        <v>183</v>
      </c>
      <c r="B508" s="15" t="s">
        <v>184</v>
      </c>
      <c r="C508" s="15" t="s">
        <v>722</v>
      </c>
      <c r="D508" s="15" t="n">
        <v>455</v>
      </c>
      <c r="E508" s="15" t="s">
        <v>723</v>
      </c>
      <c r="F508" s="15" t="s">
        <v>716</v>
      </c>
      <c r="G508" s="15" t="s">
        <v>112</v>
      </c>
      <c r="H508" s="15"/>
    </row>
    <row r="509" customFormat="false" ht="15" hidden="false" customHeight="true" outlineLevel="0" collapsed="false">
      <c r="A509" s="15" t="s">
        <v>183</v>
      </c>
      <c r="B509" s="15" t="s">
        <v>184</v>
      </c>
      <c r="C509" s="15" t="s">
        <v>724</v>
      </c>
      <c r="D509" s="15" t="n">
        <v>45</v>
      </c>
      <c r="E509" s="15" t="s">
        <v>723</v>
      </c>
      <c r="F509" s="15" t="s">
        <v>716</v>
      </c>
      <c r="G509" s="15" t="s">
        <v>112</v>
      </c>
      <c r="H509" s="15"/>
    </row>
    <row r="510" customFormat="false" ht="15" hidden="false" customHeight="true" outlineLevel="0" collapsed="false">
      <c r="A510" s="15" t="s">
        <v>183</v>
      </c>
      <c r="B510" s="15" t="s">
        <v>184</v>
      </c>
      <c r="C510" s="15" t="s">
        <v>84</v>
      </c>
      <c r="D510" s="15" t="n">
        <v>207</v>
      </c>
      <c r="E510" s="15" t="s">
        <v>725</v>
      </c>
      <c r="F510" s="15" t="s">
        <v>716</v>
      </c>
      <c r="G510" s="15" t="s">
        <v>112</v>
      </c>
      <c r="H510" s="15"/>
    </row>
    <row r="511" customFormat="false" ht="15" hidden="false" customHeight="true" outlineLevel="0" collapsed="false">
      <c r="A511" s="15" t="s">
        <v>183</v>
      </c>
      <c r="B511" s="15" t="s">
        <v>184</v>
      </c>
      <c r="C511" s="15" t="s">
        <v>726</v>
      </c>
      <c r="D511" s="15" t="n">
        <v>4371</v>
      </c>
      <c r="E511" s="15" t="s">
        <v>725</v>
      </c>
      <c r="F511" s="15" t="s">
        <v>716</v>
      </c>
      <c r="G511" s="15" t="s">
        <v>112</v>
      </c>
      <c r="H511" s="15"/>
    </row>
    <row r="512" customFormat="false" ht="15" hidden="false" customHeight="true" outlineLevel="0" collapsed="false">
      <c r="A512" s="15" t="s">
        <v>183</v>
      </c>
      <c r="B512" s="15" t="s">
        <v>184</v>
      </c>
      <c r="C512" s="15" t="s">
        <v>727</v>
      </c>
      <c r="D512" s="15" t="n">
        <v>1907</v>
      </c>
      <c r="E512" s="15" t="s">
        <v>725</v>
      </c>
      <c r="F512" s="15" t="s">
        <v>716</v>
      </c>
      <c r="G512" s="15" t="s">
        <v>112</v>
      </c>
      <c r="H512" s="15"/>
    </row>
    <row r="513" customFormat="false" ht="15" hidden="false" customHeight="true" outlineLevel="0" collapsed="false">
      <c r="A513" s="15" t="s">
        <v>183</v>
      </c>
      <c r="B513" s="15" t="s">
        <v>184</v>
      </c>
      <c r="C513" s="15" t="s">
        <v>728</v>
      </c>
      <c r="D513" s="15" t="n">
        <v>1627</v>
      </c>
      <c r="E513" s="15" t="s">
        <v>725</v>
      </c>
      <c r="F513" s="15" t="s">
        <v>716</v>
      </c>
      <c r="G513" s="15" t="s">
        <v>112</v>
      </c>
      <c r="H513" s="15"/>
    </row>
    <row r="514" customFormat="false" ht="15" hidden="false" customHeight="true" outlineLevel="0" collapsed="false">
      <c r="A514" s="15" t="s">
        <v>183</v>
      </c>
      <c r="B514" s="15" t="s">
        <v>184</v>
      </c>
      <c r="C514" s="15" t="s">
        <v>729</v>
      </c>
      <c r="D514" s="15" t="n">
        <v>2775</v>
      </c>
      <c r="E514" s="15" t="s">
        <v>725</v>
      </c>
      <c r="F514" s="15" t="s">
        <v>716</v>
      </c>
      <c r="G514" s="15" t="s">
        <v>112</v>
      </c>
      <c r="H514" s="15"/>
    </row>
    <row r="515" customFormat="false" ht="15" hidden="false" customHeight="true" outlineLevel="0" collapsed="false">
      <c r="A515" s="15" t="s">
        <v>183</v>
      </c>
      <c r="B515" s="15" t="s">
        <v>184</v>
      </c>
      <c r="C515" s="15" t="s">
        <v>730</v>
      </c>
      <c r="D515" s="15" t="n">
        <v>10</v>
      </c>
      <c r="E515" s="15" t="s">
        <v>731</v>
      </c>
      <c r="F515" s="15" t="s">
        <v>716</v>
      </c>
      <c r="G515" s="15" t="s">
        <v>112</v>
      </c>
      <c r="H515" s="15"/>
    </row>
    <row r="516" customFormat="false" ht="26.25" hidden="false" customHeight="true" outlineLevel="0" collapsed="false">
      <c r="A516" s="15" t="s">
        <v>183</v>
      </c>
      <c r="B516" s="15" t="s">
        <v>184</v>
      </c>
      <c r="C516" s="15" t="s">
        <v>98</v>
      </c>
      <c r="D516" s="15" t="s">
        <v>732</v>
      </c>
      <c r="E516" s="15"/>
      <c r="F516" s="15" t="s">
        <v>716</v>
      </c>
      <c r="G516" s="15" t="s">
        <v>112</v>
      </c>
      <c r="H516" s="15"/>
    </row>
    <row r="517" customFormat="false" ht="26.25" hidden="false" customHeight="true" outlineLevel="0" collapsed="false">
      <c r="A517" s="15" t="s">
        <v>183</v>
      </c>
      <c r="B517" s="15" t="s">
        <v>184</v>
      </c>
      <c r="C517" s="15" t="s">
        <v>733</v>
      </c>
      <c r="D517" s="15" t="s">
        <v>808</v>
      </c>
      <c r="E517" s="15"/>
      <c r="F517" s="15" t="s">
        <v>735</v>
      </c>
      <c r="G517" s="15" t="s">
        <v>112</v>
      </c>
      <c r="H517" s="15" t="s">
        <v>736</v>
      </c>
    </row>
    <row r="518" customFormat="false" ht="15" hidden="false" customHeight="true" outlineLevel="0" collapsed="false">
      <c r="A518" s="15" t="s">
        <v>183</v>
      </c>
      <c r="B518" s="15" t="s">
        <v>184</v>
      </c>
      <c r="C518" s="15" t="s">
        <v>737</v>
      </c>
      <c r="D518" s="15" t="n">
        <v>210</v>
      </c>
      <c r="E518" s="15" t="s">
        <v>738</v>
      </c>
      <c r="F518" s="15" t="s">
        <v>716</v>
      </c>
      <c r="G518" s="15" t="s">
        <v>112</v>
      </c>
      <c r="H518" s="15"/>
    </row>
    <row r="519" customFormat="false" ht="15" hidden="false" customHeight="true" outlineLevel="0" collapsed="false">
      <c r="A519" s="15" t="s">
        <v>183</v>
      </c>
      <c r="B519" s="15" t="s">
        <v>184</v>
      </c>
      <c r="C519" s="15" t="s">
        <v>739</v>
      </c>
      <c r="D519" s="15" t="n">
        <v>180</v>
      </c>
      <c r="E519" s="15" t="s">
        <v>738</v>
      </c>
      <c r="F519" s="15" t="s">
        <v>716</v>
      </c>
      <c r="G519" s="15" t="s">
        <v>112</v>
      </c>
      <c r="H519" s="15"/>
    </row>
    <row r="520" customFormat="false" ht="26.25" hidden="false" customHeight="true" outlineLevel="0" collapsed="false">
      <c r="A520" s="15" t="s">
        <v>183</v>
      </c>
      <c r="B520" s="15" t="s">
        <v>184</v>
      </c>
      <c r="C520" s="15" t="s">
        <v>740</v>
      </c>
      <c r="D520" s="15" t="n">
        <v>8</v>
      </c>
      <c r="E520" s="15" t="s">
        <v>741</v>
      </c>
      <c r="F520" s="15" t="s">
        <v>716</v>
      </c>
      <c r="G520" s="15" t="s">
        <v>112</v>
      </c>
      <c r="H520" s="15"/>
    </row>
    <row r="521" customFormat="false" ht="15" hidden="false" customHeight="true" outlineLevel="0" collapsed="false">
      <c r="A521" s="15" t="s">
        <v>183</v>
      </c>
      <c r="B521" s="15" t="s">
        <v>184</v>
      </c>
      <c r="C521" s="15" t="s">
        <v>742</v>
      </c>
      <c r="D521" s="15" t="n">
        <v>11.7</v>
      </c>
      <c r="E521" s="15" t="s">
        <v>741</v>
      </c>
      <c r="F521" s="15" t="s">
        <v>716</v>
      </c>
      <c r="G521" s="15" t="s">
        <v>112</v>
      </c>
      <c r="H521" s="15"/>
    </row>
    <row r="522" customFormat="false" ht="15" hidden="false" customHeight="true" outlineLevel="0" collapsed="false">
      <c r="A522" s="15" t="s">
        <v>183</v>
      </c>
      <c r="B522" s="15" t="s">
        <v>184</v>
      </c>
      <c r="C522" s="15" t="s">
        <v>743</v>
      </c>
      <c r="D522" s="15" t="s">
        <v>793</v>
      </c>
      <c r="E522" s="15"/>
      <c r="F522" s="15" t="s">
        <v>716</v>
      </c>
      <c r="G522" s="15" t="s">
        <v>112</v>
      </c>
      <c r="H522" s="15"/>
    </row>
    <row r="523" customFormat="false" ht="15" hidden="false" customHeight="true" outlineLevel="0" collapsed="false">
      <c r="A523" s="15" t="s">
        <v>183</v>
      </c>
      <c r="B523" s="15" t="s">
        <v>184</v>
      </c>
      <c r="C523" s="15" t="s">
        <v>745</v>
      </c>
      <c r="D523" s="15" t="s">
        <v>794</v>
      </c>
      <c r="E523" s="15"/>
      <c r="F523" s="15" t="s">
        <v>716</v>
      </c>
      <c r="G523" s="15" t="s">
        <v>112</v>
      </c>
      <c r="H523" s="15"/>
    </row>
    <row r="524" customFormat="false" ht="15" hidden="false" customHeight="true" outlineLevel="0" collapsed="false">
      <c r="A524" s="15" t="s">
        <v>183</v>
      </c>
      <c r="B524" s="15" t="s">
        <v>184</v>
      </c>
      <c r="C524" s="15" t="s">
        <v>747</v>
      </c>
      <c r="D524" s="15" t="s">
        <v>801</v>
      </c>
      <c r="E524" s="15"/>
      <c r="F524" s="15" t="s">
        <v>716</v>
      </c>
      <c r="G524" s="15" t="s">
        <v>112</v>
      </c>
      <c r="H524" s="15"/>
    </row>
    <row r="525" customFormat="false" ht="15" hidden="false" customHeight="true" outlineLevel="0" collapsed="false">
      <c r="A525" s="15" t="s">
        <v>183</v>
      </c>
      <c r="B525" s="15" t="s">
        <v>184</v>
      </c>
      <c r="C525" s="15" t="s">
        <v>749</v>
      </c>
      <c r="D525" s="15" t="s">
        <v>806</v>
      </c>
      <c r="E525" s="15"/>
      <c r="F525" s="15" t="s">
        <v>716</v>
      </c>
      <c r="G525" s="15" t="s">
        <v>112</v>
      </c>
      <c r="H525" s="15" t="s">
        <v>751</v>
      </c>
    </row>
    <row r="526" customFormat="false" ht="15" hidden="false" customHeight="true" outlineLevel="0" collapsed="false">
      <c r="A526" s="15" t="s">
        <v>183</v>
      </c>
      <c r="B526" s="15" t="s">
        <v>184</v>
      </c>
      <c r="C526" s="15" t="s">
        <v>752</v>
      </c>
      <c r="D526" s="15" t="s">
        <v>796</v>
      </c>
      <c r="E526" s="15"/>
      <c r="F526" s="15" t="s">
        <v>716</v>
      </c>
      <c r="G526" s="15" t="s">
        <v>112</v>
      </c>
      <c r="H526" s="15"/>
    </row>
    <row r="527" customFormat="false" ht="15" hidden="false" customHeight="true" outlineLevel="0" collapsed="false">
      <c r="A527" s="15" t="s">
        <v>183</v>
      </c>
      <c r="B527" s="15" t="s">
        <v>184</v>
      </c>
      <c r="C527" s="15" t="s">
        <v>90</v>
      </c>
      <c r="D527" s="15" t="s">
        <v>802</v>
      </c>
      <c r="E527" s="15"/>
      <c r="F527" s="15" t="s">
        <v>716</v>
      </c>
      <c r="G527" s="15" t="s">
        <v>112</v>
      </c>
      <c r="H527" s="15"/>
    </row>
    <row r="528" customFormat="false" ht="15" hidden="false" customHeight="true" outlineLevel="0" collapsed="false">
      <c r="A528" s="15" t="s">
        <v>183</v>
      </c>
      <c r="B528" s="15" t="s">
        <v>184</v>
      </c>
      <c r="C528" s="15" t="s">
        <v>754</v>
      </c>
      <c r="D528" s="15" t="s">
        <v>803</v>
      </c>
      <c r="E528" s="15"/>
      <c r="F528" s="15" t="s">
        <v>716</v>
      </c>
      <c r="G528" s="15" t="s">
        <v>112</v>
      </c>
      <c r="H528" s="15"/>
    </row>
    <row r="529" customFormat="false" ht="15" hidden="false" customHeight="true" outlineLevel="0" collapsed="false">
      <c r="A529" s="15" t="s">
        <v>183</v>
      </c>
      <c r="B529" s="15" t="s">
        <v>184</v>
      </c>
      <c r="C529" s="15" t="s">
        <v>756</v>
      </c>
      <c r="D529" s="15" t="s">
        <v>804</v>
      </c>
      <c r="E529" s="15"/>
      <c r="F529" s="15" t="s">
        <v>716</v>
      </c>
      <c r="G529" s="15" t="s">
        <v>112</v>
      </c>
      <c r="H529" s="15"/>
    </row>
    <row r="530" customFormat="false" ht="15" hidden="false" customHeight="true" outlineLevel="0" collapsed="false">
      <c r="A530" s="15" t="s">
        <v>183</v>
      </c>
      <c r="B530" s="15" t="s">
        <v>184</v>
      </c>
      <c r="C530" s="15" t="s">
        <v>757</v>
      </c>
      <c r="D530" s="15" t="s">
        <v>797</v>
      </c>
      <c r="E530" s="15"/>
      <c r="F530" s="15" t="s">
        <v>716</v>
      </c>
      <c r="G530" s="15" t="s">
        <v>112</v>
      </c>
      <c r="H530" s="15"/>
    </row>
    <row r="531" customFormat="false" ht="15" hidden="false" customHeight="true" outlineLevel="0" collapsed="false">
      <c r="A531" s="15" t="s">
        <v>183</v>
      </c>
      <c r="B531" s="15" t="s">
        <v>184</v>
      </c>
      <c r="C531" s="15" t="s">
        <v>759</v>
      </c>
      <c r="D531" s="15" t="s">
        <v>798</v>
      </c>
      <c r="E531" s="15"/>
      <c r="F531" s="15" t="s">
        <v>716</v>
      </c>
      <c r="G531" s="15" t="s">
        <v>112</v>
      </c>
      <c r="H531" s="15"/>
    </row>
    <row r="532" customFormat="false" ht="15" hidden="false" customHeight="true" outlineLevel="0" collapsed="false">
      <c r="A532" s="15" t="s">
        <v>183</v>
      </c>
      <c r="B532" s="15" t="s">
        <v>184</v>
      </c>
      <c r="C532" s="15" t="s">
        <v>761</v>
      </c>
      <c r="D532" s="15" t="s">
        <v>755</v>
      </c>
      <c r="E532" s="15"/>
      <c r="F532" s="15" t="s">
        <v>716</v>
      </c>
      <c r="G532" s="15" t="s">
        <v>112</v>
      </c>
      <c r="H532" s="15"/>
    </row>
    <row r="533" customFormat="false" ht="15" hidden="false" customHeight="true" outlineLevel="0" collapsed="false">
      <c r="A533" s="15" t="s">
        <v>183</v>
      </c>
      <c r="B533" s="15" t="s">
        <v>184</v>
      </c>
      <c r="C533" s="15" t="s">
        <v>762</v>
      </c>
      <c r="D533" s="15" t="s">
        <v>755</v>
      </c>
      <c r="E533" s="15"/>
      <c r="F533" s="15" t="s">
        <v>716</v>
      </c>
      <c r="G533" s="15" t="s">
        <v>112</v>
      </c>
      <c r="H533" s="15"/>
    </row>
    <row r="534" customFormat="false" ht="15" hidden="false" customHeight="true" outlineLevel="0" collapsed="false">
      <c r="A534" s="15" t="s">
        <v>183</v>
      </c>
      <c r="B534" s="15" t="s">
        <v>184</v>
      </c>
      <c r="C534" s="15" t="s">
        <v>92</v>
      </c>
      <c r="D534" s="15" t="s">
        <v>755</v>
      </c>
      <c r="E534" s="15"/>
      <c r="F534" s="15" t="s">
        <v>716</v>
      </c>
      <c r="G534" s="15" t="s">
        <v>112</v>
      </c>
      <c r="H534" s="15"/>
    </row>
    <row r="535" customFormat="false" ht="15" hidden="false" customHeight="true" outlineLevel="0" collapsed="false">
      <c r="A535" s="15" t="s">
        <v>183</v>
      </c>
      <c r="B535" s="15" t="s">
        <v>184</v>
      </c>
      <c r="C535" s="15" t="s">
        <v>763</v>
      </c>
      <c r="D535" s="15" t="s">
        <v>807</v>
      </c>
      <c r="E535" s="15"/>
      <c r="F535" s="15" t="s">
        <v>716</v>
      </c>
      <c r="G535" s="15" t="s">
        <v>112</v>
      </c>
      <c r="H535" s="15"/>
    </row>
    <row r="536" customFormat="false" ht="15" hidden="false" customHeight="true" outlineLevel="0" collapsed="false">
      <c r="A536" s="15" t="s">
        <v>183</v>
      </c>
      <c r="B536" s="15" t="s">
        <v>184</v>
      </c>
      <c r="C536" s="15" t="s">
        <v>764</v>
      </c>
      <c r="D536" s="15" t="s">
        <v>755</v>
      </c>
      <c r="E536" s="15"/>
      <c r="F536" s="15" t="s">
        <v>716</v>
      </c>
      <c r="G536" s="15" t="s">
        <v>112</v>
      </c>
      <c r="H536" s="15"/>
    </row>
    <row r="537" customFormat="false" ht="15" hidden="false" customHeight="true" outlineLevel="0" collapsed="false">
      <c r="A537" s="15" t="s">
        <v>183</v>
      </c>
      <c r="B537" s="15" t="s">
        <v>184</v>
      </c>
      <c r="C537" s="15" t="s">
        <v>765</v>
      </c>
      <c r="D537" s="15" t="s">
        <v>799</v>
      </c>
      <c r="E537" s="15"/>
      <c r="F537" s="15" t="s">
        <v>716</v>
      </c>
      <c r="G537" s="15" t="s">
        <v>112</v>
      </c>
      <c r="H537" s="15"/>
    </row>
    <row r="538" customFormat="false" ht="15" hidden="false" customHeight="true" outlineLevel="0" collapsed="false">
      <c r="A538" s="15" t="s">
        <v>183</v>
      </c>
      <c r="B538" s="15" t="s">
        <v>184</v>
      </c>
      <c r="C538" s="15" t="s">
        <v>767</v>
      </c>
      <c r="D538" s="15" t="s">
        <v>768</v>
      </c>
      <c r="E538" s="15"/>
      <c r="F538" s="15" t="s">
        <v>716</v>
      </c>
      <c r="G538" s="15" t="s">
        <v>112</v>
      </c>
      <c r="H538" s="15"/>
    </row>
    <row r="539" customFormat="false" ht="26.25" hidden="false" customHeight="true" outlineLevel="0" collapsed="false">
      <c r="A539" s="15" t="s">
        <v>183</v>
      </c>
      <c r="B539" s="15" t="s">
        <v>184</v>
      </c>
      <c r="C539" s="15" t="s">
        <v>769</v>
      </c>
      <c r="D539" s="15" t="n">
        <v>5</v>
      </c>
      <c r="E539" s="15" t="s">
        <v>721</v>
      </c>
      <c r="F539" s="15" t="s">
        <v>770</v>
      </c>
      <c r="G539" s="15" t="s">
        <v>293</v>
      </c>
      <c r="H539" s="15" t="s">
        <v>771</v>
      </c>
    </row>
    <row r="540" customFormat="false" ht="26.25" hidden="false" customHeight="true" outlineLevel="0" collapsed="false">
      <c r="A540" s="15" t="s">
        <v>183</v>
      </c>
      <c r="B540" s="15" t="s">
        <v>184</v>
      </c>
      <c r="C540" s="15" t="s">
        <v>772</v>
      </c>
      <c r="D540" s="15" t="n">
        <v>50000</v>
      </c>
      <c r="E540" s="15" t="s">
        <v>773</v>
      </c>
      <c r="F540" s="15" t="s">
        <v>770</v>
      </c>
      <c r="G540" s="15" t="s">
        <v>293</v>
      </c>
      <c r="H540" s="15" t="s">
        <v>774</v>
      </c>
    </row>
    <row r="541" customFormat="false" ht="26.25" hidden="false" customHeight="true" outlineLevel="0" collapsed="false">
      <c r="A541" s="15" t="s">
        <v>183</v>
      </c>
      <c r="B541" s="15" t="s">
        <v>184</v>
      </c>
      <c r="C541" s="15" t="s">
        <v>775</v>
      </c>
      <c r="D541" s="15" t="n">
        <v>75000</v>
      </c>
      <c r="E541" s="15" t="s">
        <v>773</v>
      </c>
      <c r="F541" s="15" t="s">
        <v>770</v>
      </c>
      <c r="G541" s="15" t="s">
        <v>293</v>
      </c>
      <c r="H541" s="15" t="s">
        <v>774</v>
      </c>
    </row>
    <row r="542" customFormat="false" ht="39" hidden="false" customHeight="true" outlineLevel="0" collapsed="false">
      <c r="A542" s="15" t="s">
        <v>183</v>
      </c>
      <c r="B542" s="15" t="s">
        <v>184</v>
      </c>
      <c r="C542" s="15" t="s">
        <v>776</v>
      </c>
      <c r="D542" s="15" t="s">
        <v>800</v>
      </c>
      <c r="E542" s="15"/>
      <c r="F542" s="15" t="s">
        <v>778</v>
      </c>
      <c r="G542" s="15" t="s">
        <v>293</v>
      </c>
      <c r="H542" s="15" t="s">
        <v>779</v>
      </c>
    </row>
    <row r="543" customFormat="false" ht="39" hidden="false" customHeight="true" outlineLevel="0" collapsed="false">
      <c r="A543" s="15" t="s">
        <v>183</v>
      </c>
      <c r="B543" s="15" t="s">
        <v>184</v>
      </c>
      <c r="C543" s="15" t="s">
        <v>780</v>
      </c>
      <c r="D543" s="15" t="s">
        <v>781</v>
      </c>
      <c r="E543" s="15"/>
      <c r="F543" s="15" t="s">
        <v>778</v>
      </c>
      <c r="G543" s="15" t="s">
        <v>293</v>
      </c>
      <c r="H543" s="15" t="s">
        <v>779</v>
      </c>
    </row>
    <row r="544" customFormat="false" ht="39" hidden="false" customHeight="true" outlineLevel="0" collapsed="false">
      <c r="A544" s="15" t="s">
        <v>183</v>
      </c>
      <c r="B544" s="15" t="s">
        <v>184</v>
      </c>
      <c r="C544" s="15" t="s">
        <v>782</v>
      </c>
      <c r="D544" s="15" t="n">
        <v>36</v>
      </c>
      <c r="E544" s="15" t="s">
        <v>783</v>
      </c>
      <c r="F544" s="15" t="s">
        <v>778</v>
      </c>
      <c r="G544" s="15" t="s">
        <v>293</v>
      </c>
      <c r="H544" s="15" t="s">
        <v>779</v>
      </c>
    </row>
    <row r="545" customFormat="false" ht="39" hidden="false" customHeight="true" outlineLevel="0" collapsed="false">
      <c r="A545" s="15" t="s">
        <v>183</v>
      </c>
      <c r="B545" s="15" t="s">
        <v>184</v>
      </c>
      <c r="C545" s="15" t="s">
        <v>784</v>
      </c>
      <c r="D545" s="15" t="n">
        <v>11</v>
      </c>
      <c r="E545" s="15" t="s">
        <v>738</v>
      </c>
      <c r="F545" s="15" t="s">
        <v>778</v>
      </c>
      <c r="G545" s="15" t="s">
        <v>293</v>
      </c>
      <c r="H545" s="15" t="s">
        <v>779</v>
      </c>
    </row>
    <row r="546" customFormat="false" ht="39" hidden="false" customHeight="true" outlineLevel="0" collapsed="false">
      <c r="A546" s="15" t="s">
        <v>183</v>
      </c>
      <c r="B546" s="15" t="s">
        <v>184</v>
      </c>
      <c r="C546" s="15" t="s">
        <v>785</v>
      </c>
      <c r="D546" s="15" t="n">
        <v>409</v>
      </c>
      <c r="E546" s="15" t="s">
        <v>786</v>
      </c>
      <c r="F546" s="15" t="s">
        <v>778</v>
      </c>
      <c r="G546" s="15" t="s">
        <v>293</v>
      </c>
      <c r="H546" s="15" t="s">
        <v>779</v>
      </c>
    </row>
    <row r="547" customFormat="false" ht="39" hidden="false" customHeight="true" outlineLevel="0" collapsed="false">
      <c r="A547" s="15" t="s">
        <v>183</v>
      </c>
      <c r="B547" s="15" t="s">
        <v>184</v>
      </c>
      <c r="C547" s="15" t="s">
        <v>787</v>
      </c>
      <c r="D547" s="15" t="s">
        <v>788</v>
      </c>
      <c r="E547" s="15"/>
      <c r="F547" s="15" t="s">
        <v>778</v>
      </c>
      <c r="G547" s="15" t="s">
        <v>293</v>
      </c>
      <c r="H547" s="15" t="s">
        <v>779</v>
      </c>
    </row>
    <row r="548" customFormat="false" ht="39" hidden="false" customHeight="true" outlineLevel="0" collapsed="false">
      <c r="A548" s="15" t="s">
        <v>183</v>
      </c>
      <c r="B548" s="15" t="s">
        <v>184</v>
      </c>
      <c r="C548" s="15" t="s">
        <v>789</v>
      </c>
      <c r="D548" s="15" t="s">
        <v>790</v>
      </c>
      <c r="E548" s="15"/>
      <c r="F548" s="15" t="s">
        <v>778</v>
      </c>
      <c r="G548" s="15" t="s">
        <v>293</v>
      </c>
      <c r="H548" s="15" t="s">
        <v>779</v>
      </c>
    </row>
    <row r="549" customFormat="false" ht="39" hidden="false" customHeight="true" outlineLevel="0" collapsed="false">
      <c r="A549" s="15" t="s">
        <v>183</v>
      </c>
      <c r="B549" s="15" t="s">
        <v>184</v>
      </c>
      <c r="C549" s="15" t="s">
        <v>791</v>
      </c>
      <c r="D549" s="15" t="s">
        <v>792</v>
      </c>
      <c r="E549" s="15"/>
      <c r="F549" s="15" t="s">
        <v>778</v>
      </c>
      <c r="G549" s="15" t="s">
        <v>293</v>
      </c>
      <c r="H549" s="15" t="s">
        <v>779</v>
      </c>
    </row>
    <row r="550" customFormat="false" ht="26.25" hidden="false" customHeight="true" outlineLevel="0" collapsed="false">
      <c r="A550" s="15" t="s">
        <v>143</v>
      </c>
      <c r="B550" s="15" t="s">
        <v>144</v>
      </c>
      <c r="C550" s="15" t="s">
        <v>714</v>
      </c>
      <c r="D550" s="15" t="n">
        <v>360</v>
      </c>
      <c r="E550" s="15" t="s">
        <v>715</v>
      </c>
      <c r="F550" s="15" t="s">
        <v>716</v>
      </c>
      <c r="G550" s="15" t="s">
        <v>112</v>
      </c>
      <c r="H550" s="15" t="s">
        <v>717</v>
      </c>
    </row>
    <row r="551" customFormat="false" ht="15" hidden="false" customHeight="true" outlineLevel="0" collapsed="false">
      <c r="A551" s="15" t="s">
        <v>143</v>
      </c>
      <c r="B551" s="15" t="s">
        <v>144</v>
      </c>
      <c r="C551" s="15" t="s">
        <v>718</v>
      </c>
      <c r="D551" s="15" t="s">
        <v>113</v>
      </c>
      <c r="E551" s="15"/>
      <c r="F551" s="15" t="s">
        <v>716</v>
      </c>
      <c r="G551" s="15" t="s">
        <v>112</v>
      </c>
      <c r="H551" s="15"/>
    </row>
    <row r="552" customFormat="false" ht="15" hidden="false" customHeight="true" outlineLevel="0" collapsed="false">
      <c r="A552" s="15" t="s">
        <v>143</v>
      </c>
      <c r="B552" s="15" t="s">
        <v>144</v>
      </c>
      <c r="C552" s="15" t="s">
        <v>719</v>
      </c>
      <c r="D552" s="15" t="n">
        <v>20</v>
      </c>
      <c r="E552" s="15" t="s">
        <v>720</v>
      </c>
      <c r="F552" s="15" t="s">
        <v>716</v>
      </c>
      <c r="G552" s="15" t="s">
        <v>112</v>
      </c>
      <c r="H552" s="15"/>
    </row>
    <row r="553" customFormat="false" ht="15" hidden="false" customHeight="true" outlineLevel="0" collapsed="false">
      <c r="A553" s="15" t="s">
        <v>143</v>
      </c>
      <c r="B553" s="15" t="s">
        <v>144</v>
      </c>
      <c r="C553" s="15" t="s">
        <v>86</v>
      </c>
      <c r="D553" s="15" t="n">
        <v>6</v>
      </c>
      <c r="E553" s="15" t="s">
        <v>721</v>
      </c>
      <c r="F553" s="15" t="s">
        <v>716</v>
      </c>
      <c r="G553" s="15" t="s">
        <v>112</v>
      </c>
      <c r="H553" s="15"/>
    </row>
    <row r="554" customFormat="false" ht="15" hidden="false" customHeight="true" outlineLevel="0" collapsed="false">
      <c r="A554" s="15" t="s">
        <v>143</v>
      </c>
      <c r="B554" s="15" t="s">
        <v>144</v>
      </c>
      <c r="C554" s="15" t="s">
        <v>722</v>
      </c>
      <c r="D554" s="15" t="n">
        <v>455</v>
      </c>
      <c r="E554" s="15" t="s">
        <v>723</v>
      </c>
      <c r="F554" s="15" t="s">
        <v>716</v>
      </c>
      <c r="G554" s="15" t="s">
        <v>112</v>
      </c>
      <c r="H554" s="15"/>
    </row>
    <row r="555" customFormat="false" ht="15" hidden="false" customHeight="true" outlineLevel="0" collapsed="false">
      <c r="A555" s="15" t="s">
        <v>143</v>
      </c>
      <c r="B555" s="15" t="s">
        <v>144</v>
      </c>
      <c r="C555" s="15" t="s">
        <v>724</v>
      </c>
      <c r="D555" s="15" t="n">
        <v>45</v>
      </c>
      <c r="E555" s="15" t="s">
        <v>723</v>
      </c>
      <c r="F555" s="15" t="s">
        <v>716</v>
      </c>
      <c r="G555" s="15" t="s">
        <v>112</v>
      </c>
      <c r="H555" s="15"/>
    </row>
    <row r="556" customFormat="false" ht="15" hidden="false" customHeight="true" outlineLevel="0" collapsed="false">
      <c r="A556" s="15" t="s">
        <v>143</v>
      </c>
      <c r="B556" s="15" t="s">
        <v>144</v>
      </c>
      <c r="C556" s="15" t="s">
        <v>84</v>
      </c>
      <c r="D556" s="15" t="n">
        <v>207</v>
      </c>
      <c r="E556" s="15" t="s">
        <v>725</v>
      </c>
      <c r="F556" s="15" t="s">
        <v>716</v>
      </c>
      <c r="G556" s="15" t="s">
        <v>112</v>
      </c>
      <c r="H556" s="15"/>
    </row>
    <row r="557" customFormat="false" ht="15" hidden="false" customHeight="true" outlineLevel="0" collapsed="false">
      <c r="A557" s="15" t="s">
        <v>143</v>
      </c>
      <c r="B557" s="15" t="s">
        <v>144</v>
      </c>
      <c r="C557" s="15" t="s">
        <v>726</v>
      </c>
      <c r="D557" s="15" t="n">
        <v>4371</v>
      </c>
      <c r="E557" s="15" t="s">
        <v>725</v>
      </c>
      <c r="F557" s="15" t="s">
        <v>716</v>
      </c>
      <c r="G557" s="15" t="s">
        <v>112</v>
      </c>
      <c r="H557" s="15"/>
    </row>
    <row r="558" customFormat="false" ht="15" hidden="false" customHeight="true" outlineLevel="0" collapsed="false">
      <c r="A558" s="15" t="s">
        <v>143</v>
      </c>
      <c r="B558" s="15" t="s">
        <v>144</v>
      </c>
      <c r="C558" s="15" t="s">
        <v>727</v>
      </c>
      <c r="D558" s="15" t="n">
        <v>1907</v>
      </c>
      <c r="E558" s="15" t="s">
        <v>725</v>
      </c>
      <c r="F558" s="15" t="s">
        <v>716</v>
      </c>
      <c r="G558" s="15" t="s">
        <v>112</v>
      </c>
      <c r="H558" s="15"/>
    </row>
    <row r="559" customFormat="false" ht="15" hidden="false" customHeight="true" outlineLevel="0" collapsed="false">
      <c r="A559" s="15" t="s">
        <v>143</v>
      </c>
      <c r="B559" s="15" t="s">
        <v>144</v>
      </c>
      <c r="C559" s="15" t="s">
        <v>728</v>
      </c>
      <c r="D559" s="15" t="n">
        <v>1627</v>
      </c>
      <c r="E559" s="15" t="s">
        <v>725</v>
      </c>
      <c r="F559" s="15" t="s">
        <v>716</v>
      </c>
      <c r="G559" s="15" t="s">
        <v>112</v>
      </c>
      <c r="H559" s="15"/>
    </row>
    <row r="560" customFormat="false" ht="15" hidden="false" customHeight="true" outlineLevel="0" collapsed="false">
      <c r="A560" s="15" t="s">
        <v>143</v>
      </c>
      <c r="B560" s="15" t="s">
        <v>144</v>
      </c>
      <c r="C560" s="15" t="s">
        <v>729</v>
      </c>
      <c r="D560" s="15" t="n">
        <v>2775</v>
      </c>
      <c r="E560" s="15" t="s">
        <v>725</v>
      </c>
      <c r="F560" s="15" t="s">
        <v>716</v>
      </c>
      <c r="G560" s="15" t="s">
        <v>112</v>
      </c>
      <c r="H560" s="15"/>
    </row>
    <row r="561" customFormat="false" ht="15" hidden="false" customHeight="true" outlineLevel="0" collapsed="false">
      <c r="A561" s="15" t="s">
        <v>143</v>
      </c>
      <c r="B561" s="15" t="s">
        <v>144</v>
      </c>
      <c r="C561" s="15" t="s">
        <v>730</v>
      </c>
      <c r="D561" s="15" t="n">
        <v>10</v>
      </c>
      <c r="E561" s="15" t="s">
        <v>731</v>
      </c>
      <c r="F561" s="15" t="s">
        <v>716</v>
      </c>
      <c r="G561" s="15" t="s">
        <v>112</v>
      </c>
      <c r="H561" s="15"/>
    </row>
    <row r="562" customFormat="false" ht="26.25" hidden="false" customHeight="true" outlineLevel="0" collapsed="false">
      <c r="A562" s="15" t="s">
        <v>143</v>
      </c>
      <c r="B562" s="15" t="s">
        <v>144</v>
      </c>
      <c r="C562" s="15" t="s">
        <v>98</v>
      </c>
      <c r="D562" s="15" t="s">
        <v>732</v>
      </c>
      <c r="E562" s="15"/>
      <c r="F562" s="15" t="s">
        <v>716</v>
      </c>
      <c r="G562" s="15" t="s">
        <v>112</v>
      </c>
      <c r="H562" s="15"/>
    </row>
    <row r="563" customFormat="false" ht="26.25" hidden="false" customHeight="true" outlineLevel="0" collapsed="false">
      <c r="A563" s="15" t="s">
        <v>143</v>
      </c>
      <c r="B563" s="15" t="s">
        <v>144</v>
      </c>
      <c r="C563" s="15" t="s">
        <v>733</v>
      </c>
      <c r="D563" s="15" t="s">
        <v>808</v>
      </c>
      <c r="E563" s="15"/>
      <c r="F563" s="15" t="s">
        <v>735</v>
      </c>
      <c r="G563" s="15" t="s">
        <v>112</v>
      </c>
      <c r="H563" s="15" t="s">
        <v>736</v>
      </c>
    </row>
    <row r="564" customFormat="false" ht="15" hidden="false" customHeight="true" outlineLevel="0" collapsed="false">
      <c r="A564" s="15" t="s">
        <v>143</v>
      </c>
      <c r="B564" s="15" t="s">
        <v>144</v>
      </c>
      <c r="C564" s="15" t="s">
        <v>737</v>
      </c>
      <c r="D564" s="15" t="n">
        <v>210</v>
      </c>
      <c r="E564" s="15" t="s">
        <v>738</v>
      </c>
      <c r="F564" s="15" t="s">
        <v>716</v>
      </c>
      <c r="G564" s="15" t="s">
        <v>112</v>
      </c>
      <c r="H564" s="15"/>
    </row>
    <row r="565" customFormat="false" ht="15" hidden="false" customHeight="true" outlineLevel="0" collapsed="false">
      <c r="A565" s="15" t="s">
        <v>143</v>
      </c>
      <c r="B565" s="15" t="s">
        <v>144</v>
      </c>
      <c r="C565" s="15" t="s">
        <v>739</v>
      </c>
      <c r="D565" s="15" t="n">
        <v>180</v>
      </c>
      <c r="E565" s="15" t="s">
        <v>738</v>
      </c>
      <c r="F565" s="15" t="s">
        <v>716</v>
      </c>
      <c r="G565" s="15" t="s">
        <v>112</v>
      </c>
      <c r="H565" s="15"/>
    </row>
    <row r="566" customFormat="false" ht="26.25" hidden="false" customHeight="true" outlineLevel="0" collapsed="false">
      <c r="A566" s="15" t="s">
        <v>143</v>
      </c>
      <c r="B566" s="15" t="s">
        <v>144</v>
      </c>
      <c r="C566" s="15" t="s">
        <v>740</v>
      </c>
      <c r="D566" s="15" t="n">
        <v>8</v>
      </c>
      <c r="E566" s="15" t="s">
        <v>741</v>
      </c>
      <c r="F566" s="15" t="s">
        <v>716</v>
      </c>
      <c r="G566" s="15" t="s">
        <v>112</v>
      </c>
      <c r="H566" s="15"/>
    </row>
    <row r="567" customFormat="false" ht="15" hidden="false" customHeight="true" outlineLevel="0" collapsed="false">
      <c r="A567" s="15" t="s">
        <v>143</v>
      </c>
      <c r="B567" s="15" t="s">
        <v>144</v>
      </c>
      <c r="C567" s="15" t="s">
        <v>742</v>
      </c>
      <c r="D567" s="15" t="n">
        <v>11.7</v>
      </c>
      <c r="E567" s="15" t="s">
        <v>741</v>
      </c>
      <c r="F567" s="15" t="s">
        <v>716</v>
      </c>
      <c r="G567" s="15" t="s">
        <v>112</v>
      </c>
      <c r="H567" s="15"/>
    </row>
    <row r="568" customFormat="false" ht="15" hidden="false" customHeight="true" outlineLevel="0" collapsed="false">
      <c r="A568" s="15" t="s">
        <v>143</v>
      </c>
      <c r="B568" s="15" t="s">
        <v>144</v>
      </c>
      <c r="C568" s="15" t="s">
        <v>743</v>
      </c>
      <c r="D568" s="15" t="s">
        <v>744</v>
      </c>
      <c r="E568" s="15"/>
      <c r="F568" s="15" t="s">
        <v>716</v>
      </c>
      <c r="G568" s="15" t="s">
        <v>112</v>
      </c>
      <c r="H568" s="15"/>
    </row>
    <row r="569" customFormat="false" ht="15" hidden="false" customHeight="true" outlineLevel="0" collapsed="false">
      <c r="A569" s="15" t="s">
        <v>143</v>
      </c>
      <c r="B569" s="15" t="s">
        <v>144</v>
      </c>
      <c r="C569" s="15" t="s">
        <v>745</v>
      </c>
      <c r="D569" s="15" t="s">
        <v>746</v>
      </c>
      <c r="E569" s="15"/>
      <c r="F569" s="15" t="s">
        <v>716</v>
      </c>
      <c r="G569" s="15" t="s">
        <v>112</v>
      </c>
      <c r="H569" s="15"/>
    </row>
    <row r="570" customFormat="false" ht="15" hidden="false" customHeight="true" outlineLevel="0" collapsed="false">
      <c r="A570" s="15" t="s">
        <v>143</v>
      </c>
      <c r="B570" s="15" t="s">
        <v>144</v>
      </c>
      <c r="C570" s="15" t="s">
        <v>747</v>
      </c>
      <c r="D570" s="15" t="s">
        <v>809</v>
      </c>
      <c r="E570" s="15"/>
      <c r="F570" s="15" t="s">
        <v>716</v>
      </c>
      <c r="G570" s="15" t="s">
        <v>112</v>
      </c>
      <c r="H570" s="15"/>
    </row>
    <row r="571" customFormat="false" ht="15" hidden="false" customHeight="true" outlineLevel="0" collapsed="false">
      <c r="A571" s="15" t="s">
        <v>143</v>
      </c>
      <c r="B571" s="15" t="s">
        <v>144</v>
      </c>
      <c r="C571" s="15" t="s">
        <v>749</v>
      </c>
      <c r="D571" s="15" t="s">
        <v>750</v>
      </c>
      <c r="E571" s="15"/>
      <c r="F571" s="15" t="s">
        <v>716</v>
      </c>
      <c r="G571" s="15" t="s">
        <v>112</v>
      </c>
      <c r="H571" s="15" t="s">
        <v>751</v>
      </c>
    </row>
    <row r="572" customFormat="false" ht="15" hidden="false" customHeight="true" outlineLevel="0" collapsed="false">
      <c r="A572" s="15" t="s">
        <v>143</v>
      </c>
      <c r="B572" s="15" t="s">
        <v>144</v>
      </c>
      <c r="C572" s="15" t="s">
        <v>752</v>
      </c>
      <c r="D572" s="15" t="s">
        <v>796</v>
      </c>
      <c r="E572" s="15"/>
      <c r="F572" s="15" t="s">
        <v>716</v>
      </c>
      <c r="G572" s="15" t="s">
        <v>112</v>
      </c>
      <c r="H572" s="15"/>
    </row>
    <row r="573" customFormat="false" ht="15" hidden="false" customHeight="true" outlineLevel="0" collapsed="false">
      <c r="A573" s="15" t="s">
        <v>143</v>
      </c>
      <c r="B573" s="15" t="s">
        <v>144</v>
      </c>
      <c r="C573" s="15" t="s">
        <v>90</v>
      </c>
      <c r="D573" s="15" t="s">
        <v>802</v>
      </c>
      <c r="E573" s="15"/>
      <c r="F573" s="15" t="s">
        <v>716</v>
      </c>
      <c r="G573" s="15" t="s">
        <v>112</v>
      </c>
      <c r="H573" s="15"/>
    </row>
    <row r="574" customFormat="false" ht="15" hidden="false" customHeight="true" outlineLevel="0" collapsed="false">
      <c r="A574" s="15" t="s">
        <v>143</v>
      </c>
      <c r="B574" s="15" t="s">
        <v>144</v>
      </c>
      <c r="C574" s="15" t="s">
        <v>754</v>
      </c>
      <c r="D574" s="15" t="s">
        <v>755</v>
      </c>
      <c r="E574" s="15"/>
      <c r="F574" s="15" t="s">
        <v>716</v>
      </c>
      <c r="G574" s="15" t="s">
        <v>112</v>
      </c>
      <c r="H574" s="15"/>
    </row>
    <row r="575" customFormat="false" ht="15" hidden="false" customHeight="true" outlineLevel="0" collapsed="false">
      <c r="A575" s="15" t="s">
        <v>143</v>
      </c>
      <c r="B575" s="15" t="s">
        <v>144</v>
      </c>
      <c r="C575" s="15" t="s">
        <v>756</v>
      </c>
      <c r="D575" s="15" t="s">
        <v>755</v>
      </c>
      <c r="E575" s="15"/>
      <c r="F575" s="15" t="s">
        <v>716</v>
      </c>
      <c r="G575" s="15" t="s">
        <v>112</v>
      </c>
      <c r="H575" s="15"/>
    </row>
    <row r="576" customFormat="false" ht="15" hidden="false" customHeight="true" outlineLevel="0" collapsed="false">
      <c r="A576" s="15" t="s">
        <v>143</v>
      </c>
      <c r="B576" s="15" t="s">
        <v>144</v>
      </c>
      <c r="C576" s="15" t="s">
        <v>757</v>
      </c>
      <c r="D576" s="15" t="s">
        <v>797</v>
      </c>
      <c r="E576" s="15"/>
      <c r="F576" s="15" t="s">
        <v>716</v>
      </c>
      <c r="G576" s="15" t="s">
        <v>112</v>
      </c>
      <c r="H576" s="15"/>
    </row>
    <row r="577" customFormat="false" ht="15" hidden="false" customHeight="true" outlineLevel="0" collapsed="false">
      <c r="A577" s="15" t="s">
        <v>143</v>
      </c>
      <c r="B577" s="15" t="s">
        <v>144</v>
      </c>
      <c r="C577" s="15" t="s">
        <v>759</v>
      </c>
      <c r="D577" s="15" t="s">
        <v>798</v>
      </c>
      <c r="E577" s="15"/>
      <c r="F577" s="15" t="s">
        <v>716</v>
      </c>
      <c r="G577" s="15" t="s">
        <v>112</v>
      </c>
      <c r="H577" s="15"/>
    </row>
    <row r="578" customFormat="false" ht="15" hidden="false" customHeight="true" outlineLevel="0" collapsed="false">
      <c r="A578" s="15" t="s">
        <v>143</v>
      </c>
      <c r="B578" s="15" t="s">
        <v>144</v>
      </c>
      <c r="C578" s="15" t="s">
        <v>761</v>
      </c>
      <c r="D578" s="15" t="s">
        <v>755</v>
      </c>
      <c r="E578" s="15"/>
      <c r="F578" s="15" t="s">
        <v>716</v>
      </c>
      <c r="G578" s="15" t="s">
        <v>112</v>
      </c>
      <c r="H578" s="15"/>
    </row>
    <row r="579" customFormat="false" ht="15" hidden="false" customHeight="true" outlineLevel="0" collapsed="false">
      <c r="A579" s="15" t="s">
        <v>143</v>
      </c>
      <c r="B579" s="15" t="s">
        <v>144</v>
      </c>
      <c r="C579" s="15" t="s">
        <v>762</v>
      </c>
      <c r="D579" s="15" t="s">
        <v>755</v>
      </c>
      <c r="E579" s="15"/>
      <c r="F579" s="15" t="s">
        <v>716</v>
      </c>
      <c r="G579" s="15" t="s">
        <v>112</v>
      </c>
      <c r="H579" s="15"/>
    </row>
    <row r="580" customFormat="false" ht="15" hidden="false" customHeight="true" outlineLevel="0" collapsed="false">
      <c r="A580" s="15" t="s">
        <v>143</v>
      </c>
      <c r="B580" s="15" t="s">
        <v>144</v>
      </c>
      <c r="C580" s="15" t="s">
        <v>92</v>
      </c>
      <c r="D580" s="15" t="s">
        <v>803</v>
      </c>
      <c r="E580" s="15"/>
      <c r="F580" s="15" t="s">
        <v>716</v>
      </c>
      <c r="G580" s="15" t="s">
        <v>112</v>
      </c>
      <c r="H580" s="15"/>
    </row>
    <row r="581" customFormat="false" ht="15" hidden="false" customHeight="true" outlineLevel="0" collapsed="false">
      <c r="A581" s="15" t="s">
        <v>143</v>
      </c>
      <c r="B581" s="15" t="s">
        <v>144</v>
      </c>
      <c r="C581" s="15" t="s">
        <v>763</v>
      </c>
      <c r="D581" s="15" t="s">
        <v>755</v>
      </c>
      <c r="E581" s="15"/>
      <c r="F581" s="15" t="s">
        <v>716</v>
      </c>
      <c r="G581" s="15" t="s">
        <v>112</v>
      </c>
      <c r="H581" s="15"/>
    </row>
    <row r="582" customFormat="false" ht="15" hidden="false" customHeight="true" outlineLevel="0" collapsed="false">
      <c r="A582" s="15" t="s">
        <v>143</v>
      </c>
      <c r="B582" s="15" t="s">
        <v>144</v>
      </c>
      <c r="C582" s="15" t="s">
        <v>764</v>
      </c>
      <c r="D582" s="15" t="s">
        <v>755</v>
      </c>
      <c r="E582" s="15"/>
      <c r="F582" s="15" t="s">
        <v>716</v>
      </c>
      <c r="G582" s="15" t="s">
        <v>112</v>
      </c>
      <c r="H582" s="15"/>
    </row>
    <row r="583" customFormat="false" ht="15" hidden="false" customHeight="true" outlineLevel="0" collapsed="false">
      <c r="A583" s="15" t="s">
        <v>143</v>
      </c>
      <c r="B583" s="15" t="s">
        <v>144</v>
      </c>
      <c r="C583" s="15" t="s">
        <v>765</v>
      </c>
      <c r="D583" s="15" t="s">
        <v>810</v>
      </c>
      <c r="E583" s="15"/>
      <c r="F583" s="15" t="s">
        <v>716</v>
      </c>
      <c r="G583" s="15" t="s">
        <v>112</v>
      </c>
      <c r="H583" s="15"/>
    </row>
    <row r="584" customFormat="false" ht="15" hidden="false" customHeight="true" outlineLevel="0" collapsed="false">
      <c r="A584" s="15" t="s">
        <v>143</v>
      </c>
      <c r="B584" s="15" t="s">
        <v>144</v>
      </c>
      <c r="C584" s="15" t="s">
        <v>767</v>
      </c>
      <c r="D584" s="15" t="s">
        <v>768</v>
      </c>
      <c r="E584" s="15"/>
      <c r="F584" s="15" t="s">
        <v>716</v>
      </c>
      <c r="G584" s="15" t="s">
        <v>112</v>
      </c>
      <c r="H584" s="15"/>
    </row>
    <row r="585" customFormat="false" ht="26.25" hidden="false" customHeight="true" outlineLevel="0" collapsed="false">
      <c r="A585" s="15" t="s">
        <v>143</v>
      </c>
      <c r="B585" s="15" t="s">
        <v>144</v>
      </c>
      <c r="C585" s="15" t="s">
        <v>769</v>
      </c>
      <c r="D585" s="15" t="n">
        <v>5</v>
      </c>
      <c r="E585" s="15" t="s">
        <v>721</v>
      </c>
      <c r="F585" s="15" t="s">
        <v>770</v>
      </c>
      <c r="G585" s="15" t="s">
        <v>293</v>
      </c>
      <c r="H585" s="15" t="s">
        <v>771</v>
      </c>
    </row>
    <row r="586" customFormat="false" ht="26.25" hidden="false" customHeight="true" outlineLevel="0" collapsed="false">
      <c r="A586" s="15" t="s">
        <v>143</v>
      </c>
      <c r="B586" s="15" t="s">
        <v>144</v>
      </c>
      <c r="C586" s="15" t="s">
        <v>772</v>
      </c>
      <c r="D586" s="15" t="n">
        <v>50000</v>
      </c>
      <c r="E586" s="15" t="s">
        <v>773</v>
      </c>
      <c r="F586" s="15" t="s">
        <v>770</v>
      </c>
      <c r="G586" s="15" t="s">
        <v>293</v>
      </c>
      <c r="H586" s="15" t="s">
        <v>774</v>
      </c>
    </row>
    <row r="587" customFormat="false" ht="26.25" hidden="false" customHeight="true" outlineLevel="0" collapsed="false">
      <c r="A587" s="15" t="s">
        <v>143</v>
      </c>
      <c r="B587" s="15" t="s">
        <v>144</v>
      </c>
      <c r="C587" s="15" t="s">
        <v>775</v>
      </c>
      <c r="D587" s="15" t="n">
        <v>75000</v>
      </c>
      <c r="E587" s="15" t="s">
        <v>773</v>
      </c>
      <c r="F587" s="15" t="s">
        <v>770</v>
      </c>
      <c r="G587" s="15" t="s">
        <v>293</v>
      </c>
      <c r="H587" s="15" t="s">
        <v>774</v>
      </c>
    </row>
    <row r="588" customFormat="false" ht="26.25" hidden="false" customHeight="true" outlineLevel="0" collapsed="false">
      <c r="A588" s="15" t="s">
        <v>143</v>
      </c>
      <c r="B588" s="15" t="s">
        <v>144</v>
      </c>
      <c r="C588" s="15" t="s">
        <v>811</v>
      </c>
      <c r="D588" s="15" t="n">
        <v>6.44</v>
      </c>
      <c r="E588" s="15" t="s">
        <v>812</v>
      </c>
      <c r="F588" s="15" t="s">
        <v>770</v>
      </c>
      <c r="G588" s="15" t="s">
        <v>293</v>
      </c>
      <c r="H588" s="15" t="s">
        <v>771</v>
      </c>
    </row>
    <row r="589" customFormat="false" ht="39" hidden="false" customHeight="true" outlineLevel="0" collapsed="false">
      <c r="A589" s="15" t="s">
        <v>143</v>
      </c>
      <c r="B589" s="15" t="s">
        <v>144</v>
      </c>
      <c r="C589" s="15" t="s">
        <v>776</v>
      </c>
      <c r="D589" s="15" t="s">
        <v>813</v>
      </c>
      <c r="E589" s="15"/>
      <c r="F589" s="15" t="s">
        <v>778</v>
      </c>
      <c r="G589" s="15" t="s">
        <v>293</v>
      </c>
      <c r="H589" s="15" t="s">
        <v>779</v>
      </c>
    </row>
    <row r="590" customFormat="false" ht="39" hidden="false" customHeight="true" outlineLevel="0" collapsed="false">
      <c r="A590" s="15" t="s">
        <v>143</v>
      </c>
      <c r="B590" s="15" t="s">
        <v>144</v>
      </c>
      <c r="C590" s="15" t="s">
        <v>780</v>
      </c>
      <c r="D590" s="15" t="s">
        <v>781</v>
      </c>
      <c r="E590" s="15"/>
      <c r="F590" s="15" t="s">
        <v>778</v>
      </c>
      <c r="G590" s="15" t="s">
        <v>293</v>
      </c>
      <c r="H590" s="15" t="s">
        <v>779</v>
      </c>
    </row>
    <row r="591" customFormat="false" ht="39" hidden="false" customHeight="true" outlineLevel="0" collapsed="false">
      <c r="A591" s="15" t="s">
        <v>143</v>
      </c>
      <c r="B591" s="15" t="s">
        <v>144</v>
      </c>
      <c r="C591" s="15" t="s">
        <v>782</v>
      </c>
      <c r="D591" s="15" t="n">
        <v>36</v>
      </c>
      <c r="E591" s="15" t="s">
        <v>783</v>
      </c>
      <c r="F591" s="15" t="s">
        <v>778</v>
      </c>
      <c r="G591" s="15" t="s">
        <v>293</v>
      </c>
      <c r="H591" s="15" t="s">
        <v>779</v>
      </c>
    </row>
    <row r="592" customFormat="false" ht="39" hidden="false" customHeight="true" outlineLevel="0" collapsed="false">
      <c r="A592" s="15" t="s">
        <v>143</v>
      </c>
      <c r="B592" s="15" t="s">
        <v>144</v>
      </c>
      <c r="C592" s="15" t="s">
        <v>784</v>
      </c>
      <c r="D592" s="15" t="n">
        <v>11</v>
      </c>
      <c r="E592" s="15" t="s">
        <v>738</v>
      </c>
      <c r="F592" s="15" t="s">
        <v>778</v>
      </c>
      <c r="G592" s="15" t="s">
        <v>293</v>
      </c>
      <c r="H592" s="15" t="s">
        <v>779</v>
      </c>
    </row>
    <row r="593" customFormat="false" ht="39" hidden="false" customHeight="true" outlineLevel="0" collapsed="false">
      <c r="A593" s="15" t="s">
        <v>143</v>
      </c>
      <c r="B593" s="15" t="s">
        <v>144</v>
      </c>
      <c r="C593" s="15" t="s">
        <v>785</v>
      </c>
      <c r="D593" s="15" t="n">
        <v>409</v>
      </c>
      <c r="E593" s="15" t="s">
        <v>786</v>
      </c>
      <c r="F593" s="15" t="s">
        <v>778</v>
      </c>
      <c r="G593" s="15" t="s">
        <v>293</v>
      </c>
      <c r="H593" s="15" t="s">
        <v>779</v>
      </c>
    </row>
    <row r="594" customFormat="false" ht="39" hidden="false" customHeight="true" outlineLevel="0" collapsed="false">
      <c r="A594" s="15" t="s">
        <v>143</v>
      </c>
      <c r="B594" s="15" t="s">
        <v>144</v>
      </c>
      <c r="C594" s="15" t="s">
        <v>787</v>
      </c>
      <c r="D594" s="15" t="s">
        <v>788</v>
      </c>
      <c r="E594" s="15"/>
      <c r="F594" s="15" t="s">
        <v>778</v>
      </c>
      <c r="G594" s="15" t="s">
        <v>293</v>
      </c>
      <c r="H594" s="15" t="s">
        <v>779</v>
      </c>
    </row>
    <row r="595" customFormat="false" ht="39" hidden="false" customHeight="true" outlineLevel="0" collapsed="false">
      <c r="A595" s="15" t="s">
        <v>143</v>
      </c>
      <c r="B595" s="15" t="s">
        <v>144</v>
      </c>
      <c r="C595" s="15" t="s">
        <v>789</v>
      </c>
      <c r="D595" s="15" t="s">
        <v>790</v>
      </c>
      <c r="E595" s="15"/>
      <c r="F595" s="15" t="s">
        <v>778</v>
      </c>
      <c r="G595" s="15" t="s">
        <v>293</v>
      </c>
      <c r="H595" s="15" t="s">
        <v>779</v>
      </c>
    </row>
    <row r="596" customFormat="false" ht="39" hidden="false" customHeight="true" outlineLevel="0" collapsed="false">
      <c r="A596" s="15" t="s">
        <v>143</v>
      </c>
      <c r="B596" s="15" t="s">
        <v>144</v>
      </c>
      <c r="C596" s="15" t="s">
        <v>791</v>
      </c>
      <c r="D596" s="15" t="s">
        <v>792</v>
      </c>
      <c r="E596" s="15"/>
      <c r="F596" s="15" t="s">
        <v>778</v>
      </c>
      <c r="G596" s="15" t="s">
        <v>293</v>
      </c>
      <c r="H596" s="15" t="s">
        <v>779</v>
      </c>
    </row>
    <row r="597" customFormat="false" ht="26.25" hidden="false" customHeight="true" outlineLevel="0" collapsed="false">
      <c r="A597" s="15" t="s">
        <v>176</v>
      </c>
      <c r="B597" s="15" t="s">
        <v>177</v>
      </c>
      <c r="C597" s="15" t="s">
        <v>714</v>
      </c>
      <c r="D597" s="15" t="n">
        <v>360</v>
      </c>
      <c r="E597" s="15" t="s">
        <v>715</v>
      </c>
      <c r="F597" s="15" t="s">
        <v>716</v>
      </c>
      <c r="G597" s="15" t="s">
        <v>112</v>
      </c>
      <c r="H597" s="15" t="s">
        <v>717</v>
      </c>
    </row>
    <row r="598" customFormat="false" ht="15" hidden="false" customHeight="true" outlineLevel="0" collapsed="false">
      <c r="A598" s="15" t="s">
        <v>176</v>
      </c>
      <c r="B598" s="15" t="s">
        <v>177</v>
      </c>
      <c r="C598" s="15" t="s">
        <v>718</v>
      </c>
      <c r="D598" s="15" t="s">
        <v>113</v>
      </c>
      <c r="E598" s="15"/>
      <c r="F598" s="15" t="s">
        <v>716</v>
      </c>
      <c r="G598" s="15" t="s">
        <v>112</v>
      </c>
      <c r="H598" s="15"/>
    </row>
    <row r="599" customFormat="false" ht="15" hidden="false" customHeight="true" outlineLevel="0" collapsed="false">
      <c r="A599" s="15" t="s">
        <v>176</v>
      </c>
      <c r="B599" s="15" t="s">
        <v>177</v>
      </c>
      <c r="C599" s="15" t="s">
        <v>719</v>
      </c>
      <c r="D599" s="15" t="n">
        <v>20</v>
      </c>
      <c r="E599" s="15" t="s">
        <v>720</v>
      </c>
      <c r="F599" s="15" t="s">
        <v>716</v>
      </c>
      <c r="G599" s="15" t="s">
        <v>112</v>
      </c>
      <c r="H599" s="15"/>
    </row>
    <row r="600" customFormat="false" ht="15" hidden="false" customHeight="true" outlineLevel="0" collapsed="false">
      <c r="A600" s="15" t="s">
        <v>176</v>
      </c>
      <c r="B600" s="15" t="s">
        <v>177</v>
      </c>
      <c r="C600" s="15" t="s">
        <v>86</v>
      </c>
      <c r="D600" s="15" t="n">
        <v>6</v>
      </c>
      <c r="E600" s="15" t="s">
        <v>721</v>
      </c>
      <c r="F600" s="15" t="s">
        <v>716</v>
      </c>
      <c r="G600" s="15" t="s">
        <v>112</v>
      </c>
      <c r="H600" s="15"/>
    </row>
    <row r="601" customFormat="false" ht="15" hidden="false" customHeight="true" outlineLevel="0" collapsed="false">
      <c r="A601" s="15" t="s">
        <v>176</v>
      </c>
      <c r="B601" s="15" t="s">
        <v>177</v>
      </c>
      <c r="C601" s="15" t="s">
        <v>722</v>
      </c>
      <c r="D601" s="15" t="n">
        <v>455</v>
      </c>
      <c r="E601" s="15" t="s">
        <v>723</v>
      </c>
      <c r="F601" s="15" t="s">
        <v>716</v>
      </c>
      <c r="G601" s="15" t="s">
        <v>112</v>
      </c>
      <c r="H601" s="15"/>
    </row>
    <row r="602" customFormat="false" ht="15" hidden="false" customHeight="true" outlineLevel="0" collapsed="false">
      <c r="A602" s="15" t="s">
        <v>176</v>
      </c>
      <c r="B602" s="15" t="s">
        <v>177</v>
      </c>
      <c r="C602" s="15" t="s">
        <v>724</v>
      </c>
      <c r="D602" s="15" t="n">
        <v>45</v>
      </c>
      <c r="E602" s="15" t="s">
        <v>723</v>
      </c>
      <c r="F602" s="15" t="s">
        <v>716</v>
      </c>
      <c r="G602" s="15" t="s">
        <v>112</v>
      </c>
      <c r="H602" s="15"/>
    </row>
    <row r="603" customFormat="false" ht="15" hidden="false" customHeight="true" outlineLevel="0" collapsed="false">
      <c r="A603" s="15" t="s">
        <v>176</v>
      </c>
      <c r="B603" s="15" t="s">
        <v>177</v>
      </c>
      <c r="C603" s="15" t="s">
        <v>84</v>
      </c>
      <c r="D603" s="15" t="n">
        <v>207</v>
      </c>
      <c r="E603" s="15" t="s">
        <v>725</v>
      </c>
      <c r="F603" s="15" t="s">
        <v>716</v>
      </c>
      <c r="G603" s="15" t="s">
        <v>112</v>
      </c>
      <c r="H603" s="15"/>
    </row>
    <row r="604" customFormat="false" ht="15" hidden="false" customHeight="true" outlineLevel="0" collapsed="false">
      <c r="A604" s="15" t="s">
        <v>176</v>
      </c>
      <c r="B604" s="15" t="s">
        <v>177</v>
      </c>
      <c r="C604" s="15" t="s">
        <v>726</v>
      </c>
      <c r="D604" s="15" t="n">
        <v>4371</v>
      </c>
      <c r="E604" s="15" t="s">
        <v>725</v>
      </c>
      <c r="F604" s="15" t="s">
        <v>716</v>
      </c>
      <c r="G604" s="15" t="s">
        <v>112</v>
      </c>
      <c r="H604" s="15"/>
    </row>
    <row r="605" customFormat="false" ht="15" hidden="false" customHeight="true" outlineLevel="0" collapsed="false">
      <c r="A605" s="15" t="s">
        <v>176</v>
      </c>
      <c r="B605" s="15" t="s">
        <v>177</v>
      </c>
      <c r="C605" s="15" t="s">
        <v>727</v>
      </c>
      <c r="D605" s="15" t="n">
        <v>1907</v>
      </c>
      <c r="E605" s="15" t="s">
        <v>725</v>
      </c>
      <c r="F605" s="15" t="s">
        <v>716</v>
      </c>
      <c r="G605" s="15" t="s">
        <v>112</v>
      </c>
      <c r="H605" s="15"/>
    </row>
    <row r="606" customFormat="false" ht="15" hidden="false" customHeight="true" outlineLevel="0" collapsed="false">
      <c r="A606" s="15" t="s">
        <v>176</v>
      </c>
      <c r="B606" s="15" t="s">
        <v>177</v>
      </c>
      <c r="C606" s="15" t="s">
        <v>728</v>
      </c>
      <c r="D606" s="15" t="n">
        <v>1627</v>
      </c>
      <c r="E606" s="15" t="s">
        <v>725</v>
      </c>
      <c r="F606" s="15" t="s">
        <v>716</v>
      </c>
      <c r="G606" s="15" t="s">
        <v>112</v>
      </c>
      <c r="H606" s="15"/>
    </row>
    <row r="607" customFormat="false" ht="15" hidden="false" customHeight="true" outlineLevel="0" collapsed="false">
      <c r="A607" s="15" t="s">
        <v>176</v>
      </c>
      <c r="B607" s="15" t="s">
        <v>177</v>
      </c>
      <c r="C607" s="15" t="s">
        <v>729</v>
      </c>
      <c r="D607" s="15" t="n">
        <v>2775</v>
      </c>
      <c r="E607" s="15" t="s">
        <v>725</v>
      </c>
      <c r="F607" s="15" t="s">
        <v>716</v>
      </c>
      <c r="G607" s="15" t="s">
        <v>112</v>
      </c>
      <c r="H607" s="15"/>
    </row>
    <row r="608" customFormat="false" ht="15" hidden="false" customHeight="true" outlineLevel="0" collapsed="false">
      <c r="A608" s="15" t="s">
        <v>176</v>
      </c>
      <c r="B608" s="15" t="s">
        <v>177</v>
      </c>
      <c r="C608" s="15" t="s">
        <v>730</v>
      </c>
      <c r="D608" s="15" t="n">
        <v>10</v>
      </c>
      <c r="E608" s="15" t="s">
        <v>731</v>
      </c>
      <c r="F608" s="15" t="s">
        <v>716</v>
      </c>
      <c r="G608" s="15" t="s">
        <v>112</v>
      </c>
      <c r="H608" s="15"/>
    </row>
    <row r="609" customFormat="false" ht="26.25" hidden="false" customHeight="true" outlineLevel="0" collapsed="false">
      <c r="A609" s="15" t="s">
        <v>176</v>
      </c>
      <c r="B609" s="15" t="s">
        <v>177</v>
      </c>
      <c r="C609" s="15" t="s">
        <v>98</v>
      </c>
      <c r="D609" s="15" t="s">
        <v>732</v>
      </c>
      <c r="E609" s="15"/>
      <c r="F609" s="15" t="s">
        <v>716</v>
      </c>
      <c r="G609" s="15" t="s">
        <v>112</v>
      </c>
      <c r="H609" s="15"/>
    </row>
    <row r="610" customFormat="false" ht="26.25" hidden="false" customHeight="true" outlineLevel="0" collapsed="false">
      <c r="A610" s="15" t="s">
        <v>176</v>
      </c>
      <c r="B610" s="15" t="s">
        <v>177</v>
      </c>
      <c r="C610" s="15" t="s">
        <v>733</v>
      </c>
      <c r="D610" s="15" t="s">
        <v>808</v>
      </c>
      <c r="E610" s="15"/>
      <c r="F610" s="15" t="s">
        <v>735</v>
      </c>
      <c r="G610" s="15" t="s">
        <v>112</v>
      </c>
      <c r="H610" s="15" t="s">
        <v>736</v>
      </c>
    </row>
    <row r="611" customFormat="false" ht="15" hidden="false" customHeight="true" outlineLevel="0" collapsed="false">
      <c r="A611" s="15" t="s">
        <v>176</v>
      </c>
      <c r="B611" s="15" t="s">
        <v>177</v>
      </c>
      <c r="C611" s="15" t="s">
        <v>737</v>
      </c>
      <c r="D611" s="15" t="n">
        <v>210</v>
      </c>
      <c r="E611" s="15" t="s">
        <v>738</v>
      </c>
      <c r="F611" s="15" t="s">
        <v>716</v>
      </c>
      <c r="G611" s="15" t="s">
        <v>112</v>
      </c>
      <c r="H611" s="15"/>
    </row>
    <row r="612" customFormat="false" ht="15" hidden="false" customHeight="true" outlineLevel="0" collapsed="false">
      <c r="A612" s="15" t="s">
        <v>176</v>
      </c>
      <c r="B612" s="15" t="s">
        <v>177</v>
      </c>
      <c r="C612" s="15" t="s">
        <v>739</v>
      </c>
      <c r="D612" s="15" t="n">
        <v>180</v>
      </c>
      <c r="E612" s="15" t="s">
        <v>738</v>
      </c>
      <c r="F612" s="15" t="s">
        <v>716</v>
      </c>
      <c r="G612" s="15" t="s">
        <v>112</v>
      </c>
      <c r="H612" s="15"/>
    </row>
    <row r="613" customFormat="false" ht="26.25" hidden="false" customHeight="true" outlineLevel="0" collapsed="false">
      <c r="A613" s="15" t="s">
        <v>176</v>
      </c>
      <c r="B613" s="15" t="s">
        <v>177</v>
      </c>
      <c r="C613" s="15" t="s">
        <v>740</v>
      </c>
      <c r="D613" s="15" t="n">
        <v>8</v>
      </c>
      <c r="E613" s="15" t="s">
        <v>741</v>
      </c>
      <c r="F613" s="15" t="s">
        <v>716</v>
      </c>
      <c r="G613" s="15" t="s">
        <v>112</v>
      </c>
      <c r="H613" s="15"/>
    </row>
    <row r="614" customFormat="false" ht="15" hidden="false" customHeight="true" outlineLevel="0" collapsed="false">
      <c r="A614" s="15" t="s">
        <v>176</v>
      </c>
      <c r="B614" s="15" t="s">
        <v>177</v>
      </c>
      <c r="C614" s="15" t="s">
        <v>742</v>
      </c>
      <c r="D614" s="15" t="n">
        <v>11.7</v>
      </c>
      <c r="E614" s="15" t="s">
        <v>741</v>
      </c>
      <c r="F614" s="15" t="s">
        <v>716</v>
      </c>
      <c r="G614" s="15" t="s">
        <v>112</v>
      </c>
      <c r="H614" s="15"/>
    </row>
    <row r="615" customFormat="false" ht="15" hidden="false" customHeight="true" outlineLevel="0" collapsed="false">
      <c r="A615" s="15" t="s">
        <v>176</v>
      </c>
      <c r="B615" s="15" t="s">
        <v>177</v>
      </c>
      <c r="C615" s="15" t="s">
        <v>743</v>
      </c>
      <c r="D615" s="15" t="s">
        <v>744</v>
      </c>
      <c r="E615" s="15"/>
      <c r="F615" s="15" t="s">
        <v>716</v>
      </c>
      <c r="G615" s="15" t="s">
        <v>112</v>
      </c>
      <c r="H615" s="15"/>
    </row>
    <row r="616" customFormat="false" ht="15" hidden="false" customHeight="true" outlineLevel="0" collapsed="false">
      <c r="A616" s="15" t="s">
        <v>176</v>
      </c>
      <c r="B616" s="15" t="s">
        <v>177</v>
      </c>
      <c r="C616" s="15" t="s">
        <v>745</v>
      </c>
      <c r="D616" s="15" t="s">
        <v>746</v>
      </c>
      <c r="E616" s="15"/>
      <c r="F616" s="15" t="s">
        <v>716</v>
      </c>
      <c r="G616" s="15" t="s">
        <v>112</v>
      </c>
      <c r="H616" s="15"/>
    </row>
    <row r="617" customFormat="false" ht="15" hidden="false" customHeight="true" outlineLevel="0" collapsed="false">
      <c r="A617" s="15" t="s">
        <v>176</v>
      </c>
      <c r="B617" s="15" t="s">
        <v>177</v>
      </c>
      <c r="C617" s="15" t="s">
        <v>747</v>
      </c>
      <c r="D617" s="15" t="s">
        <v>809</v>
      </c>
      <c r="E617" s="15"/>
      <c r="F617" s="15" t="s">
        <v>716</v>
      </c>
      <c r="G617" s="15" t="s">
        <v>112</v>
      </c>
      <c r="H617" s="15"/>
    </row>
    <row r="618" customFormat="false" ht="15" hidden="false" customHeight="true" outlineLevel="0" collapsed="false">
      <c r="A618" s="15" t="s">
        <v>176</v>
      </c>
      <c r="B618" s="15" t="s">
        <v>177</v>
      </c>
      <c r="C618" s="15" t="s">
        <v>749</v>
      </c>
      <c r="D618" s="15" t="s">
        <v>750</v>
      </c>
      <c r="E618" s="15"/>
      <c r="F618" s="15" t="s">
        <v>716</v>
      </c>
      <c r="G618" s="15" t="s">
        <v>112</v>
      </c>
      <c r="H618" s="15" t="s">
        <v>751</v>
      </c>
    </row>
    <row r="619" customFormat="false" ht="15" hidden="false" customHeight="true" outlineLevel="0" collapsed="false">
      <c r="A619" s="15" t="s">
        <v>176</v>
      </c>
      <c r="B619" s="15" t="s">
        <v>177</v>
      </c>
      <c r="C619" s="15" t="s">
        <v>752</v>
      </c>
      <c r="D619" s="15" t="s">
        <v>796</v>
      </c>
      <c r="E619" s="15"/>
      <c r="F619" s="15" t="s">
        <v>716</v>
      </c>
      <c r="G619" s="15" t="s">
        <v>112</v>
      </c>
      <c r="H619" s="15"/>
    </row>
    <row r="620" customFormat="false" ht="15" hidden="false" customHeight="true" outlineLevel="0" collapsed="false">
      <c r="A620" s="15" t="s">
        <v>176</v>
      </c>
      <c r="B620" s="15" t="s">
        <v>177</v>
      </c>
      <c r="C620" s="15" t="s">
        <v>90</v>
      </c>
      <c r="D620" s="15" t="s">
        <v>802</v>
      </c>
      <c r="E620" s="15"/>
      <c r="F620" s="15" t="s">
        <v>716</v>
      </c>
      <c r="G620" s="15" t="s">
        <v>112</v>
      </c>
      <c r="H620" s="15"/>
    </row>
    <row r="621" customFormat="false" ht="15" hidden="false" customHeight="true" outlineLevel="0" collapsed="false">
      <c r="A621" s="15" t="s">
        <v>176</v>
      </c>
      <c r="B621" s="15" t="s">
        <v>177</v>
      </c>
      <c r="C621" s="15" t="s">
        <v>754</v>
      </c>
      <c r="D621" s="15" t="s">
        <v>755</v>
      </c>
      <c r="E621" s="15"/>
      <c r="F621" s="15" t="s">
        <v>716</v>
      </c>
      <c r="G621" s="15" t="s">
        <v>112</v>
      </c>
      <c r="H621" s="15"/>
    </row>
    <row r="622" customFormat="false" ht="15" hidden="false" customHeight="true" outlineLevel="0" collapsed="false">
      <c r="A622" s="15" t="s">
        <v>176</v>
      </c>
      <c r="B622" s="15" t="s">
        <v>177</v>
      </c>
      <c r="C622" s="15" t="s">
        <v>756</v>
      </c>
      <c r="D622" s="15" t="s">
        <v>755</v>
      </c>
      <c r="E622" s="15"/>
      <c r="F622" s="15" t="s">
        <v>716</v>
      </c>
      <c r="G622" s="15" t="s">
        <v>112</v>
      </c>
      <c r="H622" s="15"/>
    </row>
    <row r="623" customFormat="false" ht="15" hidden="false" customHeight="true" outlineLevel="0" collapsed="false">
      <c r="A623" s="15" t="s">
        <v>176</v>
      </c>
      <c r="B623" s="15" t="s">
        <v>177</v>
      </c>
      <c r="C623" s="15" t="s">
        <v>757</v>
      </c>
      <c r="D623" s="15" t="s">
        <v>797</v>
      </c>
      <c r="E623" s="15"/>
      <c r="F623" s="15" t="s">
        <v>716</v>
      </c>
      <c r="G623" s="15" t="s">
        <v>112</v>
      </c>
      <c r="H623" s="15"/>
    </row>
    <row r="624" customFormat="false" ht="15" hidden="false" customHeight="true" outlineLevel="0" collapsed="false">
      <c r="A624" s="15" t="s">
        <v>176</v>
      </c>
      <c r="B624" s="15" t="s">
        <v>177</v>
      </c>
      <c r="C624" s="15" t="s">
        <v>759</v>
      </c>
      <c r="D624" s="15" t="s">
        <v>798</v>
      </c>
      <c r="E624" s="15"/>
      <c r="F624" s="15" t="s">
        <v>716</v>
      </c>
      <c r="G624" s="15" t="s">
        <v>112</v>
      </c>
      <c r="H624" s="15"/>
    </row>
    <row r="625" customFormat="false" ht="15" hidden="false" customHeight="true" outlineLevel="0" collapsed="false">
      <c r="A625" s="15" t="s">
        <v>176</v>
      </c>
      <c r="B625" s="15" t="s">
        <v>177</v>
      </c>
      <c r="C625" s="15" t="s">
        <v>761</v>
      </c>
      <c r="D625" s="15" t="s">
        <v>755</v>
      </c>
      <c r="E625" s="15"/>
      <c r="F625" s="15" t="s">
        <v>716</v>
      </c>
      <c r="G625" s="15" t="s">
        <v>112</v>
      </c>
      <c r="H625" s="15"/>
    </row>
    <row r="626" customFormat="false" ht="15" hidden="false" customHeight="true" outlineLevel="0" collapsed="false">
      <c r="A626" s="15" t="s">
        <v>176</v>
      </c>
      <c r="B626" s="15" t="s">
        <v>177</v>
      </c>
      <c r="C626" s="15" t="s">
        <v>762</v>
      </c>
      <c r="D626" s="15" t="s">
        <v>755</v>
      </c>
      <c r="E626" s="15"/>
      <c r="F626" s="15" t="s">
        <v>716</v>
      </c>
      <c r="G626" s="15" t="s">
        <v>112</v>
      </c>
      <c r="H626" s="15"/>
    </row>
    <row r="627" customFormat="false" ht="15" hidden="false" customHeight="true" outlineLevel="0" collapsed="false">
      <c r="A627" s="15" t="s">
        <v>176</v>
      </c>
      <c r="B627" s="15" t="s">
        <v>177</v>
      </c>
      <c r="C627" s="15" t="s">
        <v>92</v>
      </c>
      <c r="D627" s="15" t="s">
        <v>803</v>
      </c>
      <c r="E627" s="15"/>
      <c r="F627" s="15" t="s">
        <v>716</v>
      </c>
      <c r="G627" s="15" t="s">
        <v>112</v>
      </c>
      <c r="H627" s="15"/>
    </row>
    <row r="628" customFormat="false" ht="15" hidden="false" customHeight="true" outlineLevel="0" collapsed="false">
      <c r="A628" s="15" t="s">
        <v>176</v>
      </c>
      <c r="B628" s="15" t="s">
        <v>177</v>
      </c>
      <c r="C628" s="15" t="s">
        <v>763</v>
      </c>
      <c r="D628" s="15" t="s">
        <v>755</v>
      </c>
      <c r="E628" s="15"/>
      <c r="F628" s="15" t="s">
        <v>716</v>
      </c>
      <c r="G628" s="15" t="s">
        <v>112</v>
      </c>
      <c r="H628" s="15"/>
    </row>
    <row r="629" customFormat="false" ht="15" hidden="false" customHeight="true" outlineLevel="0" collapsed="false">
      <c r="A629" s="15" t="s">
        <v>176</v>
      </c>
      <c r="B629" s="15" t="s">
        <v>177</v>
      </c>
      <c r="C629" s="15" t="s">
        <v>764</v>
      </c>
      <c r="D629" s="15" t="s">
        <v>755</v>
      </c>
      <c r="E629" s="15"/>
      <c r="F629" s="15" t="s">
        <v>716</v>
      </c>
      <c r="G629" s="15" t="s">
        <v>112</v>
      </c>
      <c r="H629" s="15"/>
    </row>
    <row r="630" customFormat="false" ht="15" hidden="false" customHeight="true" outlineLevel="0" collapsed="false">
      <c r="A630" s="15" t="s">
        <v>176</v>
      </c>
      <c r="B630" s="15" t="s">
        <v>177</v>
      </c>
      <c r="C630" s="15" t="s">
        <v>765</v>
      </c>
      <c r="D630" s="15" t="s">
        <v>810</v>
      </c>
      <c r="E630" s="15"/>
      <c r="F630" s="15" t="s">
        <v>716</v>
      </c>
      <c r="G630" s="15" t="s">
        <v>112</v>
      </c>
      <c r="H630" s="15"/>
    </row>
    <row r="631" customFormat="false" ht="15" hidden="false" customHeight="true" outlineLevel="0" collapsed="false">
      <c r="A631" s="15" t="s">
        <v>176</v>
      </c>
      <c r="B631" s="15" t="s">
        <v>177</v>
      </c>
      <c r="C631" s="15" t="s">
        <v>767</v>
      </c>
      <c r="D631" s="15" t="s">
        <v>768</v>
      </c>
      <c r="E631" s="15"/>
      <c r="F631" s="15" t="s">
        <v>716</v>
      </c>
      <c r="G631" s="15" t="s">
        <v>112</v>
      </c>
      <c r="H631" s="15"/>
    </row>
    <row r="632" customFormat="false" ht="26.25" hidden="false" customHeight="true" outlineLevel="0" collapsed="false">
      <c r="A632" s="15" t="s">
        <v>176</v>
      </c>
      <c r="B632" s="15" t="s">
        <v>177</v>
      </c>
      <c r="C632" s="15" t="s">
        <v>769</v>
      </c>
      <c r="D632" s="15" t="n">
        <v>5</v>
      </c>
      <c r="E632" s="15" t="s">
        <v>721</v>
      </c>
      <c r="F632" s="15" t="s">
        <v>770</v>
      </c>
      <c r="G632" s="15" t="s">
        <v>293</v>
      </c>
      <c r="H632" s="15" t="s">
        <v>771</v>
      </c>
    </row>
    <row r="633" customFormat="false" ht="26.25" hidden="false" customHeight="true" outlineLevel="0" collapsed="false">
      <c r="A633" s="15" t="s">
        <v>176</v>
      </c>
      <c r="B633" s="15" t="s">
        <v>177</v>
      </c>
      <c r="C633" s="15" t="s">
        <v>772</v>
      </c>
      <c r="D633" s="15" t="n">
        <v>50000</v>
      </c>
      <c r="E633" s="15" t="s">
        <v>773</v>
      </c>
      <c r="F633" s="15" t="s">
        <v>770</v>
      </c>
      <c r="G633" s="15" t="s">
        <v>293</v>
      </c>
      <c r="H633" s="15" t="s">
        <v>774</v>
      </c>
    </row>
    <row r="634" customFormat="false" ht="26.25" hidden="false" customHeight="true" outlineLevel="0" collapsed="false">
      <c r="A634" s="15" t="s">
        <v>176</v>
      </c>
      <c r="B634" s="15" t="s">
        <v>177</v>
      </c>
      <c r="C634" s="15" t="s">
        <v>775</v>
      </c>
      <c r="D634" s="15" t="n">
        <v>75000</v>
      </c>
      <c r="E634" s="15" t="s">
        <v>773</v>
      </c>
      <c r="F634" s="15" t="s">
        <v>770</v>
      </c>
      <c r="G634" s="15" t="s">
        <v>293</v>
      </c>
      <c r="H634" s="15" t="s">
        <v>774</v>
      </c>
    </row>
    <row r="635" customFormat="false" ht="26.25" hidden="false" customHeight="true" outlineLevel="0" collapsed="false">
      <c r="A635" s="15" t="s">
        <v>176</v>
      </c>
      <c r="B635" s="15" t="s">
        <v>177</v>
      </c>
      <c r="C635" s="15" t="s">
        <v>811</v>
      </c>
      <c r="D635" s="15" t="n">
        <v>6.44</v>
      </c>
      <c r="E635" s="15" t="s">
        <v>812</v>
      </c>
      <c r="F635" s="15" t="s">
        <v>770</v>
      </c>
      <c r="G635" s="15" t="s">
        <v>293</v>
      </c>
      <c r="H635" s="15" t="s">
        <v>771</v>
      </c>
    </row>
    <row r="636" customFormat="false" ht="39" hidden="false" customHeight="true" outlineLevel="0" collapsed="false">
      <c r="A636" s="15" t="s">
        <v>176</v>
      </c>
      <c r="B636" s="15" t="s">
        <v>177</v>
      </c>
      <c r="C636" s="15" t="s">
        <v>776</v>
      </c>
      <c r="D636" s="15" t="s">
        <v>813</v>
      </c>
      <c r="E636" s="15"/>
      <c r="F636" s="15" t="s">
        <v>778</v>
      </c>
      <c r="G636" s="15" t="s">
        <v>293</v>
      </c>
      <c r="H636" s="15" t="s">
        <v>779</v>
      </c>
    </row>
    <row r="637" customFormat="false" ht="39" hidden="false" customHeight="true" outlineLevel="0" collapsed="false">
      <c r="A637" s="15" t="s">
        <v>176</v>
      </c>
      <c r="B637" s="15" t="s">
        <v>177</v>
      </c>
      <c r="C637" s="15" t="s">
        <v>780</v>
      </c>
      <c r="D637" s="15" t="s">
        <v>781</v>
      </c>
      <c r="E637" s="15"/>
      <c r="F637" s="15" t="s">
        <v>778</v>
      </c>
      <c r="G637" s="15" t="s">
        <v>293</v>
      </c>
      <c r="H637" s="15" t="s">
        <v>779</v>
      </c>
    </row>
    <row r="638" customFormat="false" ht="39" hidden="false" customHeight="true" outlineLevel="0" collapsed="false">
      <c r="A638" s="15" t="s">
        <v>176</v>
      </c>
      <c r="B638" s="15" t="s">
        <v>177</v>
      </c>
      <c r="C638" s="15" t="s">
        <v>782</v>
      </c>
      <c r="D638" s="15" t="n">
        <v>36</v>
      </c>
      <c r="E638" s="15" t="s">
        <v>783</v>
      </c>
      <c r="F638" s="15" t="s">
        <v>778</v>
      </c>
      <c r="G638" s="15" t="s">
        <v>293</v>
      </c>
      <c r="H638" s="15" t="s">
        <v>779</v>
      </c>
    </row>
    <row r="639" customFormat="false" ht="39" hidden="false" customHeight="true" outlineLevel="0" collapsed="false">
      <c r="A639" s="15" t="s">
        <v>176</v>
      </c>
      <c r="B639" s="15" t="s">
        <v>177</v>
      </c>
      <c r="C639" s="15" t="s">
        <v>784</v>
      </c>
      <c r="D639" s="15" t="n">
        <v>11</v>
      </c>
      <c r="E639" s="15" t="s">
        <v>738</v>
      </c>
      <c r="F639" s="15" t="s">
        <v>778</v>
      </c>
      <c r="G639" s="15" t="s">
        <v>293</v>
      </c>
      <c r="H639" s="15" t="s">
        <v>779</v>
      </c>
    </row>
    <row r="640" customFormat="false" ht="39" hidden="false" customHeight="true" outlineLevel="0" collapsed="false">
      <c r="A640" s="15" t="s">
        <v>176</v>
      </c>
      <c r="B640" s="15" t="s">
        <v>177</v>
      </c>
      <c r="C640" s="15" t="s">
        <v>785</v>
      </c>
      <c r="D640" s="15" t="n">
        <v>409</v>
      </c>
      <c r="E640" s="15" t="s">
        <v>786</v>
      </c>
      <c r="F640" s="15" t="s">
        <v>778</v>
      </c>
      <c r="G640" s="15" t="s">
        <v>293</v>
      </c>
      <c r="H640" s="15" t="s">
        <v>779</v>
      </c>
    </row>
    <row r="641" customFormat="false" ht="39" hidden="false" customHeight="true" outlineLevel="0" collapsed="false">
      <c r="A641" s="15" t="s">
        <v>176</v>
      </c>
      <c r="B641" s="15" t="s">
        <v>177</v>
      </c>
      <c r="C641" s="15" t="s">
        <v>787</v>
      </c>
      <c r="D641" s="15" t="s">
        <v>788</v>
      </c>
      <c r="E641" s="15"/>
      <c r="F641" s="15" t="s">
        <v>778</v>
      </c>
      <c r="G641" s="15" t="s">
        <v>293</v>
      </c>
      <c r="H641" s="15" t="s">
        <v>779</v>
      </c>
    </row>
    <row r="642" customFormat="false" ht="39" hidden="false" customHeight="true" outlineLevel="0" collapsed="false">
      <c r="A642" s="15" t="s">
        <v>176</v>
      </c>
      <c r="B642" s="15" t="s">
        <v>177</v>
      </c>
      <c r="C642" s="15" t="s">
        <v>789</v>
      </c>
      <c r="D642" s="15" t="s">
        <v>790</v>
      </c>
      <c r="E642" s="15"/>
      <c r="F642" s="15" t="s">
        <v>778</v>
      </c>
      <c r="G642" s="15" t="s">
        <v>293</v>
      </c>
      <c r="H642" s="15" t="s">
        <v>779</v>
      </c>
    </row>
    <row r="643" customFormat="false" ht="39" hidden="false" customHeight="true" outlineLevel="0" collapsed="false">
      <c r="A643" s="15" t="s">
        <v>176</v>
      </c>
      <c r="B643" s="15" t="s">
        <v>177</v>
      </c>
      <c r="C643" s="15" t="s">
        <v>791</v>
      </c>
      <c r="D643" s="15" t="s">
        <v>792</v>
      </c>
      <c r="E643" s="15"/>
      <c r="F643" s="15" t="s">
        <v>778</v>
      </c>
      <c r="G643" s="15" t="s">
        <v>293</v>
      </c>
      <c r="H643" s="15" t="s">
        <v>779</v>
      </c>
    </row>
    <row r="644" customFormat="false" ht="26.25" hidden="false" customHeight="true" outlineLevel="0" collapsed="false">
      <c r="A644" s="15" t="s">
        <v>151</v>
      </c>
      <c r="B644" s="15" t="s">
        <v>152</v>
      </c>
      <c r="C644" s="15" t="s">
        <v>714</v>
      </c>
      <c r="D644" s="15" t="n">
        <v>360</v>
      </c>
      <c r="E644" s="15" t="s">
        <v>715</v>
      </c>
      <c r="F644" s="15" t="s">
        <v>716</v>
      </c>
      <c r="G644" s="15" t="s">
        <v>112</v>
      </c>
      <c r="H644" s="15" t="s">
        <v>717</v>
      </c>
    </row>
    <row r="645" customFormat="false" ht="15" hidden="false" customHeight="true" outlineLevel="0" collapsed="false">
      <c r="A645" s="15" t="s">
        <v>151</v>
      </c>
      <c r="B645" s="15" t="s">
        <v>152</v>
      </c>
      <c r="C645" s="15" t="s">
        <v>718</v>
      </c>
      <c r="D645" s="15" t="s">
        <v>113</v>
      </c>
      <c r="E645" s="15"/>
      <c r="F645" s="15" t="s">
        <v>716</v>
      </c>
      <c r="G645" s="15" t="s">
        <v>112</v>
      </c>
      <c r="H645" s="15"/>
    </row>
    <row r="646" customFormat="false" ht="15" hidden="false" customHeight="true" outlineLevel="0" collapsed="false">
      <c r="A646" s="15" t="s">
        <v>151</v>
      </c>
      <c r="B646" s="15" t="s">
        <v>152</v>
      </c>
      <c r="C646" s="15" t="s">
        <v>719</v>
      </c>
      <c r="D646" s="15" t="n">
        <v>20</v>
      </c>
      <c r="E646" s="15" t="s">
        <v>720</v>
      </c>
      <c r="F646" s="15" t="s">
        <v>716</v>
      </c>
      <c r="G646" s="15" t="s">
        <v>112</v>
      </c>
      <c r="H646" s="15"/>
    </row>
    <row r="647" customFormat="false" ht="15" hidden="false" customHeight="true" outlineLevel="0" collapsed="false">
      <c r="A647" s="15" t="s">
        <v>151</v>
      </c>
      <c r="B647" s="15" t="s">
        <v>152</v>
      </c>
      <c r="C647" s="15" t="s">
        <v>86</v>
      </c>
      <c r="D647" s="15" t="n">
        <v>6</v>
      </c>
      <c r="E647" s="15" t="s">
        <v>721</v>
      </c>
      <c r="F647" s="15" t="s">
        <v>716</v>
      </c>
      <c r="G647" s="15" t="s">
        <v>112</v>
      </c>
      <c r="H647" s="15"/>
    </row>
    <row r="648" customFormat="false" ht="15" hidden="false" customHeight="true" outlineLevel="0" collapsed="false">
      <c r="A648" s="15" t="s">
        <v>151</v>
      </c>
      <c r="B648" s="15" t="s">
        <v>152</v>
      </c>
      <c r="C648" s="15" t="s">
        <v>722</v>
      </c>
      <c r="D648" s="15" t="n">
        <v>455</v>
      </c>
      <c r="E648" s="15" t="s">
        <v>723</v>
      </c>
      <c r="F648" s="15" t="s">
        <v>716</v>
      </c>
      <c r="G648" s="15" t="s">
        <v>112</v>
      </c>
      <c r="H648" s="15"/>
    </row>
    <row r="649" customFormat="false" ht="15" hidden="false" customHeight="true" outlineLevel="0" collapsed="false">
      <c r="A649" s="15" t="s">
        <v>151</v>
      </c>
      <c r="B649" s="15" t="s">
        <v>152</v>
      </c>
      <c r="C649" s="15" t="s">
        <v>724</v>
      </c>
      <c r="D649" s="15" t="n">
        <v>45</v>
      </c>
      <c r="E649" s="15" t="s">
        <v>723</v>
      </c>
      <c r="F649" s="15" t="s">
        <v>716</v>
      </c>
      <c r="G649" s="15" t="s">
        <v>112</v>
      </c>
      <c r="H649" s="15"/>
    </row>
    <row r="650" customFormat="false" ht="15" hidden="false" customHeight="true" outlineLevel="0" collapsed="false">
      <c r="A650" s="15" t="s">
        <v>151</v>
      </c>
      <c r="B650" s="15" t="s">
        <v>152</v>
      </c>
      <c r="C650" s="15" t="s">
        <v>84</v>
      </c>
      <c r="D650" s="15" t="n">
        <v>207</v>
      </c>
      <c r="E650" s="15" t="s">
        <v>725</v>
      </c>
      <c r="F650" s="15" t="s">
        <v>716</v>
      </c>
      <c r="G650" s="15" t="s">
        <v>112</v>
      </c>
      <c r="H650" s="15"/>
    </row>
    <row r="651" customFormat="false" ht="15" hidden="false" customHeight="true" outlineLevel="0" collapsed="false">
      <c r="A651" s="15" t="s">
        <v>151</v>
      </c>
      <c r="B651" s="15" t="s">
        <v>152</v>
      </c>
      <c r="C651" s="15" t="s">
        <v>726</v>
      </c>
      <c r="D651" s="15" t="n">
        <v>4371</v>
      </c>
      <c r="E651" s="15" t="s">
        <v>725</v>
      </c>
      <c r="F651" s="15" t="s">
        <v>716</v>
      </c>
      <c r="G651" s="15" t="s">
        <v>112</v>
      </c>
      <c r="H651" s="15"/>
    </row>
    <row r="652" customFormat="false" ht="15" hidden="false" customHeight="true" outlineLevel="0" collapsed="false">
      <c r="A652" s="15" t="s">
        <v>151</v>
      </c>
      <c r="B652" s="15" t="s">
        <v>152</v>
      </c>
      <c r="C652" s="15" t="s">
        <v>727</v>
      </c>
      <c r="D652" s="15" t="n">
        <v>1907</v>
      </c>
      <c r="E652" s="15" t="s">
        <v>725</v>
      </c>
      <c r="F652" s="15" t="s">
        <v>716</v>
      </c>
      <c r="G652" s="15" t="s">
        <v>112</v>
      </c>
      <c r="H652" s="15"/>
    </row>
    <row r="653" customFormat="false" ht="15" hidden="false" customHeight="true" outlineLevel="0" collapsed="false">
      <c r="A653" s="15" t="s">
        <v>151</v>
      </c>
      <c r="B653" s="15" t="s">
        <v>152</v>
      </c>
      <c r="C653" s="15" t="s">
        <v>728</v>
      </c>
      <c r="D653" s="15" t="n">
        <v>1627</v>
      </c>
      <c r="E653" s="15" t="s">
        <v>725</v>
      </c>
      <c r="F653" s="15" t="s">
        <v>716</v>
      </c>
      <c r="G653" s="15" t="s">
        <v>112</v>
      </c>
      <c r="H653" s="15"/>
    </row>
    <row r="654" customFormat="false" ht="15" hidden="false" customHeight="true" outlineLevel="0" collapsed="false">
      <c r="A654" s="15" t="s">
        <v>151</v>
      </c>
      <c r="B654" s="15" t="s">
        <v>152</v>
      </c>
      <c r="C654" s="15" t="s">
        <v>729</v>
      </c>
      <c r="D654" s="15" t="n">
        <v>2775</v>
      </c>
      <c r="E654" s="15" t="s">
        <v>725</v>
      </c>
      <c r="F654" s="15" t="s">
        <v>716</v>
      </c>
      <c r="G654" s="15" t="s">
        <v>112</v>
      </c>
      <c r="H654" s="15"/>
    </row>
    <row r="655" customFormat="false" ht="15" hidden="false" customHeight="true" outlineLevel="0" collapsed="false">
      <c r="A655" s="15" t="s">
        <v>151</v>
      </c>
      <c r="B655" s="15" t="s">
        <v>152</v>
      </c>
      <c r="C655" s="15" t="s">
        <v>730</v>
      </c>
      <c r="D655" s="15" t="n">
        <v>10</v>
      </c>
      <c r="E655" s="15" t="s">
        <v>731</v>
      </c>
      <c r="F655" s="15" t="s">
        <v>716</v>
      </c>
      <c r="G655" s="15" t="s">
        <v>112</v>
      </c>
      <c r="H655" s="15"/>
    </row>
    <row r="656" customFormat="false" ht="26.25" hidden="false" customHeight="true" outlineLevel="0" collapsed="false">
      <c r="A656" s="15" t="s">
        <v>151</v>
      </c>
      <c r="B656" s="15" t="s">
        <v>152</v>
      </c>
      <c r="C656" s="15" t="s">
        <v>98</v>
      </c>
      <c r="D656" s="15" t="s">
        <v>732</v>
      </c>
      <c r="E656" s="15"/>
      <c r="F656" s="15" t="s">
        <v>716</v>
      </c>
      <c r="G656" s="15" t="s">
        <v>112</v>
      </c>
      <c r="H656" s="15"/>
    </row>
    <row r="657" customFormat="false" ht="26.25" hidden="false" customHeight="true" outlineLevel="0" collapsed="false">
      <c r="A657" s="15" t="s">
        <v>151</v>
      </c>
      <c r="B657" s="15" t="s">
        <v>152</v>
      </c>
      <c r="C657" s="15" t="s">
        <v>733</v>
      </c>
      <c r="D657" s="15" t="s">
        <v>808</v>
      </c>
      <c r="E657" s="15"/>
      <c r="F657" s="15" t="s">
        <v>735</v>
      </c>
      <c r="G657" s="15" t="s">
        <v>112</v>
      </c>
      <c r="H657" s="15" t="s">
        <v>736</v>
      </c>
    </row>
    <row r="658" customFormat="false" ht="15" hidden="false" customHeight="true" outlineLevel="0" collapsed="false">
      <c r="A658" s="15" t="s">
        <v>151</v>
      </c>
      <c r="B658" s="15" t="s">
        <v>152</v>
      </c>
      <c r="C658" s="15" t="s">
        <v>737</v>
      </c>
      <c r="D658" s="15" t="n">
        <v>210</v>
      </c>
      <c r="E658" s="15" t="s">
        <v>738</v>
      </c>
      <c r="F658" s="15" t="s">
        <v>716</v>
      </c>
      <c r="G658" s="15" t="s">
        <v>112</v>
      </c>
      <c r="H658" s="15"/>
    </row>
    <row r="659" customFormat="false" ht="15" hidden="false" customHeight="true" outlineLevel="0" collapsed="false">
      <c r="A659" s="15" t="s">
        <v>151</v>
      </c>
      <c r="B659" s="15" t="s">
        <v>152</v>
      </c>
      <c r="C659" s="15" t="s">
        <v>739</v>
      </c>
      <c r="D659" s="15" t="n">
        <v>180</v>
      </c>
      <c r="E659" s="15" t="s">
        <v>738</v>
      </c>
      <c r="F659" s="15" t="s">
        <v>716</v>
      </c>
      <c r="G659" s="15" t="s">
        <v>112</v>
      </c>
      <c r="H659" s="15"/>
    </row>
    <row r="660" customFormat="false" ht="26.25" hidden="false" customHeight="true" outlineLevel="0" collapsed="false">
      <c r="A660" s="15" t="s">
        <v>151</v>
      </c>
      <c r="B660" s="15" t="s">
        <v>152</v>
      </c>
      <c r="C660" s="15" t="s">
        <v>740</v>
      </c>
      <c r="D660" s="15" t="n">
        <v>8</v>
      </c>
      <c r="E660" s="15" t="s">
        <v>741</v>
      </c>
      <c r="F660" s="15" t="s">
        <v>716</v>
      </c>
      <c r="G660" s="15" t="s">
        <v>112</v>
      </c>
      <c r="H660" s="15"/>
    </row>
    <row r="661" customFormat="false" ht="15" hidden="false" customHeight="true" outlineLevel="0" collapsed="false">
      <c r="A661" s="15" t="s">
        <v>151</v>
      </c>
      <c r="B661" s="15" t="s">
        <v>152</v>
      </c>
      <c r="C661" s="15" t="s">
        <v>742</v>
      </c>
      <c r="D661" s="15" t="n">
        <v>11.7</v>
      </c>
      <c r="E661" s="15" t="s">
        <v>741</v>
      </c>
      <c r="F661" s="15" t="s">
        <v>716</v>
      </c>
      <c r="G661" s="15" t="s">
        <v>112</v>
      </c>
      <c r="H661" s="15"/>
    </row>
    <row r="662" customFormat="false" ht="15" hidden="false" customHeight="true" outlineLevel="0" collapsed="false">
      <c r="A662" s="15" t="s">
        <v>151</v>
      </c>
      <c r="B662" s="15" t="s">
        <v>152</v>
      </c>
      <c r="C662" s="15" t="s">
        <v>743</v>
      </c>
      <c r="D662" s="15" t="s">
        <v>793</v>
      </c>
      <c r="E662" s="15"/>
      <c r="F662" s="15" t="s">
        <v>716</v>
      </c>
      <c r="G662" s="15" t="s">
        <v>112</v>
      </c>
      <c r="H662" s="15"/>
    </row>
    <row r="663" customFormat="false" ht="15" hidden="false" customHeight="true" outlineLevel="0" collapsed="false">
      <c r="A663" s="15" t="s">
        <v>151</v>
      </c>
      <c r="B663" s="15" t="s">
        <v>152</v>
      </c>
      <c r="C663" s="15" t="s">
        <v>745</v>
      </c>
      <c r="D663" s="15" t="s">
        <v>794</v>
      </c>
      <c r="E663" s="15"/>
      <c r="F663" s="15" t="s">
        <v>716</v>
      </c>
      <c r="G663" s="15" t="s">
        <v>112</v>
      </c>
      <c r="H663" s="15"/>
    </row>
    <row r="664" customFormat="false" ht="15" hidden="false" customHeight="true" outlineLevel="0" collapsed="false">
      <c r="A664" s="15" t="s">
        <v>151</v>
      </c>
      <c r="B664" s="15" t="s">
        <v>152</v>
      </c>
      <c r="C664" s="15" t="s">
        <v>747</v>
      </c>
      <c r="D664" s="15" t="s">
        <v>801</v>
      </c>
      <c r="E664" s="15"/>
      <c r="F664" s="15" t="s">
        <v>716</v>
      </c>
      <c r="G664" s="15" t="s">
        <v>112</v>
      </c>
      <c r="H664" s="15"/>
    </row>
    <row r="665" customFormat="false" ht="15" hidden="false" customHeight="true" outlineLevel="0" collapsed="false">
      <c r="A665" s="15" t="s">
        <v>151</v>
      </c>
      <c r="B665" s="15" t="s">
        <v>152</v>
      </c>
      <c r="C665" s="15" t="s">
        <v>749</v>
      </c>
      <c r="D665" s="15" t="s">
        <v>814</v>
      </c>
      <c r="E665" s="15"/>
      <c r="F665" s="15" t="s">
        <v>716</v>
      </c>
      <c r="G665" s="15" t="s">
        <v>112</v>
      </c>
      <c r="H665" s="15" t="s">
        <v>751</v>
      </c>
    </row>
    <row r="666" customFormat="false" ht="15" hidden="false" customHeight="true" outlineLevel="0" collapsed="false">
      <c r="A666" s="15" t="s">
        <v>151</v>
      </c>
      <c r="B666" s="15" t="s">
        <v>152</v>
      </c>
      <c r="C666" s="15" t="s">
        <v>752</v>
      </c>
      <c r="D666" s="15" t="s">
        <v>796</v>
      </c>
      <c r="E666" s="15"/>
      <c r="F666" s="15" t="s">
        <v>716</v>
      </c>
      <c r="G666" s="15" t="s">
        <v>112</v>
      </c>
      <c r="H666" s="15"/>
    </row>
    <row r="667" customFormat="false" ht="15" hidden="false" customHeight="true" outlineLevel="0" collapsed="false">
      <c r="A667" s="15" t="s">
        <v>151</v>
      </c>
      <c r="B667" s="15" t="s">
        <v>152</v>
      </c>
      <c r="C667" s="15" t="s">
        <v>90</v>
      </c>
      <c r="D667" s="15" t="s">
        <v>815</v>
      </c>
      <c r="E667" s="15"/>
      <c r="F667" s="15" t="s">
        <v>716</v>
      </c>
      <c r="G667" s="15" t="s">
        <v>112</v>
      </c>
      <c r="H667" s="15"/>
    </row>
    <row r="668" customFormat="false" ht="15" hidden="false" customHeight="true" outlineLevel="0" collapsed="false">
      <c r="A668" s="15" t="s">
        <v>151</v>
      </c>
      <c r="B668" s="15" t="s">
        <v>152</v>
      </c>
      <c r="C668" s="15" t="s">
        <v>754</v>
      </c>
      <c r="D668" s="15" t="s">
        <v>803</v>
      </c>
      <c r="E668" s="15"/>
      <c r="F668" s="15" t="s">
        <v>716</v>
      </c>
      <c r="G668" s="15" t="s">
        <v>112</v>
      </c>
      <c r="H668" s="15"/>
    </row>
    <row r="669" customFormat="false" ht="15" hidden="false" customHeight="true" outlineLevel="0" collapsed="false">
      <c r="A669" s="15" t="s">
        <v>151</v>
      </c>
      <c r="B669" s="15" t="s">
        <v>152</v>
      </c>
      <c r="C669" s="15" t="s">
        <v>756</v>
      </c>
      <c r="D669" s="15" t="s">
        <v>804</v>
      </c>
      <c r="E669" s="15"/>
      <c r="F669" s="15" t="s">
        <v>716</v>
      </c>
      <c r="G669" s="15" t="s">
        <v>112</v>
      </c>
      <c r="H669" s="15"/>
    </row>
    <row r="670" customFormat="false" ht="15" hidden="false" customHeight="true" outlineLevel="0" collapsed="false">
      <c r="A670" s="15" t="s">
        <v>151</v>
      </c>
      <c r="B670" s="15" t="s">
        <v>152</v>
      </c>
      <c r="C670" s="15" t="s">
        <v>757</v>
      </c>
      <c r="D670" s="15" t="s">
        <v>797</v>
      </c>
      <c r="E670" s="15"/>
      <c r="F670" s="15" t="s">
        <v>716</v>
      </c>
      <c r="G670" s="15" t="s">
        <v>112</v>
      </c>
      <c r="H670" s="15"/>
    </row>
    <row r="671" customFormat="false" ht="15" hidden="false" customHeight="true" outlineLevel="0" collapsed="false">
      <c r="A671" s="15" t="s">
        <v>151</v>
      </c>
      <c r="B671" s="15" t="s">
        <v>152</v>
      </c>
      <c r="C671" s="15" t="s">
        <v>759</v>
      </c>
      <c r="D671" s="15" t="s">
        <v>798</v>
      </c>
      <c r="E671" s="15"/>
      <c r="F671" s="15" t="s">
        <v>716</v>
      </c>
      <c r="G671" s="15" t="s">
        <v>112</v>
      </c>
      <c r="H671" s="15"/>
    </row>
    <row r="672" customFormat="false" ht="15" hidden="false" customHeight="true" outlineLevel="0" collapsed="false">
      <c r="A672" s="15" t="s">
        <v>151</v>
      </c>
      <c r="B672" s="15" t="s">
        <v>152</v>
      </c>
      <c r="C672" s="15" t="s">
        <v>761</v>
      </c>
      <c r="D672" s="15" t="s">
        <v>816</v>
      </c>
      <c r="E672" s="15"/>
      <c r="F672" s="15" t="s">
        <v>716</v>
      </c>
      <c r="G672" s="15" t="s">
        <v>112</v>
      </c>
      <c r="H672" s="15"/>
    </row>
    <row r="673" customFormat="false" ht="15" hidden="false" customHeight="true" outlineLevel="0" collapsed="false">
      <c r="A673" s="15" t="s">
        <v>151</v>
      </c>
      <c r="B673" s="15" t="s">
        <v>152</v>
      </c>
      <c r="C673" s="15" t="s">
        <v>762</v>
      </c>
      <c r="D673" s="15" t="s">
        <v>803</v>
      </c>
      <c r="E673" s="15"/>
      <c r="F673" s="15" t="s">
        <v>716</v>
      </c>
      <c r="G673" s="15" t="s">
        <v>112</v>
      </c>
      <c r="H673" s="15"/>
    </row>
    <row r="674" customFormat="false" ht="15" hidden="false" customHeight="true" outlineLevel="0" collapsed="false">
      <c r="A674" s="15" t="s">
        <v>151</v>
      </c>
      <c r="B674" s="15" t="s">
        <v>152</v>
      </c>
      <c r="C674" s="15" t="s">
        <v>92</v>
      </c>
      <c r="D674" s="15" t="s">
        <v>803</v>
      </c>
      <c r="E674" s="15"/>
      <c r="F674" s="15" t="s">
        <v>716</v>
      </c>
      <c r="G674" s="15" t="s">
        <v>112</v>
      </c>
      <c r="H674" s="15"/>
    </row>
    <row r="675" customFormat="false" ht="15" hidden="false" customHeight="true" outlineLevel="0" collapsed="false">
      <c r="A675" s="15" t="s">
        <v>151</v>
      </c>
      <c r="B675" s="15" t="s">
        <v>152</v>
      </c>
      <c r="C675" s="15" t="s">
        <v>763</v>
      </c>
      <c r="D675" s="15" t="s">
        <v>807</v>
      </c>
      <c r="E675" s="15"/>
      <c r="F675" s="15" t="s">
        <v>716</v>
      </c>
      <c r="G675" s="15" t="s">
        <v>112</v>
      </c>
      <c r="H675" s="15"/>
    </row>
    <row r="676" customFormat="false" ht="15" hidden="false" customHeight="true" outlineLevel="0" collapsed="false">
      <c r="A676" s="15" t="s">
        <v>151</v>
      </c>
      <c r="B676" s="15" t="s">
        <v>152</v>
      </c>
      <c r="C676" s="15" t="s">
        <v>764</v>
      </c>
      <c r="D676" s="15" t="s">
        <v>803</v>
      </c>
      <c r="E676" s="15"/>
      <c r="F676" s="15" t="s">
        <v>716</v>
      </c>
      <c r="G676" s="15" t="s">
        <v>112</v>
      </c>
      <c r="H676" s="15"/>
    </row>
    <row r="677" customFormat="false" ht="15" hidden="false" customHeight="true" outlineLevel="0" collapsed="false">
      <c r="A677" s="15" t="s">
        <v>151</v>
      </c>
      <c r="B677" s="15" t="s">
        <v>152</v>
      </c>
      <c r="C677" s="15" t="s">
        <v>765</v>
      </c>
      <c r="D677" s="15" t="s">
        <v>799</v>
      </c>
      <c r="E677" s="15"/>
      <c r="F677" s="15" t="s">
        <v>716</v>
      </c>
      <c r="G677" s="15" t="s">
        <v>112</v>
      </c>
      <c r="H677" s="15"/>
    </row>
    <row r="678" customFormat="false" ht="15" hidden="false" customHeight="true" outlineLevel="0" collapsed="false">
      <c r="A678" s="15" t="s">
        <v>151</v>
      </c>
      <c r="B678" s="15" t="s">
        <v>152</v>
      </c>
      <c r="C678" s="15" t="s">
        <v>767</v>
      </c>
      <c r="D678" s="15" t="s">
        <v>817</v>
      </c>
      <c r="E678" s="15"/>
      <c r="F678" s="15" t="s">
        <v>716</v>
      </c>
      <c r="G678" s="15" t="s">
        <v>112</v>
      </c>
      <c r="H678" s="15"/>
    </row>
    <row r="679" customFormat="false" ht="26.25" hidden="false" customHeight="true" outlineLevel="0" collapsed="false">
      <c r="A679" s="15" t="s">
        <v>151</v>
      </c>
      <c r="B679" s="15" t="s">
        <v>152</v>
      </c>
      <c r="C679" s="15" t="s">
        <v>769</v>
      </c>
      <c r="D679" s="15" t="n">
        <v>5</v>
      </c>
      <c r="E679" s="15" t="s">
        <v>721</v>
      </c>
      <c r="F679" s="15" t="s">
        <v>770</v>
      </c>
      <c r="G679" s="15" t="s">
        <v>293</v>
      </c>
      <c r="H679" s="15" t="s">
        <v>771</v>
      </c>
    </row>
    <row r="680" customFormat="false" ht="26.25" hidden="false" customHeight="true" outlineLevel="0" collapsed="false">
      <c r="A680" s="15" t="s">
        <v>151</v>
      </c>
      <c r="B680" s="15" t="s">
        <v>152</v>
      </c>
      <c r="C680" s="15" t="s">
        <v>772</v>
      </c>
      <c r="D680" s="15" t="n">
        <v>50000</v>
      </c>
      <c r="E680" s="15" t="s">
        <v>773</v>
      </c>
      <c r="F680" s="15" t="s">
        <v>770</v>
      </c>
      <c r="G680" s="15" t="s">
        <v>293</v>
      </c>
      <c r="H680" s="15" t="s">
        <v>774</v>
      </c>
    </row>
    <row r="681" customFormat="false" ht="26.25" hidden="false" customHeight="true" outlineLevel="0" collapsed="false">
      <c r="A681" s="15" t="s">
        <v>151</v>
      </c>
      <c r="B681" s="15" t="s">
        <v>152</v>
      </c>
      <c r="C681" s="15" t="s">
        <v>775</v>
      </c>
      <c r="D681" s="15" t="n">
        <v>75000</v>
      </c>
      <c r="E681" s="15" t="s">
        <v>773</v>
      </c>
      <c r="F681" s="15" t="s">
        <v>770</v>
      </c>
      <c r="G681" s="15" t="s">
        <v>293</v>
      </c>
      <c r="H681" s="15" t="s">
        <v>774</v>
      </c>
    </row>
    <row r="682" customFormat="false" ht="39" hidden="false" customHeight="true" outlineLevel="0" collapsed="false">
      <c r="A682" s="15" t="s">
        <v>151</v>
      </c>
      <c r="B682" s="15" t="s">
        <v>152</v>
      </c>
      <c r="C682" s="15" t="s">
        <v>776</v>
      </c>
      <c r="D682" s="15" t="s">
        <v>800</v>
      </c>
      <c r="E682" s="15"/>
      <c r="F682" s="15" t="s">
        <v>778</v>
      </c>
      <c r="G682" s="15" t="s">
        <v>293</v>
      </c>
      <c r="H682" s="15" t="s">
        <v>779</v>
      </c>
    </row>
    <row r="683" customFormat="false" ht="39" hidden="false" customHeight="true" outlineLevel="0" collapsed="false">
      <c r="A683" s="15" t="s">
        <v>151</v>
      </c>
      <c r="B683" s="15" t="s">
        <v>152</v>
      </c>
      <c r="C683" s="15" t="s">
        <v>780</v>
      </c>
      <c r="D683" s="15" t="s">
        <v>781</v>
      </c>
      <c r="E683" s="15"/>
      <c r="F683" s="15" t="s">
        <v>778</v>
      </c>
      <c r="G683" s="15" t="s">
        <v>293</v>
      </c>
      <c r="H683" s="15" t="s">
        <v>779</v>
      </c>
    </row>
    <row r="684" customFormat="false" ht="39" hidden="false" customHeight="true" outlineLevel="0" collapsed="false">
      <c r="A684" s="15" t="s">
        <v>151</v>
      </c>
      <c r="B684" s="15" t="s">
        <v>152</v>
      </c>
      <c r="C684" s="15" t="s">
        <v>782</v>
      </c>
      <c r="D684" s="15" t="n">
        <v>36</v>
      </c>
      <c r="E684" s="15" t="s">
        <v>783</v>
      </c>
      <c r="F684" s="15" t="s">
        <v>778</v>
      </c>
      <c r="G684" s="15" t="s">
        <v>293</v>
      </c>
      <c r="H684" s="15" t="s">
        <v>779</v>
      </c>
    </row>
    <row r="685" customFormat="false" ht="39" hidden="false" customHeight="true" outlineLevel="0" collapsed="false">
      <c r="A685" s="15" t="s">
        <v>151</v>
      </c>
      <c r="B685" s="15" t="s">
        <v>152</v>
      </c>
      <c r="C685" s="15" t="s">
        <v>784</v>
      </c>
      <c r="D685" s="15" t="n">
        <v>11</v>
      </c>
      <c r="E685" s="15" t="s">
        <v>738</v>
      </c>
      <c r="F685" s="15" t="s">
        <v>778</v>
      </c>
      <c r="G685" s="15" t="s">
        <v>293</v>
      </c>
      <c r="H685" s="15" t="s">
        <v>779</v>
      </c>
    </row>
    <row r="686" customFormat="false" ht="39" hidden="false" customHeight="true" outlineLevel="0" collapsed="false">
      <c r="A686" s="15" t="s">
        <v>151</v>
      </c>
      <c r="B686" s="15" t="s">
        <v>152</v>
      </c>
      <c r="C686" s="15" t="s">
        <v>785</v>
      </c>
      <c r="D686" s="15" t="n">
        <v>409</v>
      </c>
      <c r="E686" s="15" t="s">
        <v>786</v>
      </c>
      <c r="F686" s="15" t="s">
        <v>778</v>
      </c>
      <c r="G686" s="15" t="s">
        <v>293</v>
      </c>
      <c r="H686" s="15" t="s">
        <v>779</v>
      </c>
    </row>
    <row r="687" customFormat="false" ht="39" hidden="false" customHeight="true" outlineLevel="0" collapsed="false">
      <c r="A687" s="15" t="s">
        <v>151</v>
      </c>
      <c r="B687" s="15" t="s">
        <v>152</v>
      </c>
      <c r="C687" s="15" t="s">
        <v>787</v>
      </c>
      <c r="D687" s="15" t="s">
        <v>788</v>
      </c>
      <c r="E687" s="15"/>
      <c r="F687" s="15" t="s">
        <v>778</v>
      </c>
      <c r="G687" s="15" t="s">
        <v>293</v>
      </c>
      <c r="H687" s="15" t="s">
        <v>779</v>
      </c>
    </row>
    <row r="688" customFormat="false" ht="39" hidden="false" customHeight="true" outlineLevel="0" collapsed="false">
      <c r="A688" s="15" t="s">
        <v>151</v>
      </c>
      <c r="B688" s="15" t="s">
        <v>152</v>
      </c>
      <c r="C688" s="15" t="s">
        <v>789</v>
      </c>
      <c r="D688" s="15" t="s">
        <v>790</v>
      </c>
      <c r="E688" s="15"/>
      <c r="F688" s="15" t="s">
        <v>778</v>
      </c>
      <c r="G688" s="15" t="s">
        <v>293</v>
      </c>
      <c r="H688" s="15" t="s">
        <v>779</v>
      </c>
    </row>
    <row r="689" customFormat="false" ht="39" hidden="false" customHeight="true" outlineLevel="0" collapsed="false">
      <c r="A689" s="15" t="s">
        <v>151</v>
      </c>
      <c r="B689" s="15" t="s">
        <v>152</v>
      </c>
      <c r="C689" s="15" t="s">
        <v>791</v>
      </c>
      <c r="D689" s="15" t="s">
        <v>792</v>
      </c>
      <c r="E689" s="15"/>
      <c r="F689" s="15" t="s">
        <v>778</v>
      </c>
      <c r="G689" s="15" t="s">
        <v>293</v>
      </c>
      <c r="H689" s="15" t="s">
        <v>779</v>
      </c>
    </row>
    <row r="690" customFormat="false" ht="26.25" hidden="false" customHeight="true" outlineLevel="0" collapsed="false">
      <c r="A690" s="15" t="s">
        <v>186</v>
      </c>
      <c r="B690" s="15" t="s">
        <v>187</v>
      </c>
      <c r="C690" s="15" t="s">
        <v>714</v>
      </c>
      <c r="D690" s="15" t="n">
        <v>360</v>
      </c>
      <c r="E690" s="15" t="s">
        <v>715</v>
      </c>
      <c r="F690" s="15" t="s">
        <v>716</v>
      </c>
      <c r="G690" s="15" t="s">
        <v>112</v>
      </c>
      <c r="H690" s="15" t="s">
        <v>717</v>
      </c>
    </row>
    <row r="691" customFormat="false" ht="15" hidden="false" customHeight="true" outlineLevel="0" collapsed="false">
      <c r="A691" s="15" t="s">
        <v>186</v>
      </c>
      <c r="B691" s="15" t="s">
        <v>187</v>
      </c>
      <c r="C691" s="15" t="s">
        <v>718</v>
      </c>
      <c r="D691" s="15" t="s">
        <v>113</v>
      </c>
      <c r="E691" s="15"/>
      <c r="F691" s="15" t="s">
        <v>716</v>
      </c>
      <c r="G691" s="15" t="s">
        <v>112</v>
      </c>
      <c r="H691" s="15"/>
    </row>
    <row r="692" customFormat="false" ht="15" hidden="false" customHeight="true" outlineLevel="0" collapsed="false">
      <c r="A692" s="15" t="s">
        <v>186</v>
      </c>
      <c r="B692" s="15" t="s">
        <v>187</v>
      </c>
      <c r="C692" s="15" t="s">
        <v>719</v>
      </c>
      <c r="D692" s="15" t="n">
        <v>20</v>
      </c>
      <c r="E692" s="15" t="s">
        <v>720</v>
      </c>
      <c r="F692" s="15" t="s">
        <v>716</v>
      </c>
      <c r="G692" s="15" t="s">
        <v>112</v>
      </c>
      <c r="H692" s="15"/>
    </row>
    <row r="693" customFormat="false" ht="15" hidden="false" customHeight="true" outlineLevel="0" collapsed="false">
      <c r="A693" s="15" t="s">
        <v>186</v>
      </c>
      <c r="B693" s="15" t="s">
        <v>187</v>
      </c>
      <c r="C693" s="15" t="s">
        <v>86</v>
      </c>
      <c r="D693" s="15" t="n">
        <v>6</v>
      </c>
      <c r="E693" s="15" t="s">
        <v>721</v>
      </c>
      <c r="F693" s="15" t="s">
        <v>716</v>
      </c>
      <c r="G693" s="15" t="s">
        <v>112</v>
      </c>
      <c r="H693" s="15"/>
    </row>
    <row r="694" customFormat="false" ht="15" hidden="false" customHeight="true" outlineLevel="0" collapsed="false">
      <c r="A694" s="15" t="s">
        <v>186</v>
      </c>
      <c r="B694" s="15" t="s">
        <v>187</v>
      </c>
      <c r="C694" s="15" t="s">
        <v>722</v>
      </c>
      <c r="D694" s="15" t="n">
        <v>455</v>
      </c>
      <c r="E694" s="15" t="s">
        <v>723</v>
      </c>
      <c r="F694" s="15" t="s">
        <v>716</v>
      </c>
      <c r="G694" s="15" t="s">
        <v>112</v>
      </c>
      <c r="H694" s="15"/>
    </row>
    <row r="695" customFormat="false" ht="15" hidden="false" customHeight="true" outlineLevel="0" collapsed="false">
      <c r="A695" s="15" t="s">
        <v>186</v>
      </c>
      <c r="B695" s="15" t="s">
        <v>187</v>
      </c>
      <c r="C695" s="15" t="s">
        <v>724</v>
      </c>
      <c r="D695" s="15" t="n">
        <v>45</v>
      </c>
      <c r="E695" s="15" t="s">
        <v>723</v>
      </c>
      <c r="F695" s="15" t="s">
        <v>716</v>
      </c>
      <c r="G695" s="15" t="s">
        <v>112</v>
      </c>
      <c r="H695" s="15"/>
    </row>
    <row r="696" customFormat="false" ht="15" hidden="false" customHeight="true" outlineLevel="0" collapsed="false">
      <c r="A696" s="15" t="s">
        <v>186</v>
      </c>
      <c r="B696" s="15" t="s">
        <v>187</v>
      </c>
      <c r="C696" s="15" t="s">
        <v>84</v>
      </c>
      <c r="D696" s="15" t="n">
        <v>207</v>
      </c>
      <c r="E696" s="15" t="s">
        <v>725</v>
      </c>
      <c r="F696" s="15" t="s">
        <v>716</v>
      </c>
      <c r="G696" s="15" t="s">
        <v>112</v>
      </c>
      <c r="H696" s="15"/>
    </row>
    <row r="697" customFormat="false" ht="15" hidden="false" customHeight="true" outlineLevel="0" collapsed="false">
      <c r="A697" s="15" t="s">
        <v>186</v>
      </c>
      <c r="B697" s="15" t="s">
        <v>187</v>
      </c>
      <c r="C697" s="15" t="s">
        <v>726</v>
      </c>
      <c r="D697" s="15" t="n">
        <v>4371</v>
      </c>
      <c r="E697" s="15" t="s">
        <v>725</v>
      </c>
      <c r="F697" s="15" t="s">
        <v>716</v>
      </c>
      <c r="G697" s="15" t="s">
        <v>112</v>
      </c>
      <c r="H697" s="15"/>
    </row>
    <row r="698" customFormat="false" ht="15" hidden="false" customHeight="true" outlineLevel="0" collapsed="false">
      <c r="A698" s="15" t="s">
        <v>186</v>
      </c>
      <c r="B698" s="15" t="s">
        <v>187</v>
      </c>
      <c r="C698" s="15" t="s">
        <v>727</v>
      </c>
      <c r="D698" s="15" t="n">
        <v>1907</v>
      </c>
      <c r="E698" s="15" t="s">
        <v>725</v>
      </c>
      <c r="F698" s="15" t="s">
        <v>716</v>
      </c>
      <c r="G698" s="15" t="s">
        <v>112</v>
      </c>
      <c r="H698" s="15"/>
    </row>
    <row r="699" customFormat="false" ht="15" hidden="false" customHeight="true" outlineLevel="0" collapsed="false">
      <c r="A699" s="15" t="s">
        <v>186</v>
      </c>
      <c r="B699" s="15" t="s">
        <v>187</v>
      </c>
      <c r="C699" s="15" t="s">
        <v>728</v>
      </c>
      <c r="D699" s="15" t="n">
        <v>1627</v>
      </c>
      <c r="E699" s="15" t="s">
        <v>725</v>
      </c>
      <c r="F699" s="15" t="s">
        <v>716</v>
      </c>
      <c r="G699" s="15" t="s">
        <v>112</v>
      </c>
      <c r="H699" s="15"/>
    </row>
    <row r="700" customFormat="false" ht="15" hidden="false" customHeight="true" outlineLevel="0" collapsed="false">
      <c r="A700" s="15" t="s">
        <v>186</v>
      </c>
      <c r="B700" s="15" t="s">
        <v>187</v>
      </c>
      <c r="C700" s="15" t="s">
        <v>729</v>
      </c>
      <c r="D700" s="15" t="n">
        <v>2775</v>
      </c>
      <c r="E700" s="15" t="s">
        <v>725</v>
      </c>
      <c r="F700" s="15" t="s">
        <v>716</v>
      </c>
      <c r="G700" s="15" t="s">
        <v>112</v>
      </c>
      <c r="H700" s="15"/>
    </row>
    <row r="701" customFormat="false" ht="15" hidden="false" customHeight="true" outlineLevel="0" collapsed="false">
      <c r="A701" s="15" t="s">
        <v>186</v>
      </c>
      <c r="B701" s="15" t="s">
        <v>187</v>
      </c>
      <c r="C701" s="15" t="s">
        <v>730</v>
      </c>
      <c r="D701" s="15" t="n">
        <v>10</v>
      </c>
      <c r="E701" s="15" t="s">
        <v>731</v>
      </c>
      <c r="F701" s="15" t="s">
        <v>716</v>
      </c>
      <c r="G701" s="15" t="s">
        <v>112</v>
      </c>
      <c r="H701" s="15"/>
    </row>
    <row r="702" customFormat="false" ht="26.25" hidden="false" customHeight="true" outlineLevel="0" collapsed="false">
      <c r="A702" s="15" t="s">
        <v>186</v>
      </c>
      <c r="B702" s="15" t="s">
        <v>187</v>
      </c>
      <c r="C702" s="15" t="s">
        <v>98</v>
      </c>
      <c r="D702" s="15" t="s">
        <v>732</v>
      </c>
      <c r="E702" s="15"/>
      <c r="F702" s="15" t="s">
        <v>716</v>
      </c>
      <c r="G702" s="15" t="s">
        <v>112</v>
      </c>
      <c r="H702" s="15"/>
    </row>
    <row r="703" customFormat="false" ht="26.25" hidden="false" customHeight="true" outlineLevel="0" collapsed="false">
      <c r="A703" s="15" t="s">
        <v>186</v>
      </c>
      <c r="B703" s="15" t="s">
        <v>187</v>
      </c>
      <c r="C703" s="15" t="s">
        <v>733</v>
      </c>
      <c r="D703" s="15" t="s">
        <v>808</v>
      </c>
      <c r="E703" s="15"/>
      <c r="F703" s="15" t="s">
        <v>735</v>
      </c>
      <c r="G703" s="15" t="s">
        <v>112</v>
      </c>
      <c r="H703" s="15" t="s">
        <v>736</v>
      </c>
    </row>
    <row r="704" customFormat="false" ht="15" hidden="false" customHeight="true" outlineLevel="0" collapsed="false">
      <c r="A704" s="15" t="s">
        <v>186</v>
      </c>
      <c r="B704" s="15" t="s">
        <v>187</v>
      </c>
      <c r="C704" s="15" t="s">
        <v>737</v>
      </c>
      <c r="D704" s="15" t="n">
        <v>210</v>
      </c>
      <c r="E704" s="15" t="s">
        <v>738</v>
      </c>
      <c r="F704" s="15" t="s">
        <v>716</v>
      </c>
      <c r="G704" s="15" t="s">
        <v>112</v>
      </c>
      <c r="H704" s="15"/>
    </row>
    <row r="705" customFormat="false" ht="15" hidden="false" customHeight="true" outlineLevel="0" collapsed="false">
      <c r="A705" s="15" t="s">
        <v>186</v>
      </c>
      <c r="B705" s="15" t="s">
        <v>187</v>
      </c>
      <c r="C705" s="15" t="s">
        <v>739</v>
      </c>
      <c r="D705" s="15" t="n">
        <v>180</v>
      </c>
      <c r="E705" s="15" t="s">
        <v>738</v>
      </c>
      <c r="F705" s="15" t="s">
        <v>716</v>
      </c>
      <c r="G705" s="15" t="s">
        <v>112</v>
      </c>
      <c r="H705" s="15"/>
    </row>
    <row r="706" customFormat="false" ht="26.25" hidden="false" customHeight="true" outlineLevel="0" collapsed="false">
      <c r="A706" s="15" t="s">
        <v>186</v>
      </c>
      <c r="B706" s="15" t="s">
        <v>187</v>
      </c>
      <c r="C706" s="15" t="s">
        <v>740</v>
      </c>
      <c r="D706" s="15" t="n">
        <v>8</v>
      </c>
      <c r="E706" s="15" t="s">
        <v>741</v>
      </c>
      <c r="F706" s="15" t="s">
        <v>716</v>
      </c>
      <c r="G706" s="15" t="s">
        <v>112</v>
      </c>
      <c r="H706" s="15"/>
    </row>
    <row r="707" customFormat="false" ht="15" hidden="false" customHeight="true" outlineLevel="0" collapsed="false">
      <c r="A707" s="15" t="s">
        <v>186</v>
      </c>
      <c r="B707" s="15" t="s">
        <v>187</v>
      </c>
      <c r="C707" s="15" t="s">
        <v>742</v>
      </c>
      <c r="D707" s="15" t="n">
        <v>11.7</v>
      </c>
      <c r="E707" s="15" t="s">
        <v>741</v>
      </c>
      <c r="F707" s="15" t="s">
        <v>716</v>
      </c>
      <c r="G707" s="15" t="s">
        <v>112</v>
      </c>
      <c r="H707" s="15"/>
    </row>
    <row r="708" customFormat="false" ht="15" hidden="false" customHeight="true" outlineLevel="0" collapsed="false">
      <c r="A708" s="15" t="s">
        <v>186</v>
      </c>
      <c r="B708" s="15" t="s">
        <v>187</v>
      </c>
      <c r="C708" s="15" t="s">
        <v>743</v>
      </c>
      <c r="D708" s="15" t="s">
        <v>793</v>
      </c>
      <c r="E708" s="15"/>
      <c r="F708" s="15" t="s">
        <v>716</v>
      </c>
      <c r="G708" s="15" t="s">
        <v>112</v>
      </c>
      <c r="H708" s="15"/>
    </row>
    <row r="709" customFormat="false" ht="15" hidden="false" customHeight="true" outlineLevel="0" collapsed="false">
      <c r="A709" s="15" t="s">
        <v>186</v>
      </c>
      <c r="B709" s="15" t="s">
        <v>187</v>
      </c>
      <c r="C709" s="15" t="s">
        <v>745</v>
      </c>
      <c r="D709" s="15" t="s">
        <v>794</v>
      </c>
      <c r="E709" s="15"/>
      <c r="F709" s="15" t="s">
        <v>716</v>
      </c>
      <c r="G709" s="15" t="s">
        <v>112</v>
      </c>
      <c r="H709" s="15"/>
    </row>
    <row r="710" customFormat="false" ht="15" hidden="false" customHeight="true" outlineLevel="0" collapsed="false">
      <c r="A710" s="15" t="s">
        <v>186</v>
      </c>
      <c r="B710" s="15" t="s">
        <v>187</v>
      </c>
      <c r="C710" s="15" t="s">
        <v>747</v>
      </c>
      <c r="D710" s="15" t="s">
        <v>801</v>
      </c>
      <c r="E710" s="15"/>
      <c r="F710" s="15" t="s">
        <v>716</v>
      </c>
      <c r="G710" s="15" t="s">
        <v>112</v>
      </c>
      <c r="H710" s="15"/>
    </row>
    <row r="711" customFormat="false" ht="15" hidden="false" customHeight="true" outlineLevel="0" collapsed="false">
      <c r="A711" s="15" t="s">
        <v>186</v>
      </c>
      <c r="B711" s="15" t="s">
        <v>187</v>
      </c>
      <c r="C711" s="15" t="s">
        <v>749</v>
      </c>
      <c r="D711" s="15" t="s">
        <v>814</v>
      </c>
      <c r="E711" s="15"/>
      <c r="F711" s="15" t="s">
        <v>716</v>
      </c>
      <c r="G711" s="15" t="s">
        <v>112</v>
      </c>
      <c r="H711" s="15" t="s">
        <v>751</v>
      </c>
    </row>
    <row r="712" customFormat="false" ht="15" hidden="false" customHeight="true" outlineLevel="0" collapsed="false">
      <c r="A712" s="15" t="s">
        <v>186</v>
      </c>
      <c r="B712" s="15" t="s">
        <v>187</v>
      </c>
      <c r="C712" s="15" t="s">
        <v>752</v>
      </c>
      <c r="D712" s="15" t="s">
        <v>796</v>
      </c>
      <c r="E712" s="15"/>
      <c r="F712" s="15" t="s">
        <v>716</v>
      </c>
      <c r="G712" s="15" t="s">
        <v>112</v>
      </c>
      <c r="H712" s="15"/>
    </row>
    <row r="713" customFormat="false" ht="15" hidden="false" customHeight="true" outlineLevel="0" collapsed="false">
      <c r="A713" s="15" t="s">
        <v>186</v>
      </c>
      <c r="B713" s="15" t="s">
        <v>187</v>
      </c>
      <c r="C713" s="15" t="s">
        <v>90</v>
      </c>
      <c r="D713" s="15" t="s">
        <v>815</v>
      </c>
      <c r="E713" s="15"/>
      <c r="F713" s="15" t="s">
        <v>716</v>
      </c>
      <c r="G713" s="15" t="s">
        <v>112</v>
      </c>
      <c r="H713" s="15"/>
    </row>
    <row r="714" customFormat="false" ht="15" hidden="false" customHeight="true" outlineLevel="0" collapsed="false">
      <c r="A714" s="15" t="s">
        <v>186</v>
      </c>
      <c r="B714" s="15" t="s">
        <v>187</v>
      </c>
      <c r="C714" s="15" t="s">
        <v>754</v>
      </c>
      <c r="D714" s="15" t="s">
        <v>803</v>
      </c>
      <c r="E714" s="15"/>
      <c r="F714" s="15" t="s">
        <v>716</v>
      </c>
      <c r="G714" s="15" t="s">
        <v>112</v>
      </c>
      <c r="H714" s="15"/>
    </row>
    <row r="715" customFormat="false" ht="15" hidden="false" customHeight="true" outlineLevel="0" collapsed="false">
      <c r="A715" s="15" t="s">
        <v>186</v>
      </c>
      <c r="B715" s="15" t="s">
        <v>187</v>
      </c>
      <c r="C715" s="15" t="s">
        <v>756</v>
      </c>
      <c r="D715" s="15" t="s">
        <v>804</v>
      </c>
      <c r="E715" s="15"/>
      <c r="F715" s="15" t="s">
        <v>716</v>
      </c>
      <c r="G715" s="15" t="s">
        <v>112</v>
      </c>
      <c r="H715" s="15"/>
    </row>
    <row r="716" customFormat="false" ht="15" hidden="false" customHeight="true" outlineLevel="0" collapsed="false">
      <c r="A716" s="15" t="s">
        <v>186</v>
      </c>
      <c r="B716" s="15" t="s">
        <v>187</v>
      </c>
      <c r="C716" s="15" t="s">
        <v>757</v>
      </c>
      <c r="D716" s="15" t="s">
        <v>797</v>
      </c>
      <c r="E716" s="15"/>
      <c r="F716" s="15" t="s">
        <v>716</v>
      </c>
      <c r="G716" s="15" t="s">
        <v>112</v>
      </c>
      <c r="H716" s="15"/>
    </row>
    <row r="717" customFormat="false" ht="15" hidden="false" customHeight="true" outlineLevel="0" collapsed="false">
      <c r="A717" s="15" t="s">
        <v>186</v>
      </c>
      <c r="B717" s="15" t="s">
        <v>187</v>
      </c>
      <c r="C717" s="15" t="s">
        <v>759</v>
      </c>
      <c r="D717" s="15" t="s">
        <v>798</v>
      </c>
      <c r="E717" s="15"/>
      <c r="F717" s="15" t="s">
        <v>716</v>
      </c>
      <c r="G717" s="15" t="s">
        <v>112</v>
      </c>
      <c r="H717" s="15"/>
    </row>
    <row r="718" customFormat="false" ht="15" hidden="false" customHeight="true" outlineLevel="0" collapsed="false">
      <c r="A718" s="15" t="s">
        <v>186</v>
      </c>
      <c r="B718" s="15" t="s">
        <v>187</v>
      </c>
      <c r="C718" s="15" t="s">
        <v>761</v>
      </c>
      <c r="D718" s="15" t="s">
        <v>816</v>
      </c>
      <c r="E718" s="15"/>
      <c r="F718" s="15" t="s">
        <v>716</v>
      </c>
      <c r="G718" s="15" t="s">
        <v>112</v>
      </c>
      <c r="H718" s="15"/>
    </row>
    <row r="719" customFormat="false" ht="15" hidden="false" customHeight="true" outlineLevel="0" collapsed="false">
      <c r="A719" s="15" t="s">
        <v>186</v>
      </c>
      <c r="B719" s="15" t="s">
        <v>187</v>
      </c>
      <c r="C719" s="15" t="s">
        <v>762</v>
      </c>
      <c r="D719" s="15" t="s">
        <v>803</v>
      </c>
      <c r="E719" s="15"/>
      <c r="F719" s="15" t="s">
        <v>716</v>
      </c>
      <c r="G719" s="15" t="s">
        <v>112</v>
      </c>
      <c r="H719" s="15"/>
    </row>
    <row r="720" customFormat="false" ht="15" hidden="false" customHeight="true" outlineLevel="0" collapsed="false">
      <c r="A720" s="15" t="s">
        <v>186</v>
      </c>
      <c r="B720" s="15" t="s">
        <v>187</v>
      </c>
      <c r="C720" s="15" t="s">
        <v>92</v>
      </c>
      <c r="D720" s="15" t="s">
        <v>803</v>
      </c>
      <c r="E720" s="15"/>
      <c r="F720" s="15" t="s">
        <v>716</v>
      </c>
      <c r="G720" s="15" t="s">
        <v>112</v>
      </c>
      <c r="H720" s="15"/>
    </row>
    <row r="721" customFormat="false" ht="15" hidden="false" customHeight="true" outlineLevel="0" collapsed="false">
      <c r="A721" s="15" t="s">
        <v>186</v>
      </c>
      <c r="B721" s="15" t="s">
        <v>187</v>
      </c>
      <c r="C721" s="15" t="s">
        <v>763</v>
      </c>
      <c r="D721" s="15" t="s">
        <v>807</v>
      </c>
      <c r="E721" s="15"/>
      <c r="F721" s="15" t="s">
        <v>716</v>
      </c>
      <c r="G721" s="15" t="s">
        <v>112</v>
      </c>
      <c r="H721" s="15"/>
    </row>
    <row r="722" customFormat="false" ht="15" hidden="false" customHeight="true" outlineLevel="0" collapsed="false">
      <c r="A722" s="15" t="s">
        <v>186</v>
      </c>
      <c r="B722" s="15" t="s">
        <v>187</v>
      </c>
      <c r="C722" s="15" t="s">
        <v>764</v>
      </c>
      <c r="D722" s="15" t="s">
        <v>803</v>
      </c>
      <c r="E722" s="15"/>
      <c r="F722" s="15" t="s">
        <v>716</v>
      </c>
      <c r="G722" s="15" t="s">
        <v>112</v>
      </c>
      <c r="H722" s="15"/>
    </row>
    <row r="723" customFormat="false" ht="15" hidden="false" customHeight="true" outlineLevel="0" collapsed="false">
      <c r="A723" s="15" t="s">
        <v>186</v>
      </c>
      <c r="B723" s="15" t="s">
        <v>187</v>
      </c>
      <c r="C723" s="15" t="s">
        <v>765</v>
      </c>
      <c r="D723" s="15" t="s">
        <v>799</v>
      </c>
      <c r="E723" s="15"/>
      <c r="F723" s="15" t="s">
        <v>716</v>
      </c>
      <c r="G723" s="15" t="s">
        <v>112</v>
      </c>
      <c r="H723" s="15"/>
    </row>
    <row r="724" customFormat="false" ht="15" hidden="false" customHeight="true" outlineLevel="0" collapsed="false">
      <c r="A724" s="15" t="s">
        <v>186</v>
      </c>
      <c r="B724" s="15" t="s">
        <v>187</v>
      </c>
      <c r="C724" s="15" t="s">
        <v>767</v>
      </c>
      <c r="D724" s="15" t="s">
        <v>817</v>
      </c>
      <c r="E724" s="15"/>
      <c r="F724" s="15" t="s">
        <v>716</v>
      </c>
      <c r="G724" s="15" t="s">
        <v>112</v>
      </c>
      <c r="H724" s="15"/>
    </row>
    <row r="725" customFormat="false" ht="26.25" hidden="false" customHeight="true" outlineLevel="0" collapsed="false">
      <c r="A725" s="15" t="s">
        <v>186</v>
      </c>
      <c r="B725" s="15" t="s">
        <v>187</v>
      </c>
      <c r="C725" s="15" t="s">
        <v>769</v>
      </c>
      <c r="D725" s="15" t="n">
        <v>5</v>
      </c>
      <c r="E725" s="15" t="s">
        <v>721</v>
      </c>
      <c r="F725" s="15" t="s">
        <v>770</v>
      </c>
      <c r="G725" s="15" t="s">
        <v>293</v>
      </c>
      <c r="H725" s="15" t="s">
        <v>771</v>
      </c>
    </row>
    <row r="726" customFormat="false" ht="26.25" hidden="false" customHeight="true" outlineLevel="0" collapsed="false">
      <c r="A726" s="15" t="s">
        <v>186</v>
      </c>
      <c r="B726" s="15" t="s">
        <v>187</v>
      </c>
      <c r="C726" s="15" t="s">
        <v>772</v>
      </c>
      <c r="D726" s="15" t="n">
        <v>50000</v>
      </c>
      <c r="E726" s="15" t="s">
        <v>773</v>
      </c>
      <c r="F726" s="15" t="s">
        <v>770</v>
      </c>
      <c r="G726" s="15" t="s">
        <v>293</v>
      </c>
      <c r="H726" s="15" t="s">
        <v>774</v>
      </c>
    </row>
    <row r="727" customFormat="false" ht="26.25" hidden="false" customHeight="true" outlineLevel="0" collapsed="false">
      <c r="A727" s="15" t="s">
        <v>186</v>
      </c>
      <c r="B727" s="15" t="s">
        <v>187</v>
      </c>
      <c r="C727" s="15" t="s">
        <v>775</v>
      </c>
      <c r="D727" s="15" t="n">
        <v>75000</v>
      </c>
      <c r="E727" s="15" t="s">
        <v>773</v>
      </c>
      <c r="F727" s="15" t="s">
        <v>770</v>
      </c>
      <c r="G727" s="15" t="s">
        <v>293</v>
      </c>
      <c r="H727" s="15" t="s">
        <v>774</v>
      </c>
    </row>
    <row r="728" customFormat="false" ht="39" hidden="false" customHeight="true" outlineLevel="0" collapsed="false">
      <c r="A728" s="15" t="s">
        <v>186</v>
      </c>
      <c r="B728" s="15" t="s">
        <v>187</v>
      </c>
      <c r="C728" s="15" t="s">
        <v>776</v>
      </c>
      <c r="D728" s="15" t="s">
        <v>800</v>
      </c>
      <c r="E728" s="15"/>
      <c r="F728" s="15" t="s">
        <v>778</v>
      </c>
      <c r="G728" s="15" t="s">
        <v>293</v>
      </c>
      <c r="H728" s="15" t="s">
        <v>779</v>
      </c>
    </row>
    <row r="729" customFormat="false" ht="39" hidden="false" customHeight="true" outlineLevel="0" collapsed="false">
      <c r="A729" s="15" t="s">
        <v>186</v>
      </c>
      <c r="B729" s="15" t="s">
        <v>187</v>
      </c>
      <c r="C729" s="15" t="s">
        <v>780</v>
      </c>
      <c r="D729" s="15" t="s">
        <v>781</v>
      </c>
      <c r="E729" s="15"/>
      <c r="F729" s="15" t="s">
        <v>778</v>
      </c>
      <c r="G729" s="15" t="s">
        <v>293</v>
      </c>
      <c r="H729" s="15" t="s">
        <v>779</v>
      </c>
    </row>
    <row r="730" customFormat="false" ht="39" hidden="false" customHeight="true" outlineLevel="0" collapsed="false">
      <c r="A730" s="15" t="s">
        <v>186</v>
      </c>
      <c r="B730" s="15" t="s">
        <v>187</v>
      </c>
      <c r="C730" s="15" t="s">
        <v>782</v>
      </c>
      <c r="D730" s="15" t="n">
        <v>36</v>
      </c>
      <c r="E730" s="15" t="s">
        <v>783</v>
      </c>
      <c r="F730" s="15" t="s">
        <v>778</v>
      </c>
      <c r="G730" s="15" t="s">
        <v>293</v>
      </c>
      <c r="H730" s="15" t="s">
        <v>779</v>
      </c>
    </row>
    <row r="731" customFormat="false" ht="39" hidden="false" customHeight="true" outlineLevel="0" collapsed="false">
      <c r="A731" s="15" t="s">
        <v>186</v>
      </c>
      <c r="B731" s="15" t="s">
        <v>187</v>
      </c>
      <c r="C731" s="15" t="s">
        <v>784</v>
      </c>
      <c r="D731" s="15" t="n">
        <v>11</v>
      </c>
      <c r="E731" s="15" t="s">
        <v>738</v>
      </c>
      <c r="F731" s="15" t="s">
        <v>778</v>
      </c>
      <c r="G731" s="15" t="s">
        <v>293</v>
      </c>
      <c r="H731" s="15" t="s">
        <v>779</v>
      </c>
    </row>
    <row r="732" customFormat="false" ht="39" hidden="false" customHeight="true" outlineLevel="0" collapsed="false">
      <c r="A732" s="15" t="s">
        <v>186</v>
      </c>
      <c r="B732" s="15" t="s">
        <v>187</v>
      </c>
      <c r="C732" s="15" t="s">
        <v>785</v>
      </c>
      <c r="D732" s="15" t="n">
        <v>409</v>
      </c>
      <c r="E732" s="15" t="s">
        <v>786</v>
      </c>
      <c r="F732" s="15" t="s">
        <v>778</v>
      </c>
      <c r="G732" s="15" t="s">
        <v>293</v>
      </c>
      <c r="H732" s="15" t="s">
        <v>779</v>
      </c>
    </row>
    <row r="733" customFormat="false" ht="39" hidden="false" customHeight="true" outlineLevel="0" collapsed="false">
      <c r="A733" s="15" t="s">
        <v>186</v>
      </c>
      <c r="B733" s="15" t="s">
        <v>187</v>
      </c>
      <c r="C733" s="15" t="s">
        <v>787</v>
      </c>
      <c r="D733" s="15" t="s">
        <v>788</v>
      </c>
      <c r="E733" s="15"/>
      <c r="F733" s="15" t="s">
        <v>778</v>
      </c>
      <c r="G733" s="15" t="s">
        <v>293</v>
      </c>
      <c r="H733" s="15" t="s">
        <v>779</v>
      </c>
    </row>
    <row r="734" customFormat="false" ht="39" hidden="false" customHeight="true" outlineLevel="0" collapsed="false">
      <c r="A734" s="15" t="s">
        <v>186</v>
      </c>
      <c r="B734" s="15" t="s">
        <v>187</v>
      </c>
      <c r="C734" s="15" t="s">
        <v>789</v>
      </c>
      <c r="D734" s="15" t="s">
        <v>790</v>
      </c>
      <c r="E734" s="15"/>
      <c r="F734" s="15" t="s">
        <v>778</v>
      </c>
      <c r="G734" s="15" t="s">
        <v>293</v>
      </c>
      <c r="H734" s="15" t="s">
        <v>779</v>
      </c>
    </row>
    <row r="735" customFormat="false" ht="39" hidden="false" customHeight="true" outlineLevel="0" collapsed="false">
      <c r="A735" s="15" t="s">
        <v>186</v>
      </c>
      <c r="B735" s="15" t="s">
        <v>187</v>
      </c>
      <c r="C735" s="15" t="s">
        <v>791</v>
      </c>
      <c r="D735" s="15" t="s">
        <v>792</v>
      </c>
      <c r="E735" s="15"/>
      <c r="F735" s="15" t="s">
        <v>778</v>
      </c>
      <c r="G735" s="15" t="s">
        <v>293</v>
      </c>
      <c r="H735" s="15" t="s">
        <v>779</v>
      </c>
    </row>
    <row r="736" customFormat="false" ht="26.25" hidden="false" customHeight="true" outlineLevel="0" collapsed="false">
      <c r="A736" s="15" t="s">
        <v>155</v>
      </c>
      <c r="B736" s="15" t="s">
        <v>156</v>
      </c>
      <c r="C736" s="15" t="s">
        <v>714</v>
      </c>
      <c r="D736" s="15" t="n">
        <v>360</v>
      </c>
      <c r="E736" s="15" t="s">
        <v>715</v>
      </c>
      <c r="F736" s="15" t="s">
        <v>716</v>
      </c>
      <c r="G736" s="15" t="s">
        <v>112</v>
      </c>
      <c r="H736" s="15" t="s">
        <v>717</v>
      </c>
    </row>
    <row r="737" customFormat="false" ht="15" hidden="false" customHeight="true" outlineLevel="0" collapsed="false">
      <c r="A737" s="15" t="s">
        <v>155</v>
      </c>
      <c r="B737" s="15" t="s">
        <v>156</v>
      </c>
      <c r="C737" s="15" t="s">
        <v>718</v>
      </c>
      <c r="D737" s="15" t="s">
        <v>113</v>
      </c>
      <c r="E737" s="15"/>
      <c r="F737" s="15" t="s">
        <v>716</v>
      </c>
      <c r="G737" s="15" t="s">
        <v>112</v>
      </c>
      <c r="H737" s="15"/>
    </row>
    <row r="738" customFormat="false" ht="15" hidden="false" customHeight="true" outlineLevel="0" collapsed="false">
      <c r="A738" s="15" t="s">
        <v>155</v>
      </c>
      <c r="B738" s="15" t="s">
        <v>156</v>
      </c>
      <c r="C738" s="15" t="s">
        <v>719</v>
      </c>
      <c r="D738" s="15" t="n">
        <v>20</v>
      </c>
      <c r="E738" s="15" t="s">
        <v>720</v>
      </c>
      <c r="F738" s="15" t="s">
        <v>716</v>
      </c>
      <c r="G738" s="15" t="s">
        <v>112</v>
      </c>
      <c r="H738" s="15"/>
    </row>
    <row r="739" customFormat="false" ht="15" hidden="false" customHeight="true" outlineLevel="0" collapsed="false">
      <c r="A739" s="15" t="s">
        <v>155</v>
      </c>
      <c r="B739" s="15" t="s">
        <v>156</v>
      </c>
      <c r="C739" s="15" t="s">
        <v>86</v>
      </c>
      <c r="D739" s="15" t="n">
        <v>6</v>
      </c>
      <c r="E739" s="15" t="s">
        <v>721</v>
      </c>
      <c r="F739" s="15" t="s">
        <v>716</v>
      </c>
      <c r="G739" s="15" t="s">
        <v>112</v>
      </c>
      <c r="H739" s="15"/>
    </row>
    <row r="740" customFormat="false" ht="15" hidden="false" customHeight="true" outlineLevel="0" collapsed="false">
      <c r="A740" s="15" t="s">
        <v>155</v>
      </c>
      <c r="B740" s="15" t="s">
        <v>156</v>
      </c>
      <c r="C740" s="15" t="s">
        <v>722</v>
      </c>
      <c r="D740" s="15" t="n">
        <v>455</v>
      </c>
      <c r="E740" s="15" t="s">
        <v>723</v>
      </c>
      <c r="F740" s="15" t="s">
        <v>716</v>
      </c>
      <c r="G740" s="15" t="s">
        <v>112</v>
      </c>
      <c r="H740" s="15"/>
    </row>
    <row r="741" customFormat="false" ht="15" hidden="false" customHeight="true" outlineLevel="0" collapsed="false">
      <c r="A741" s="15" t="s">
        <v>155</v>
      </c>
      <c r="B741" s="15" t="s">
        <v>156</v>
      </c>
      <c r="C741" s="15" t="s">
        <v>724</v>
      </c>
      <c r="D741" s="15" t="n">
        <v>45</v>
      </c>
      <c r="E741" s="15" t="s">
        <v>723</v>
      </c>
      <c r="F741" s="15" t="s">
        <v>716</v>
      </c>
      <c r="G741" s="15" t="s">
        <v>112</v>
      </c>
      <c r="H741" s="15"/>
    </row>
    <row r="742" customFormat="false" ht="15" hidden="false" customHeight="true" outlineLevel="0" collapsed="false">
      <c r="A742" s="15" t="s">
        <v>155</v>
      </c>
      <c r="B742" s="15" t="s">
        <v>156</v>
      </c>
      <c r="C742" s="15" t="s">
        <v>84</v>
      </c>
      <c r="D742" s="15" t="n">
        <v>207</v>
      </c>
      <c r="E742" s="15" t="s">
        <v>725</v>
      </c>
      <c r="F742" s="15" t="s">
        <v>716</v>
      </c>
      <c r="G742" s="15" t="s">
        <v>112</v>
      </c>
      <c r="H742" s="15"/>
    </row>
    <row r="743" customFormat="false" ht="15" hidden="false" customHeight="true" outlineLevel="0" collapsed="false">
      <c r="A743" s="15" t="s">
        <v>155</v>
      </c>
      <c r="B743" s="15" t="s">
        <v>156</v>
      </c>
      <c r="C743" s="15" t="s">
        <v>726</v>
      </c>
      <c r="D743" s="15" t="n">
        <v>4371</v>
      </c>
      <c r="E743" s="15" t="s">
        <v>725</v>
      </c>
      <c r="F743" s="15" t="s">
        <v>716</v>
      </c>
      <c r="G743" s="15" t="s">
        <v>112</v>
      </c>
      <c r="H743" s="15"/>
    </row>
    <row r="744" customFormat="false" ht="15" hidden="false" customHeight="true" outlineLevel="0" collapsed="false">
      <c r="A744" s="15" t="s">
        <v>155</v>
      </c>
      <c r="B744" s="15" t="s">
        <v>156</v>
      </c>
      <c r="C744" s="15" t="s">
        <v>727</v>
      </c>
      <c r="D744" s="15" t="n">
        <v>1907</v>
      </c>
      <c r="E744" s="15" t="s">
        <v>725</v>
      </c>
      <c r="F744" s="15" t="s">
        <v>716</v>
      </c>
      <c r="G744" s="15" t="s">
        <v>112</v>
      </c>
      <c r="H744" s="15"/>
    </row>
    <row r="745" customFormat="false" ht="15" hidden="false" customHeight="true" outlineLevel="0" collapsed="false">
      <c r="A745" s="15" t="s">
        <v>155</v>
      </c>
      <c r="B745" s="15" t="s">
        <v>156</v>
      </c>
      <c r="C745" s="15" t="s">
        <v>728</v>
      </c>
      <c r="D745" s="15" t="n">
        <v>1627</v>
      </c>
      <c r="E745" s="15" t="s">
        <v>725</v>
      </c>
      <c r="F745" s="15" t="s">
        <v>716</v>
      </c>
      <c r="G745" s="15" t="s">
        <v>112</v>
      </c>
      <c r="H745" s="15"/>
    </row>
    <row r="746" customFormat="false" ht="15" hidden="false" customHeight="true" outlineLevel="0" collapsed="false">
      <c r="A746" s="15" t="s">
        <v>155</v>
      </c>
      <c r="B746" s="15" t="s">
        <v>156</v>
      </c>
      <c r="C746" s="15" t="s">
        <v>729</v>
      </c>
      <c r="D746" s="15" t="n">
        <v>2775</v>
      </c>
      <c r="E746" s="15" t="s">
        <v>725</v>
      </c>
      <c r="F746" s="15" t="s">
        <v>716</v>
      </c>
      <c r="G746" s="15" t="s">
        <v>112</v>
      </c>
      <c r="H746" s="15"/>
    </row>
    <row r="747" customFormat="false" ht="15" hidden="false" customHeight="true" outlineLevel="0" collapsed="false">
      <c r="A747" s="15" t="s">
        <v>155</v>
      </c>
      <c r="B747" s="15" t="s">
        <v>156</v>
      </c>
      <c r="C747" s="15" t="s">
        <v>730</v>
      </c>
      <c r="D747" s="15" t="n">
        <v>10</v>
      </c>
      <c r="E747" s="15" t="s">
        <v>731</v>
      </c>
      <c r="F747" s="15" t="s">
        <v>716</v>
      </c>
      <c r="G747" s="15" t="s">
        <v>112</v>
      </c>
      <c r="H747" s="15"/>
    </row>
    <row r="748" customFormat="false" ht="26.25" hidden="false" customHeight="true" outlineLevel="0" collapsed="false">
      <c r="A748" s="15" t="s">
        <v>155</v>
      </c>
      <c r="B748" s="15" t="s">
        <v>156</v>
      </c>
      <c r="C748" s="15" t="s">
        <v>98</v>
      </c>
      <c r="D748" s="15" t="s">
        <v>732</v>
      </c>
      <c r="E748" s="15"/>
      <c r="F748" s="15" t="s">
        <v>716</v>
      </c>
      <c r="G748" s="15" t="s">
        <v>112</v>
      </c>
      <c r="H748" s="15"/>
    </row>
    <row r="749" customFormat="false" ht="26.25" hidden="false" customHeight="true" outlineLevel="0" collapsed="false">
      <c r="A749" s="15" t="s">
        <v>155</v>
      </c>
      <c r="B749" s="15" t="s">
        <v>156</v>
      </c>
      <c r="C749" s="15" t="s">
        <v>733</v>
      </c>
      <c r="D749" s="15" t="s">
        <v>808</v>
      </c>
      <c r="E749" s="15"/>
      <c r="F749" s="15" t="s">
        <v>735</v>
      </c>
      <c r="G749" s="15" t="s">
        <v>112</v>
      </c>
      <c r="H749" s="15" t="s">
        <v>736</v>
      </c>
    </row>
    <row r="750" customFormat="false" ht="15" hidden="false" customHeight="true" outlineLevel="0" collapsed="false">
      <c r="A750" s="15" t="s">
        <v>155</v>
      </c>
      <c r="B750" s="15" t="s">
        <v>156</v>
      </c>
      <c r="C750" s="15" t="s">
        <v>737</v>
      </c>
      <c r="D750" s="15" t="n">
        <v>210</v>
      </c>
      <c r="E750" s="15" t="s">
        <v>738</v>
      </c>
      <c r="F750" s="15" t="s">
        <v>716</v>
      </c>
      <c r="G750" s="15" t="s">
        <v>112</v>
      </c>
      <c r="H750" s="15"/>
    </row>
    <row r="751" customFormat="false" ht="15" hidden="false" customHeight="true" outlineLevel="0" collapsed="false">
      <c r="A751" s="15" t="s">
        <v>155</v>
      </c>
      <c r="B751" s="15" t="s">
        <v>156</v>
      </c>
      <c r="C751" s="15" t="s">
        <v>739</v>
      </c>
      <c r="D751" s="15" t="n">
        <v>180</v>
      </c>
      <c r="E751" s="15" t="s">
        <v>738</v>
      </c>
      <c r="F751" s="15" t="s">
        <v>716</v>
      </c>
      <c r="G751" s="15" t="s">
        <v>112</v>
      </c>
      <c r="H751" s="15"/>
    </row>
    <row r="752" customFormat="false" ht="26.25" hidden="false" customHeight="true" outlineLevel="0" collapsed="false">
      <c r="A752" s="15" t="s">
        <v>155</v>
      </c>
      <c r="B752" s="15" t="s">
        <v>156</v>
      </c>
      <c r="C752" s="15" t="s">
        <v>740</v>
      </c>
      <c r="D752" s="15" t="n">
        <v>8</v>
      </c>
      <c r="E752" s="15" t="s">
        <v>741</v>
      </c>
      <c r="F752" s="15" t="s">
        <v>716</v>
      </c>
      <c r="G752" s="15" t="s">
        <v>112</v>
      </c>
      <c r="H752" s="15"/>
    </row>
    <row r="753" customFormat="false" ht="15" hidden="false" customHeight="true" outlineLevel="0" collapsed="false">
      <c r="A753" s="15" t="s">
        <v>155</v>
      </c>
      <c r="B753" s="15" t="s">
        <v>156</v>
      </c>
      <c r="C753" s="15" t="s">
        <v>742</v>
      </c>
      <c r="D753" s="15" t="n">
        <v>11.7</v>
      </c>
      <c r="E753" s="15" t="s">
        <v>741</v>
      </c>
      <c r="F753" s="15" t="s">
        <v>716</v>
      </c>
      <c r="G753" s="15" t="s">
        <v>112</v>
      </c>
      <c r="H753" s="15"/>
    </row>
    <row r="754" customFormat="false" ht="15" hidden="false" customHeight="true" outlineLevel="0" collapsed="false">
      <c r="A754" s="15" t="s">
        <v>155</v>
      </c>
      <c r="B754" s="15" t="s">
        <v>156</v>
      </c>
      <c r="C754" s="15" t="s">
        <v>743</v>
      </c>
      <c r="D754" s="15" t="s">
        <v>744</v>
      </c>
      <c r="E754" s="15"/>
      <c r="F754" s="15" t="s">
        <v>716</v>
      </c>
      <c r="G754" s="15" t="s">
        <v>112</v>
      </c>
      <c r="H754" s="15"/>
    </row>
    <row r="755" customFormat="false" ht="15" hidden="false" customHeight="true" outlineLevel="0" collapsed="false">
      <c r="A755" s="15" t="s">
        <v>155</v>
      </c>
      <c r="B755" s="15" t="s">
        <v>156</v>
      </c>
      <c r="C755" s="15" t="s">
        <v>745</v>
      </c>
      <c r="D755" s="15" t="s">
        <v>746</v>
      </c>
      <c r="E755" s="15"/>
      <c r="F755" s="15" t="s">
        <v>716</v>
      </c>
      <c r="G755" s="15" t="s">
        <v>112</v>
      </c>
      <c r="H755" s="15"/>
    </row>
    <row r="756" customFormat="false" ht="15" hidden="false" customHeight="true" outlineLevel="0" collapsed="false">
      <c r="A756" s="15" t="s">
        <v>155</v>
      </c>
      <c r="B756" s="15" t="s">
        <v>156</v>
      </c>
      <c r="C756" s="15" t="s">
        <v>747</v>
      </c>
      <c r="D756" s="15" t="s">
        <v>809</v>
      </c>
      <c r="E756" s="15"/>
      <c r="F756" s="15" t="s">
        <v>716</v>
      </c>
      <c r="G756" s="15" t="s">
        <v>112</v>
      </c>
      <c r="H756" s="15"/>
    </row>
    <row r="757" customFormat="false" ht="15" hidden="false" customHeight="true" outlineLevel="0" collapsed="false">
      <c r="A757" s="15" t="s">
        <v>155</v>
      </c>
      <c r="B757" s="15" t="s">
        <v>156</v>
      </c>
      <c r="C757" s="15" t="s">
        <v>749</v>
      </c>
      <c r="D757" s="15" t="s">
        <v>814</v>
      </c>
      <c r="E757" s="15"/>
      <c r="F757" s="15" t="s">
        <v>716</v>
      </c>
      <c r="G757" s="15" t="s">
        <v>112</v>
      </c>
      <c r="H757" s="15" t="s">
        <v>751</v>
      </c>
    </row>
    <row r="758" customFormat="false" ht="15" hidden="false" customHeight="true" outlineLevel="0" collapsed="false">
      <c r="A758" s="15" t="s">
        <v>155</v>
      </c>
      <c r="B758" s="15" t="s">
        <v>156</v>
      </c>
      <c r="C758" s="15" t="s">
        <v>752</v>
      </c>
      <c r="D758" s="15" t="s">
        <v>796</v>
      </c>
      <c r="E758" s="15"/>
      <c r="F758" s="15" t="s">
        <v>716</v>
      </c>
      <c r="G758" s="15" t="s">
        <v>112</v>
      </c>
      <c r="H758" s="15"/>
    </row>
    <row r="759" customFormat="false" ht="15" hidden="false" customHeight="true" outlineLevel="0" collapsed="false">
      <c r="A759" s="15" t="s">
        <v>155</v>
      </c>
      <c r="B759" s="15" t="s">
        <v>156</v>
      </c>
      <c r="C759" s="15" t="s">
        <v>90</v>
      </c>
      <c r="D759" s="15" t="s">
        <v>815</v>
      </c>
      <c r="E759" s="15"/>
      <c r="F759" s="15" t="s">
        <v>716</v>
      </c>
      <c r="G759" s="15" t="s">
        <v>112</v>
      </c>
      <c r="H759" s="15"/>
    </row>
    <row r="760" customFormat="false" ht="26.25" hidden="false" customHeight="true" outlineLevel="0" collapsed="false">
      <c r="A760" s="15" t="s">
        <v>155</v>
      </c>
      <c r="B760" s="15" t="s">
        <v>156</v>
      </c>
      <c r="C760" s="15" t="s">
        <v>754</v>
      </c>
      <c r="D760" s="15" t="s">
        <v>818</v>
      </c>
      <c r="E760" s="15"/>
      <c r="F760" s="15" t="s">
        <v>716</v>
      </c>
      <c r="G760" s="15" t="s">
        <v>819</v>
      </c>
      <c r="H760" s="15" t="s">
        <v>820</v>
      </c>
    </row>
    <row r="761" customFormat="false" ht="15" hidden="false" customHeight="true" outlineLevel="0" collapsed="false">
      <c r="A761" s="15" t="s">
        <v>155</v>
      </c>
      <c r="B761" s="15" t="s">
        <v>156</v>
      </c>
      <c r="C761" s="15" t="s">
        <v>756</v>
      </c>
      <c r="D761" s="15" t="s">
        <v>818</v>
      </c>
      <c r="E761" s="15"/>
      <c r="F761" s="15" t="s">
        <v>716</v>
      </c>
      <c r="G761" s="15" t="s">
        <v>819</v>
      </c>
      <c r="H761" s="15"/>
    </row>
    <row r="762" customFormat="false" ht="15" hidden="false" customHeight="true" outlineLevel="0" collapsed="false">
      <c r="A762" s="15" t="s">
        <v>155</v>
      </c>
      <c r="B762" s="15" t="s">
        <v>156</v>
      </c>
      <c r="C762" s="15" t="s">
        <v>757</v>
      </c>
      <c r="D762" s="15" t="s">
        <v>797</v>
      </c>
      <c r="E762" s="15"/>
      <c r="F762" s="15" t="s">
        <v>716</v>
      </c>
      <c r="G762" s="15" t="s">
        <v>112</v>
      </c>
      <c r="H762" s="15"/>
    </row>
    <row r="763" customFormat="false" ht="15" hidden="false" customHeight="true" outlineLevel="0" collapsed="false">
      <c r="A763" s="15" t="s">
        <v>155</v>
      </c>
      <c r="B763" s="15" t="s">
        <v>156</v>
      </c>
      <c r="C763" s="15" t="s">
        <v>759</v>
      </c>
      <c r="D763" s="15" t="s">
        <v>798</v>
      </c>
      <c r="E763" s="15"/>
      <c r="F763" s="15" t="s">
        <v>716</v>
      </c>
      <c r="G763" s="15" t="s">
        <v>112</v>
      </c>
      <c r="H763" s="15"/>
    </row>
    <row r="764" customFormat="false" ht="15" hidden="false" customHeight="true" outlineLevel="0" collapsed="false">
      <c r="A764" s="15" t="s">
        <v>155</v>
      </c>
      <c r="B764" s="15" t="s">
        <v>156</v>
      </c>
      <c r="C764" s="15" t="s">
        <v>761</v>
      </c>
      <c r="D764" s="15" t="s">
        <v>816</v>
      </c>
      <c r="E764" s="15"/>
      <c r="F764" s="15" t="s">
        <v>716</v>
      </c>
      <c r="G764" s="15" t="s">
        <v>112</v>
      </c>
      <c r="H764" s="15"/>
    </row>
    <row r="765" customFormat="false" ht="15" hidden="false" customHeight="true" outlineLevel="0" collapsed="false">
      <c r="A765" s="15" t="s">
        <v>155</v>
      </c>
      <c r="B765" s="15" t="s">
        <v>156</v>
      </c>
      <c r="C765" s="15" t="s">
        <v>762</v>
      </c>
      <c r="D765" s="15" t="s">
        <v>803</v>
      </c>
      <c r="E765" s="15"/>
      <c r="F765" s="15" t="s">
        <v>716</v>
      </c>
      <c r="G765" s="15" t="s">
        <v>112</v>
      </c>
      <c r="H765" s="15"/>
    </row>
    <row r="766" customFormat="false" ht="15" hidden="false" customHeight="true" outlineLevel="0" collapsed="false">
      <c r="A766" s="15" t="s">
        <v>155</v>
      </c>
      <c r="B766" s="15" t="s">
        <v>156</v>
      </c>
      <c r="C766" s="15" t="s">
        <v>92</v>
      </c>
      <c r="D766" s="15" t="s">
        <v>803</v>
      </c>
      <c r="E766" s="15"/>
      <c r="F766" s="15" t="s">
        <v>716</v>
      </c>
      <c r="G766" s="15" t="s">
        <v>112</v>
      </c>
      <c r="H766" s="15"/>
    </row>
    <row r="767" customFormat="false" ht="15" hidden="false" customHeight="true" outlineLevel="0" collapsed="false">
      <c r="A767" s="15" t="s">
        <v>155</v>
      </c>
      <c r="B767" s="15" t="s">
        <v>156</v>
      </c>
      <c r="C767" s="15" t="s">
        <v>763</v>
      </c>
      <c r="D767" s="15" t="s">
        <v>807</v>
      </c>
      <c r="E767" s="15"/>
      <c r="F767" s="15" t="s">
        <v>716</v>
      </c>
      <c r="G767" s="15" t="s">
        <v>112</v>
      </c>
      <c r="H767" s="15"/>
    </row>
    <row r="768" customFormat="false" ht="15" hidden="false" customHeight="true" outlineLevel="0" collapsed="false">
      <c r="A768" s="15" t="s">
        <v>155</v>
      </c>
      <c r="B768" s="15" t="s">
        <v>156</v>
      </c>
      <c r="C768" s="15" t="s">
        <v>764</v>
      </c>
      <c r="D768" s="15" t="s">
        <v>803</v>
      </c>
      <c r="E768" s="15"/>
      <c r="F768" s="15" t="s">
        <v>716</v>
      </c>
      <c r="G768" s="15" t="s">
        <v>112</v>
      </c>
      <c r="H768" s="15"/>
    </row>
    <row r="769" customFormat="false" ht="15" hidden="false" customHeight="true" outlineLevel="0" collapsed="false">
      <c r="A769" s="15" t="s">
        <v>155</v>
      </c>
      <c r="B769" s="15" t="s">
        <v>156</v>
      </c>
      <c r="C769" s="15" t="s">
        <v>765</v>
      </c>
      <c r="D769" s="15" t="s">
        <v>810</v>
      </c>
      <c r="E769" s="15"/>
      <c r="F769" s="15" t="s">
        <v>716</v>
      </c>
      <c r="G769" s="15" t="s">
        <v>112</v>
      </c>
      <c r="H769" s="15"/>
    </row>
    <row r="770" customFormat="false" ht="15" hidden="false" customHeight="true" outlineLevel="0" collapsed="false">
      <c r="A770" s="15" t="s">
        <v>155</v>
      </c>
      <c r="B770" s="15" t="s">
        <v>156</v>
      </c>
      <c r="C770" s="15" t="s">
        <v>767</v>
      </c>
      <c r="D770" s="15" t="s">
        <v>817</v>
      </c>
      <c r="E770" s="15"/>
      <c r="F770" s="15" t="s">
        <v>716</v>
      </c>
      <c r="G770" s="15" t="s">
        <v>112</v>
      </c>
      <c r="H770" s="15"/>
    </row>
    <row r="771" customFormat="false" ht="26.25" hidden="false" customHeight="true" outlineLevel="0" collapsed="false">
      <c r="A771" s="15" t="s">
        <v>155</v>
      </c>
      <c r="B771" s="15" t="s">
        <v>156</v>
      </c>
      <c r="C771" s="15" t="s">
        <v>769</v>
      </c>
      <c r="D771" s="15" t="n">
        <v>5</v>
      </c>
      <c r="E771" s="15" t="s">
        <v>721</v>
      </c>
      <c r="F771" s="15" t="s">
        <v>770</v>
      </c>
      <c r="G771" s="15" t="s">
        <v>293</v>
      </c>
      <c r="H771" s="15" t="s">
        <v>771</v>
      </c>
    </row>
    <row r="772" customFormat="false" ht="26.25" hidden="false" customHeight="true" outlineLevel="0" collapsed="false">
      <c r="A772" s="15" t="s">
        <v>155</v>
      </c>
      <c r="B772" s="15" t="s">
        <v>156</v>
      </c>
      <c r="C772" s="15" t="s">
        <v>772</v>
      </c>
      <c r="D772" s="15" t="n">
        <v>50000</v>
      </c>
      <c r="E772" s="15" t="s">
        <v>773</v>
      </c>
      <c r="F772" s="15" t="s">
        <v>770</v>
      </c>
      <c r="G772" s="15" t="s">
        <v>293</v>
      </c>
      <c r="H772" s="15" t="s">
        <v>774</v>
      </c>
    </row>
    <row r="773" customFormat="false" ht="26.25" hidden="false" customHeight="true" outlineLevel="0" collapsed="false">
      <c r="A773" s="15" t="s">
        <v>155</v>
      </c>
      <c r="B773" s="15" t="s">
        <v>156</v>
      </c>
      <c r="C773" s="15" t="s">
        <v>775</v>
      </c>
      <c r="D773" s="15" t="n">
        <v>75000</v>
      </c>
      <c r="E773" s="15" t="s">
        <v>773</v>
      </c>
      <c r="F773" s="15" t="s">
        <v>770</v>
      </c>
      <c r="G773" s="15" t="s">
        <v>293</v>
      </c>
      <c r="H773" s="15" t="s">
        <v>774</v>
      </c>
    </row>
    <row r="774" customFormat="false" ht="26.25" hidden="false" customHeight="true" outlineLevel="0" collapsed="false">
      <c r="A774" s="15" t="s">
        <v>155</v>
      </c>
      <c r="B774" s="15" t="s">
        <v>156</v>
      </c>
      <c r="C774" s="15" t="s">
        <v>811</v>
      </c>
      <c r="D774" s="15" t="n">
        <v>6.44</v>
      </c>
      <c r="E774" s="15" t="s">
        <v>812</v>
      </c>
      <c r="F774" s="15" t="s">
        <v>770</v>
      </c>
      <c r="G774" s="15" t="s">
        <v>293</v>
      </c>
      <c r="H774" s="15" t="s">
        <v>771</v>
      </c>
    </row>
    <row r="775" customFormat="false" ht="39" hidden="false" customHeight="true" outlineLevel="0" collapsed="false">
      <c r="A775" s="15" t="s">
        <v>155</v>
      </c>
      <c r="B775" s="15" t="s">
        <v>156</v>
      </c>
      <c r="C775" s="15" t="s">
        <v>776</v>
      </c>
      <c r="D775" s="15" t="s">
        <v>813</v>
      </c>
      <c r="E775" s="15"/>
      <c r="F775" s="15" t="s">
        <v>778</v>
      </c>
      <c r="G775" s="15" t="s">
        <v>293</v>
      </c>
      <c r="H775" s="15" t="s">
        <v>779</v>
      </c>
    </row>
    <row r="776" customFormat="false" ht="39" hidden="false" customHeight="true" outlineLevel="0" collapsed="false">
      <c r="A776" s="15" t="s">
        <v>155</v>
      </c>
      <c r="B776" s="15" t="s">
        <v>156</v>
      </c>
      <c r="C776" s="15" t="s">
        <v>780</v>
      </c>
      <c r="D776" s="15" t="s">
        <v>781</v>
      </c>
      <c r="E776" s="15"/>
      <c r="F776" s="15" t="s">
        <v>778</v>
      </c>
      <c r="G776" s="15" t="s">
        <v>293</v>
      </c>
      <c r="H776" s="15" t="s">
        <v>779</v>
      </c>
    </row>
    <row r="777" customFormat="false" ht="39" hidden="false" customHeight="true" outlineLevel="0" collapsed="false">
      <c r="A777" s="15" t="s">
        <v>155</v>
      </c>
      <c r="B777" s="15" t="s">
        <v>156</v>
      </c>
      <c r="C777" s="15" t="s">
        <v>782</v>
      </c>
      <c r="D777" s="15" t="n">
        <v>36</v>
      </c>
      <c r="E777" s="15" t="s">
        <v>783</v>
      </c>
      <c r="F777" s="15" t="s">
        <v>778</v>
      </c>
      <c r="G777" s="15" t="s">
        <v>293</v>
      </c>
      <c r="H777" s="15" t="s">
        <v>779</v>
      </c>
    </row>
    <row r="778" customFormat="false" ht="39" hidden="false" customHeight="true" outlineLevel="0" collapsed="false">
      <c r="A778" s="15" t="s">
        <v>155</v>
      </c>
      <c r="B778" s="15" t="s">
        <v>156</v>
      </c>
      <c r="C778" s="15" t="s">
        <v>784</v>
      </c>
      <c r="D778" s="15" t="n">
        <v>11</v>
      </c>
      <c r="E778" s="15" t="s">
        <v>738</v>
      </c>
      <c r="F778" s="15" t="s">
        <v>778</v>
      </c>
      <c r="G778" s="15" t="s">
        <v>293</v>
      </c>
      <c r="H778" s="15" t="s">
        <v>779</v>
      </c>
    </row>
    <row r="779" customFormat="false" ht="39" hidden="false" customHeight="true" outlineLevel="0" collapsed="false">
      <c r="A779" s="15" t="s">
        <v>155</v>
      </c>
      <c r="B779" s="15" t="s">
        <v>156</v>
      </c>
      <c r="C779" s="15" t="s">
        <v>785</v>
      </c>
      <c r="D779" s="15" t="n">
        <v>409</v>
      </c>
      <c r="E779" s="15" t="s">
        <v>786</v>
      </c>
      <c r="F779" s="15" t="s">
        <v>778</v>
      </c>
      <c r="G779" s="15" t="s">
        <v>293</v>
      </c>
      <c r="H779" s="15" t="s">
        <v>779</v>
      </c>
    </row>
    <row r="780" customFormat="false" ht="39" hidden="false" customHeight="true" outlineLevel="0" collapsed="false">
      <c r="A780" s="15" t="s">
        <v>155</v>
      </c>
      <c r="B780" s="15" t="s">
        <v>156</v>
      </c>
      <c r="C780" s="15" t="s">
        <v>787</v>
      </c>
      <c r="D780" s="15" t="s">
        <v>788</v>
      </c>
      <c r="E780" s="15"/>
      <c r="F780" s="15" t="s">
        <v>778</v>
      </c>
      <c r="G780" s="15" t="s">
        <v>293</v>
      </c>
      <c r="H780" s="15" t="s">
        <v>779</v>
      </c>
    </row>
    <row r="781" customFormat="false" ht="39" hidden="false" customHeight="true" outlineLevel="0" collapsed="false">
      <c r="A781" s="15" t="s">
        <v>155</v>
      </c>
      <c r="B781" s="15" t="s">
        <v>156</v>
      </c>
      <c r="C781" s="15" t="s">
        <v>789</v>
      </c>
      <c r="D781" s="15" t="s">
        <v>790</v>
      </c>
      <c r="E781" s="15"/>
      <c r="F781" s="15" t="s">
        <v>778</v>
      </c>
      <c r="G781" s="15" t="s">
        <v>293</v>
      </c>
      <c r="H781" s="15" t="s">
        <v>779</v>
      </c>
    </row>
    <row r="782" customFormat="false" ht="39" hidden="false" customHeight="true" outlineLevel="0" collapsed="false">
      <c r="A782" s="15" t="s">
        <v>155</v>
      </c>
      <c r="B782" s="15" t="s">
        <v>156</v>
      </c>
      <c r="C782" s="15" t="s">
        <v>791</v>
      </c>
      <c r="D782" s="15" t="s">
        <v>792</v>
      </c>
      <c r="E782" s="15"/>
      <c r="F782" s="15" t="s">
        <v>778</v>
      </c>
      <c r="G782" s="15" t="s">
        <v>293</v>
      </c>
      <c r="H782" s="15" t="s">
        <v>779</v>
      </c>
    </row>
    <row r="783" customFormat="false" ht="26.25" hidden="false" customHeight="true" outlineLevel="0" collapsed="false">
      <c r="A783" s="15" t="s">
        <v>189</v>
      </c>
      <c r="B783" s="15" t="s">
        <v>190</v>
      </c>
      <c r="C783" s="15" t="s">
        <v>714</v>
      </c>
      <c r="D783" s="15" t="n">
        <v>360</v>
      </c>
      <c r="E783" s="15" t="s">
        <v>715</v>
      </c>
      <c r="F783" s="15" t="s">
        <v>716</v>
      </c>
      <c r="G783" s="15" t="s">
        <v>112</v>
      </c>
      <c r="H783" s="15" t="s">
        <v>717</v>
      </c>
    </row>
    <row r="784" customFormat="false" ht="15" hidden="false" customHeight="true" outlineLevel="0" collapsed="false">
      <c r="A784" s="15" t="s">
        <v>189</v>
      </c>
      <c r="B784" s="15" t="s">
        <v>190</v>
      </c>
      <c r="C784" s="15" t="s">
        <v>718</v>
      </c>
      <c r="D784" s="15" t="s">
        <v>113</v>
      </c>
      <c r="E784" s="15"/>
      <c r="F784" s="15" t="s">
        <v>716</v>
      </c>
      <c r="G784" s="15" t="s">
        <v>112</v>
      </c>
      <c r="H784" s="15"/>
    </row>
    <row r="785" customFormat="false" ht="15" hidden="false" customHeight="true" outlineLevel="0" collapsed="false">
      <c r="A785" s="15" t="s">
        <v>189</v>
      </c>
      <c r="B785" s="15" t="s">
        <v>190</v>
      </c>
      <c r="C785" s="15" t="s">
        <v>719</v>
      </c>
      <c r="D785" s="15" t="n">
        <v>20</v>
      </c>
      <c r="E785" s="15" t="s">
        <v>720</v>
      </c>
      <c r="F785" s="15" t="s">
        <v>716</v>
      </c>
      <c r="G785" s="15" t="s">
        <v>112</v>
      </c>
      <c r="H785" s="15"/>
    </row>
    <row r="786" customFormat="false" ht="15" hidden="false" customHeight="true" outlineLevel="0" collapsed="false">
      <c r="A786" s="15" t="s">
        <v>189</v>
      </c>
      <c r="B786" s="15" t="s">
        <v>190</v>
      </c>
      <c r="C786" s="15" t="s">
        <v>86</v>
      </c>
      <c r="D786" s="15" t="n">
        <v>6</v>
      </c>
      <c r="E786" s="15" t="s">
        <v>721</v>
      </c>
      <c r="F786" s="15" t="s">
        <v>716</v>
      </c>
      <c r="G786" s="15" t="s">
        <v>112</v>
      </c>
      <c r="H786" s="15"/>
    </row>
    <row r="787" customFormat="false" ht="15" hidden="false" customHeight="true" outlineLevel="0" collapsed="false">
      <c r="A787" s="15" t="s">
        <v>189</v>
      </c>
      <c r="B787" s="15" t="s">
        <v>190</v>
      </c>
      <c r="C787" s="15" t="s">
        <v>722</v>
      </c>
      <c r="D787" s="15" t="n">
        <v>455</v>
      </c>
      <c r="E787" s="15" t="s">
        <v>723</v>
      </c>
      <c r="F787" s="15" t="s">
        <v>716</v>
      </c>
      <c r="G787" s="15" t="s">
        <v>112</v>
      </c>
      <c r="H787" s="15"/>
    </row>
    <row r="788" customFormat="false" ht="15" hidden="false" customHeight="true" outlineLevel="0" collapsed="false">
      <c r="A788" s="15" t="s">
        <v>189</v>
      </c>
      <c r="B788" s="15" t="s">
        <v>190</v>
      </c>
      <c r="C788" s="15" t="s">
        <v>724</v>
      </c>
      <c r="D788" s="15" t="n">
        <v>45</v>
      </c>
      <c r="E788" s="15" t="s">
        <v>723</v>
      </c>
      <c r="F788" s="15" t="s">
        <v>716</v>
      </c>
      <c r="G788" s="15" t="s">
        <v>112</v>
      </c>
      <c r="H788" s="15"/>
    </row>
    <row r="789" customFormat="false" ht="15" hidden="false" customHeight="true" outlineLevel="0" collapsed="false">
      <c r="A789" s="15" t="s">
        <v>189</v>
      </c>
      <c r="B789" s="15" t="s">
        <v>190</v>
      </c>
      <c r="C789" s="15" t="s">
        <v>84</v>
      </c>
      <c r="D789" s="15" t="n">
        <v>207</v>
      </c>
      <c r="E789" s="15" t="s">
        <v>725</v>
      </c>
      <c r="F789" s="15" t="s">
        <v>716</v>
      </c>
      <c r="G789" s="15" t="s">
        <v>112</v>
      </c>
      <c r="H789" s="15"/>
    </row>
    <row r="790" customFormat="false" ht="15" hidden="false" customHeight="true" outlineLevel="0" collapsed="false">
      <c r="A790" s="15" t="s">
        <v>189</v>
      </c>
      <c r="B790" s="15" t="s">
        <v>190</v>
      </c>
      <c r="C790" s="15" t="s">
        <v>726</v>
      </c>
      <c r="D790" s="15" t="n">
        <v>4371</v>
      </c>
      <c r="E790" s="15" t="s">
        <v>725</v>
      </c>
      <c r="F790" s="15" t="s">
        <v>716</v>
      </c>
      <c r="G790" s="15" t="s">
        <v>112</v>
      </c>
      <c r="H790" s="15"/>
    </row>
    <row r="791" customFormat="false" ht="15" hidden="false" customHeight="true" outlineLevel="0" collapsed="false">
      <c r="A791" s="15" t="s">
        <v>189</v>
      </c>
      <c r="B791" s="15" t="s">
        <v>190</v>
      </c>
      <c r="C791" s="15" t="s">
        <v>727</v>
      </c>
      <c r="D791" s="15" t="n">
        <v>1907</v>
      </c>
      <c r="E791" s="15" t="s">
        <v>725</v>
      </c>
      <c r="F791" s="15" t="s">
        <v>716</v>
      </c>
      <c r="G791" s="15" t="s">
        <v>112</v>
      </c>
      <c r="H791" s="15"/>
    </row>
    <row r="792" customFormat="false" ht="15" hidden="false" customHeight="true" outlineLevel="0" collapsed="false">
      <c r="A792" s="15" t="s">
        <v>189</v>
      </c>
      <c r="B792" s="15" t="s">
        <v>190</v>
      </c>
      <c r="C792" s="15" t="s">
        <v>728</v>
      </c>
      <c r="D792" s="15" t="n">
        <v>1627</v>
      </c>
      <c r="E792" s="15" t="s">
        <v>725</v>
      </c>
      <c r="F792" s="15" t="s">
        <v>716</v>
      </c>
      <c r="G792" s="15" t="s">
        <v>112</v>
      </c>
      <c r="H792" s="15"/>
    </row>
    <row r="793" customFormat="false" ht="15" hidden="false" customHeight="true" outlineLevel="0" collapsed="false">
      <c r="A793" s="15" t="s">
        <v>189</v>
      </c>
      <c r="B793" s="15" t="s">
        <v>190</v>
      </c>
      <c r="C793" s="15" t="s">
        <v>729</v>
      </c>
      <c r="D793" s="15" t="n">
        <v>2775</v>
      </c>
      <c r="E793" s="15" t="s">
        <v>725</v>
      </c>
      <c r="F793" s="15" t="s">
        <v>716</v>
      </c>
      <c r="G793" s="15" t="s">
        <v>112</v>
      </c>
      <c r="H793" s="15"/>
    </row>
    <row r="794" customFormat="false" ht="15" hidden="false" customHeight="true" outlineLevel="0" collapsed="false">
      <c r="A794" s="15" t="s">
        <v>189</v>
      </c>
      <c r="B794" s="15" t="s">
        <v>190</v>
      </c>
      <c r="C794" s="15" t="s">
        <v>730</v>
      </c>
      <c r="D794" s="15" t="n">
        <v>10</v>
      </c>
      <c r="E794" s="15" t="s">
        <v>731</v>
      </c>
      <c r="F794" s="15" t="s">
        <v>716</v>
      </c>
      <c r="G794" s="15" t="s">
        <v>112</v>
      </c>
      <c r="H794" s="15"/>
    </row>
    <row r="795" customFormat="false" ht="26.25" hidden="false" customHeight="true" outlineLevel="0" collapsed="false">
      <c r="A795" s="15" t="s">
        <v>189</v>
      </c>
      <c r="B795" s="15" t="s">
        <v>190</v>
      </c>
      <c r="C795" s="15" t="s">
        <v>98</v>
      </c>
      <c r="D795" s="15" t="s">
        <v>732</v>
      </c>
      <c r="E795" s="15"/>
      <c r="F795" s="15" t="s">
        <v>716</v>
      </c>
      <c r="G795" s="15" t="s">
        <v>112</v>
      </c>
      <c r="H795" s="15"/>
    </row>
    <row r="796" customFormat="false" ht="26.25" hidden="false" customHeight="true" outlineLevel="0" collapsed="false">
      <c r="A796" s="15" t="s">
        <v>189</v>
      </c>
      <c r="B796" s="15" t="s">
        <v>190</v>
      </c>
      <c r="C796" s="15" t="s">
        <v>733</v>
      </c>
      <c r="D796" s="15" t="s">
        <v>808</v>
      </c>
      <c r="E796" s="15"/>
      <c r="F796" s="15" t="s">
        <v>735</v>
      </c>
      <c r="G796" s="15" t="s">
        <v>112</v>
      </c>
      <c r="H796" s="15" t="s">
        <v>736</v>
      </c>
    </row>
    <row r="797" customFormat="false" ht="15" hidden="false" customHeight="true" outlineLevel="0" collapsed="false">
      <c r="A797" s="15" t="s">
        <v>189</v>
      </c>
      <c r="B797" s="15" t="s">
        <v>190</v>
      </c>
      <c r="C797" s="15" t="s">
        <v>737</v>
      </c>
      <c r="D797" s="15" t="n">
        <v>210</v>
      </c>
      <c r="E797" s="15" t="s">
        <v>738</v>
      </c>
      <c r="F797" s="15" t="s">
        <v>716</v>
      </c>
      <c r="G797" s="15" t="s">
        <v>112</v>
      </c>
      <c r="H797" s="15"/>
    </row>
    <row r="798" customFormat="false" ht="15" hidden="false" customHeight="true" outlineLevel="0" collapsed="false">
      <c r="A798" s="15" t="s">
        <v>189</v>
      </c>
      <c r="B798" s="15" t="s">
        <v>190</v>
      </c>
      <c r="C798" s="15" t="s">
        <v>739</v>
      </c>
      <c r="D798" s="15" t="n">
        <v>180</v>
      </c>
      <c r="E798" s="15" t="s">
        <v>738</v>
      </c>
      <c r="F798" s="15" t="s">
        <v>716</v>
      </c>
      <c r="G798" s="15" t="s">
        <v>112</v>
      </c>
      <c r="H798" s="15"/>
    </row>
    <row r="799" customFormat="false" ht="26.25" hidden="false" customHeight="true" outlineLevel="0" collapsed="false">
      <c r="A799" s="15" t="s">
        <v>189</v>
      </c>
      <c r="B799" s="15" t="s">
        <v>190</v>
      </c>
      <c r="C799" s="15" t="s">
        <v>740</v>
      </c>
      <c r="D799" s="15" t="n">
        <v>8</v>
      </c>
      <c r="E799" s="15" t="s">
        <v>741</v>
      </c>
      <c r="F799" s="15" t="s">
        <v>716</v>
      </c>
      <c r="G799" s="15" t="s">
        <v>112</v>
      </c>
      <c r="H799" s="15"/>
    </row>
    <row r="800" customFormat="false" ht="15" hidden="false" customHeight="true" outlineLevel="0" collapsed="false">
      <c r="A800" s="15" t="s">
        <v>189</v>
      </c>
      <c r="B800" s="15" t="s">
        <v>190</v>
      </c>
      <c r="C800" s="15" t="s">
        <v>742</v>
      </c>
      <c r="D800" s="15" t="n">
        <v>11.7</v>
      </c>
      <c r="E800" s="15" t="s">
        <v>741</v>
      </c>
      <c r="F800" s="15" t="s">
        <v>716</v>
      </c>
      <c r="G800" s="15" t="s">
        <v>112</v>
      </c>
      <c r="H800" s="15"/>
    </row>
    <row r="801" customFormat="false" ht="15" hidden="false" customHeight="true" outlineLevel="0" collapsed="false">
      <c r="A801" s="15" t="s">
        <v>189</v>
      </c>
      <c r="B801" s="15" t="s">
        <v>190</v>
      </c>
      <c r="C801" s="15" t="s">
        <v>743</v>
      </c>
      <c r="D801" s="15" t="s">
        <v>744</v>
      </c>
      <c r="E801" s="15"/>
      <c r="F801" s="15" t="s">
        <v>716</v>
      </c>
      <c r="G801" s="15" t="s">
        <v>112</v>
      </c>
      <c r="H801" s="15"/>
    </row>
    <row r="802" customFormat="false" ht="15" hidden="false" customHeight="true" outlineLevel="0" collapsed="false">
      <c r="A802" s="15" t="s">
        <v>189</v>
      </c>
      <c r="B802" s="15" t="s">
        <v>190</v>
      </c>
      <c r="C802" s="15" t="s">
        <v>745</v>
      </c>
      <c r="D802" s="15" t="s">
        <v>746</v>
      </c>
      <c r="E802" s="15"/>
      <c r="F802" s="15" t="s">
        <v>716</v>
      </c>
      <c r="G802" s="15" t="s">
        <v>112</v>
      </c>
      <c r="H802" s="15"/>
    </row>
    <row r="803" customFormat="false" ht="15" hidden="false" customHeight="true" outlineLevel="0" collapsed="false">
      <c r="A803" s="15" t="s">
        <v>189</v>
      </c>
      <c r="B803" s="15" t="s">
        <v>190</v>
      </c>
      <c r="C803" s="15" t="s">
        <v>747</v>
      </c>
      <c r="D803" s="15" t="s">
        <v>809</v>
      </c>
      <c r="E803" s="15"/>
      <c r="F803" s="15" t="s">
        <v>716</v>
      </c>
      <c r="G803" s="15" t="s">
        <v>112</v>
      </c>
      <c r="H803" s="15"/>
    </row>
    <row r="804" customFormat="false" ht="15" hidden="false" customHeight="true" outlineLevel="0" collapsed="false">
      <c r="A804" s="15" t="s">
        <v>189</v>
      </c>
      <c r="B804" s="15" t="s">
        <v>190</v>
      </c>
      <c r="C804" s="15" t="s">
        <v>749</v>
      </c>
      <c r="D804" s="15" t="s">
        <v>814</v>
      </c>
      <c r="E804" s="15"/>
      <c r="F804" s="15" t="s">
        <v>716</v>
      </c>
      <c r="G804" s="15" t="s">
        <v>112</v>
      </c>
      <c r="H804" s="15" t="s">
        <v>751</v>
      </c>
    </row>
    <row r="805" customFormat="false" ht="15" hidden="false" customHeight="true" outlineLevel="0" collapsed="false">
      <c r="A805" s="15" t="s">
        <v>189</v>
      </c>
      <c r="B805" s="15" t="s">
        <v>190</v>
      </c>
      <c r="C805" s="15" t="s">
        <v>752</v>
      </c>
      <c r="D805" s="15" t="s">
        <v>796</v>
      </c>
      <c r="E805" s="15"/>
      <c r="F805" s="15" t="s">
        <v>716</v>
      </c>
      <c r="G805" s="15" t="s">
        <v>112</v>
      </c>
      <c r="H805" s="15"/>
    </row>
    <row r="806" customFormat="false" ht="15" hidden="false" customHeight="true" outlineLevel="0" collapsed="false">
      <c r="A806" s="15" t="s">
        <v>189</v>
      </c>
      <c r="B806" s="15" t="s">
        <v>190</v>
      </c>
      <c r="C806" s="15" t="s">
        <v>90</v>
      </c>
      <c r="D806" s="15" t="s">
        <v>815</v>
      </c>
      <c r="E806" s="15"/>
      <c r="F806" s="15" t="s">
        <v>716</v>
      </c>
      <c r="G806" s="15" t="s">
        <v>112</v>
      </c>
      <c r="H806" s="15"/>
    </row>
    <row r="807" customFormat="false" ht="26.25" hidden="false" customHeight="true" outlineLevel="0" collapsed="false">
      <c r="A807" s="15" t="s">
        <v>189</v>
      </c>
      <c r="B807" s="15" t="s">
        <v>190</v>
      </c>
      <c r="C807" s="15" t="s">
        <v>754</v>
      </c>
      <c r="D807" s="15" t="s">
        <v>818</v>
      </c>
      <c r="E807" s="15"/>
      <c r="F807" s="15" t="s">
        <v>716</v>
      </c>
      <c r="G807" s="15" t="s">
        <v>819</v>
      </c>
      <c r="H807" s="15" t="s">
        <v>820</v>
      </c>
    </row>
    <row r="808" customFormat="false" ht="15" hidden="false" customHeight="true" outlineLevel="0" collapsed="false">
      <c r="A808" s="15" t="s">
        <v>189</v>
      </c>
      <c r="B808" s="15" t="s">
        <v>190</v>
      </c>
      <c r="C808" s="15" t="s">
        <v>756</v>
      </c>
      <c r="D808" s="15" t="s">
        <v>818</v>
      </c>
      <c r="E808" s="15"/>
      <c r="F808" s="15" t="s">
        <v>716</v>
      </c>
      <c r="G808" s="15" t="s">
        <v>819</v>
      </c>
      <c r="H808" s="15"/>
    </row>
    <row r="809" customFormat="false" ht="15" hidden="false" customHeight="true" outlineLevel="0" collapsed="false">
      <c r="A809" s="15" t="s">
        <v>189</v>
      </c>
      <c r="B809" s="15" t="s">
        <v>190</v>
      </c>
      <c r="C809" s="15" t="s">
        <v>757</v>
      </c>
      <c r="D809" s="15" t="s">
        <v>797</v>
      </c>
      <c r="E809" s="15"/>
      <c r="F809" s="15" t="s">
        <v>716</v>
      </c>
      <c r="G809" s="15" t="s">
        <v>112</v>
      </c>
      <c r="H809" s="15"/>
    </row>
    <row r="810" customFormat="false" ht="15" hidden="false" customHeight="true" outlineLevel="0" collapsed="false">
      <c r="A810" s="15" t="s">
        <v>189</v>
      </c>
      <c r="B810" s="15" t="s">
        <v>190</v>
      </c>
      <c r="C810" s="15" t="s">
        <v>759</v>
      </c>
      <c r="D810" s="15" t="s">
        <v>798</v>
      </c>
      <c r="E810" s="15"/>
      <c r="F810" s="15" t="s">
        <v>716</v>
      </c>
      <c r="G810" s="15" t="s">
        <v>112</v>
      </c>
      <c r="H810" s="15"/>
    </row>
    <row r="811" customFormat="false" ht="15" hidden="false" customHeight="true" outlineLevel="0" collapsed="false">
      <c r="A811" s="15" t="s">
        <v>189</v>
      </c>
      <c r="B811" s="15" t="s">
        <v>190</v>
      </c>
      <c r="C811" s="15" t="s">
        <v>761</v>
      </c>
      <c r="D811" s="15" t="s">
        <v>816</v>
      </c>
      <c r="E811" s="15"/>
      <c r="F811" s="15" t="s">
        <v>716</v>
      </c>
      <c r="G811" s="15" t="s">
        <v>112</v>
      </c>
      <c r="H811" s="15"/>
    </row>
    <row r="812" customFormat="false" ht="15" hidden="false" customHeight="true" outlineLevel="0" collapsed="false">
      <c r="A812" s="15" t="s">
        <v>189</v>
      </c>
      <c r="B812" s="15" t="s">
        <v>190</v>
      </c>
      <c r="C812" s="15" t="s">
        <v>762</v>
      </c>
      <c r="D812" s="15" t="s">
        <v>803</v>
      </c>
      <c r="E812" s="15"/>
      <c r="F812" s="15" t="s">
        <v>716</v>
      </c>
      <c r="G812" s="15" t="s">
        <v>112</v>
      </c>
      <c r="H812" s="15"/>
    </row>
    <row r="813" customFormat="false" ht="15" hidden="false" customHeight="true" outlineLevel="0" collapsed="false">
      <c r="A813" s="15" t="s">
        <v>189</v>
      </c>
      <c r="B813" s="15" t="s">
        <v>190</v>
      </c>
      <c r="C813" s="15" t="s">
        <v>92</v>
      </c>
      <c r="D813" s="15" t="s">
        <v>803</v>
      </c>
      <c r="E813" s="15"/>
      <c r="F813" s="15" t="s">
        <v>716</v>
      </c>
      <c r="G813" s="15" t="s">
        <v>112</v>
      </c>
      <c r="H813" s="15"/>
    </row>
    <row r="814" customFormat="false" ht="15" hidden="false" customHeight="true" outlineLevel="0" collapsed="false">
      <c r="A814" s="15" t="s">
        <v>189</v>
      </c>
      <c r="B814" s="15" t="s">
        <v>190</v>
      </c>
      <c r="C814" s="15" t="s">
        <v>763</v>
      </c>
      <c r="D814" s="15" t="s">
        <v>807</v>
      </c>
      <c r="E814" s="15"/>
      <c r="F814" s="15" t="s">
        <v>716</v>
      </c>
      <c r="G814" s="15" t="s">
        <v>112</v>
      </c>
      <c r="H814" s="15"/>
    </row>
    <row r="815" customFormat="false" ht="15" hidden="false" customHeight="true" outlineLevel="0" collapsed="false">
      <c r="A815" s="15" t="s">
        <v>189</v>
      </c>
      <c r="B815" s="15" t="s">
        <v>190</v>
      </c>
      <c r="C815" s="15" t="s">
        <v>764</v>
      </c>
      <c r="D815" s="15" t="s">
        <v>803</v>
      </c>
      <c r="E815" s="15"/>
      <c r="F815" s="15" t="s">
        <v>716</v>
      </c>
      <c r="G815" s="15" t="s">
        <v>112</v>
      </c>
      <c r="H815" s="15"/>
    </row>
    <row r="816" customFormat="false" ht="15" hidden="false" customHeight="true" outlineLevel="0" collapsed="false">
      <c r="A816" s="15" t="s">
        <v>189</v>
      </c>
      <c r="B816" s="15" t="s">
        <v>190</v>
      </c>
      <c r="C816" s="15" t="s">
        <v>765</v>
      </c>
      <c r="D816" s="15" t="s">
        <v>810</v>
      </c>
      <c r="E816" s="15"/>
      <c r="F816" s="15" t="s">
        <v>716</v>
      </c>
      <c r="G816" s="15" t="s">
        <v>112</v>
      </c>
      <c r="H816" s="15"/>
    </row>
    <row r="817" customFormat="false" ht="15" hidden="false" customHeight="true" outlineLevel="0" collapsed="false">
      <c r="A817" s="15" t="s">
        <v>189</v>
      </c>
      <c r="B817" s="15" t="s">
        <v>190</v>
      </c>
      <c r="C817" s="15" t="s">
        <v>767</v>
      </c>
      <c r="D817" s="15" t="s">
        <v>817</v>
      </c>
      <c r="E817" s="15"/>
      <c r="F817" s="15" t="s">
        <v>716</v>
      </c>
      <c r="G817" s="15" t="s">
        <v>112</v>
      </c>
      <c r="H817" s="15"/>
    </row>
    <row r="818" customFormat="false" ht="26.25" hidden="false" customHeight="true" outlineLevel="0" collapsed="false">
      <c r="A818" s="15" t="s">
        <v>189</v>
      </c>
      <c r="B818" s="15" t="s">
        <v>190</v>
      </c>
      <c r="C818" s="15" t="s">
        <v>769</v>
      </c>
      <c r="D818" s="15" t="n">
        <v>5</v>
      </c>
      <c r="E818" s="15" t="s">
        <v>721</v>
      </c>
      <c r="F818" s="15" t="s">
        <v>770</v>
      </c>
      <c r="G818" s="15" t="s">
        <v>293</v>
      </c>
      <c r="H818" s="15" t="s">
        <v>771</v>
      </c>
    </row>
    <row r="819" customFormat="false" ht="26.25" hidden="false" customHeight="true" outlineLevel="0" collapsed="false">
      <c r="A819" s="15" t="s">
        <v>189</v>
      </c>
      <c r="B819" s="15" t="s">
        <v>190</v>
      </c>
      <c r="C819" s="15" t="s">
        <v>772</v>
      </c>
      <c r="D819" s="15" t="n">
        <v>50000</v>
      </c>
      <c r="E819" s="15" t="s">
        <v>773</v>
      </c>
      <c r="F819" s="15" t="s">
        <v>770</v>
      </c>
      <c r="G819" s="15" t="s">
        <v>293</v>
      </c>
      <c r="H819" s="15" t="s">
        <v>774</v>
      </c>
    </row>
    <row r="820" customFormat="false" ht="26.25" hidden="false" customHeight="true" outlineLevel="0" collapsed="false">
      <c r="A820" s="15" t="s">
        <v>189</v>
      </c>
      <c r="B820" s="15" t="s">
        <v>190</v>
      </c>
      <c r="C820" s="15" t="s">
        <v>775</v>
      </c>
      <c r="D820" s="15" t="n">
        <v>75000</v>
      </c>
      <c r="E820" s="15" t="s">
        <v>773</v>
      </c>
      <c r="F820" s="15" t="s">
        <v>770</v>
      </c>
      <c r="G820" s="15" t="s">
        <v>293</v>
      </c>
      <c r="H820" s="15" t="s">
        <v>774</v>
      </c>
    </row>
    <row r="821" customFormat="false" ht="26.25" hidden="false" customHeight="true" outlineLevel="0" collapsed="false">
      <c r="A821" s="15" t="s">
        <v>189</v>
      </c>
      <c r="B821" s="15" t="s">
        <v>190</v>
      </c>
      <c r="C821" s="15" t="s">
        <v>811</v>
      </c>
      <c r="D821" s="15" t="n">
        <v>6.44</v>
      </c>
      <c r="E821" s="15" t="s">
        <v>812</v>
      </c>
      <c r="F821" s="15" t="s">
        <v>770</v>
      </c>
      <c r="G821" s="15" t="s">
        <v>293</v>
      </c>
      <c r="H821" s="15" t="s">
        <v>771</v>
      </c>
    </row>
    <row r="822" customFormat="false" ht="39" hidden="false" customHeight="true" outlineLevel="0" collapsed="false">
      <c r="A822" s="15" t="s">
        <v>189</v>
      </c>
      <c r="B822" s="15" t="s">
        <v>190</v>
      </c>
      <c r="C822" s="15" t="s">
        <v>776</v>
      </c>
      <c r="D822" s="15" t="s">
        <v>813</v>
      </c>
      <c r="E822" s="15"/>
      <c r="F822" s="15" t="s">
        <v>778</v>
      </c>
      <c r="G822" s="15" t="s">
        <v>293</v>
      </c>
      <c r="H822" s="15" t="s">
        <v>779</v>
      </c>
    </row>
    <row r="823" customFormat="false" ht="39" hidden="false" customHeight="true" outlineLevel="0" collapsed="false">
      <c r="A823" s="15" t="s">
        <v>189</v>
      </c>
      <c r="B823" s="15" t="s">
        <v>190</v>
      </c>
      <c r="C823" s="15" t="s">
        <v>780</v>
      </c>
      <c r="D823" s="15" t="s">
        <v>781</v>
      </c>
      <c r="E823" s="15"/>
      <c r="F823" s="15" t="s">
        <v>778</v>
      </c>
      <c r="G823" s="15" t="s">
        <v>293</v>
      </c>
      <c r="H823" s="15" t="s">
        <v>779</v>
      </c>
    </row>
    <row r="824" customFormat="false" ht="39" hidden="false" customHeight="true" outlineLevel="0" collapsed="false">
      <c r="A824" s="15" t="s">
        <v>189</v>
      </c>
      <c r="B824" s="15" t="s">
        <v>190</v>
      </c>
      <c r="C824" s="15" t="s">
        <v>782</v>
      </c>
      <c r="D824" s="15" t="n">
        <v>36</v>
      </c>
      <c r="E824" s="15" t="s">
        <v>783</v>
      </c>
      <c r="F824" s="15" t="s">
        <v>778</v>
      </c>
      <c r="G824" s="15" t="s">
        <v>293</v>
      </c>
      <c r="H824" s="15" t="s">
        <v>779</v>
      </c>
    </row>
    <row r="825" customFormat="false" ht="39" hidden="false" customHeight="true" outlineLevel="0" collapsed="false">
      <c r="A825" s="15" t="s">
        <v>189</v>
      </c>
      <c r="B825" s="15" t="s">
        <v>190</v>
      </c>
      <c r="C825" s="15" t="s">
        <v>784</v>
      </c>
      <c r="D825" s="15" t="n">
        <v>11</v>
      </c>
      <c r="E825" s="15" t="s">
        <v>738</v>
      </c>
      <c r="F825" s="15" t="s">
        <v>778</v>
      </c>
      <c r="G825" s="15" t="s">
        <v>293</v>
      </c>
      <c r="H825" s="15" t="s">
        <v>779</v>
      </c>
    </row>
    <row r="826" customFormat="false" ht="39" hidden="false" customHeight="true" outlineLevel="0" collapsed="false">
      <c r="A826" s="15" t="s">
        <v>189</v>
      </c>
      <c r="B826" s="15" t="s">
        <v>190</v>
      </c>
      <c r="C826" s="15" t="s">
        <v>785</v>
      </c>
      <c r="D826" s="15" t="n">
        <v>409</v>
      </c>
      <c r="E826" s="15" t="s">
        <v>786</v>
      </c>
      <c r="F826" s="15" t="s">
        <v>778</v>
      </c>
      <c r="G826" s="15" t="s">
        <v>293</v>
      </c>
      <c r="H826" s="15" t="s">
        <v>779</v>
      </c>
    </row>
    <row r="827" customFormat="false" ht="39" hidden="false" customHeight="true" outlineLevel="0" collapsed="false">
      <c r="A827" s="15" t="s">
        <v>189</v>
      </c>
      <c r="B827" s="15" t="s">
        <v>190</v>
      </c>
      <c r="C827" s="15" t="s">
        <v>787</v>
      </c>
      <c r="D827" s="15" t="s">
        <v>788</v>
      </c>
      <c r="E827" s="15"/>
      <c r="F827" s="15" t="s">
        <v>778</v>
      </c>
      <c r="G827" s="15" t="s">
        <v>293</v>
      </c>
      <c r="H827" s="15" t="s">
        <v>779</v>
      </c>
    </row>
    <row r="828" customFormat="false" ht="39" hidden="false" customHeight="true" outlineLevel="0" collapsed="false">
      <c r="A828" s="15" t="s">
        <v>189</v>
      </c>
      <c r="B828" s="15" t="s">
        <v>190</v>
      </c>
      <c r="C828" s="15" t="s">
        <v>789</v>
      </c>
      <c r="D828" s="15" t="s">
        <v>790</v>
      </c>
      <c r="E828" s="15"/>
      <c r="F828" s="15" t="s">
        <v>778</v>
      </c>
      <c r="G828" s="15" t="s">
        <v>293</v>
      </c>
      <c r="H828" s="15" t="s">
        <v>779</v>
      </c>
    </row>
    <row r="829" customFormat="false" ht="39" hidden="false" customHeight="true" outlineLevel="0" collapsed="false">
      <c r="A829" s="15" t="s">
        <v>189</v>
      </c>
      <c r="B829" s="15" t="s">
        <v>190</v>
      </c>
      <c r="C829" s="15" t="s">
        <v>791</v>
      </c>
      <c r="D829" s="15" t="s">
        <v>792</v>
      </c>
      <c r="E829" s="15"/>
      <c r="F829" s="15" t="s">
        <v>778</v>
      </c>
      <c r="G829" s="15" t="s">
        <v>293</v>
      </c>
      <c r="H829" s="15" t="s">
        <v>779</v>
      </c>
    </row>
    <row r="830" customFormat="false" ht="26.25" hidden="false" customHeight="true" outlineLevel="0" collapsed="false">
      <c r="A830" s="15" t="s">
        <v>159</v>
      </c>
      <c r="B830" s="15" t="s">
        <v>160</v>
      </c>
      <c r="C830" s="15" t="s">
        <v>714</v>
      </c>
      <c r="D830" s="15" t="n">
        <v>360</v>
      </c>
      <c r="E830" s="15" t="s">
        <v>715</v>
      </c>
      <c r="F830" s="15" t="s">
        <v>716</v>
      </c>
      <c r="G830" s="15" t="s">
        <v>112</v>
      </c>
      <c r="H830" s="15" t="s">
        <v>717</v>
      </c>
    </row>
    <row r="831" customFormat="false" ht="15" hidden="false" customHeight="true" outlineLevel="0" collapsed="false">
      <c r="A831" s="15" t="s">
        <v>159</v>
      </c>
      <c r="B831" s="15" t="s">
        <v>160</v>
      </c>
      <c r="C831" s="15" t="s">
        <v>718</v>
      </c>
      <c r="D831" s="15" t="s">
        <v>113</v>
      </c>
      <c r="E831" s="15"/>
      <c r="F831" s="15" t="s">
        <v>716</v>
      </c>
      <c r="G831" s="15" t="s">
        <v>112</v>
      </c>
      <c r="H831" s="15"/>
    </row>
    <row r="832" customFormat="false" ht="15" hidden="false" customHeight="true" outlineLevel="0" collapsed="false">
      <c r="A832" s="15" t="s">
        <v>159</v>
      </c>
      <c r="B832" s="15" t="s">
        <v>160</v>
      </c>
      <c r="C832" s="15" t="s">
        <v>719</v>
      </c>
      <c r="D832" s="15" t="n">
        <v>20</v>
      </c>
      <c r="E832" s="15" t="s">
        <v>720</v>
      </c>
      <c r="F832" s="15" t="s">
        <v>716</v>
      </c>
      <c r="G832" s="15" t="s">
        <v>112</v>
      </c>
      <c r="H832" s="15"/>
    </row>
    <row r="833" customFormat="false" ht="15" hidden="false" customHeight="true" outlineLevel="0" collapsed="false">
      <c r="A833" s="15" t="s">
        <v>159</v>
      </c>
      <c r="B833" s="15" t="s">
        <v>160</v>
      </c>
      <c r="C833" s="15" t="s">
        <v>86</v>
      </c>
      <c r="D833" s="15" t="n">
        <v>6</v>
      </c>
      <c r="E833" s="15" t="s">
        <v>721</v>
      </c>
      <c r="F833" s="15" t="s">
        <v>716</v>
      </c>
      <c r="G833" s="15" t="s">
        <v>112</v>
      </c>
      <c r="H833" s="15"/>
    </row>
    <row r="834" customFormat="false" ht="15" hidden="false" customHeight="true" outlineLevel="0" collapsed="false">
      <c r="A834" s="15" t="s">
        <v>159</v>
      </c>
      <c r="B834" s="15" t="s">
        <v>160</v>
      </c>
      <c r="C834" s="15" t="s">
        <v>722</v>
      </c>
      <c r="D834" s="15" t="n">
        <v>455</v>
      </c>
      <c r="E834" s="15" t="s">
        <v>723</v>
      </c>
      <c r="F834" s="15" t="s">
        <v>716</v>
      </c>
      <c r="G834" s="15" t="s">
        <v>112</v>
      </c>
      <c r="H834" s="15"/>
    </row>
    <row r="835" customFormat="false" ht="15" hidden="false" customHeight="true" outlineLevel="0" collapsed="false">
      <c r="A835" s="15" t="s">
        <v>159</v>
      </c>
      <c r="B835" s="15" t="s">
        <v>160</v>
      </c>
      <c r="C835" s="15" t="s">
        <v>724</v>
      </c>
      <c r="D835" s="15" t="n">
        <v>45</v>
      </c>
      <c r="E835" s="15" t="s">
        <v>723</v>
      </c>
      <c r="F835" s="15" t="s">
        <v>716</v>
      </c>
      <c r="G835" s="15" t="s">
        <v>112</v>
      </c>
      <c r="H835" s="15"/>
    </row>
    <row r="836" customFormat="false" ht="15" hidden="false" customHeight="true" outlineLevel="0" collapsed="false">
      <c r="A836" s="15" t="s">
        <v>159</v>
      </c>
      <c r="B836" s="15" t="s">
        <v>160</v>
      </c>
      <c r="C836" s="15" t="s">
        <v>84</v>
      </c>
      <c r="D836" s="15" t="n">
        <v>207</v>
      </c>
      <c r="E836" s="15" t="s">
        <v>725</v>
      </c>
      <c r="F836" s="15" t="s">
        <v>716</v>
      </c>
      <c r="G836" s="15" t="s">
        <v>112</v>
      </c>
      <c r="H836" s="15"/>
    </row>
    <row r="837" customFormat="false" ht="15" hidden="false" customHeight="true" outlineLevel="0" collapsed="false">
      <c r="A837" s="15" t="s">
        <v>159</v>
      </c>
      <c r="B837" s="15" t="s">
        <v>160</v>
      </c>
      <c r="C837" s="15" t="s">
        <v>726</v>
      </c>
      <c r="D837" s="15" t="n">
        <v>4371</v>
      </c>
      <c r="E837" s="15" t="s">
        <v>725</v>
      </c>
      <c r="F837" s="15" t="s">
        <v>716</v>
      </c>
      <c r="G837" s="15" t="s">
        <v>112</v>
      </c>
      <c r="H837" s="15"/>
    </row>
    <row r="838" customFormat="false" ht="15" hidden="false" customHeight="true" outlineLevel="0" collapsed="false">
      <c r="A838" s="15" t="s">
        <v>159</v>
      </c>
      <c r="B838" s="15" t="s">
        <v>160</v>
      </c>
      <c r="C838" s="15" t="s">
        <v>727</v>
      </c>
      <c r="D838" s="15" t="n">
        <v>1907</v>
      </c>
      <c r="E838" s="15" t="s">
        <v>725</v>
      </c>
      <c r="F838" s="15" t="s">
        <v>716</v>
      </c>
      <c r="G838" s="15" t="s">
        <v>112</v>
      </c>
      <c r="H838" s="15"/>
    </row>
    <row r="839" customFormat="false" ht="15" hidden="false" customHeight="true" outlineLevel="0" collapsed="false">
      <c r="A839" s="15" t="s">
        <v>159</v>
      </c>
      <c r="B839" s="15" t="s">
        <v>160</v>
      </c>
      <c r="C839" s="15" t="s">
        <v>728</v>
      </c>
      <c r="D839" s="15" t="n">
        <v>1627</v>
      </c>
      <c r="E839" s="15" t="s">
        <v>725</v>
      </c>
      <c r="F839" s="15" t="s">
        <v>716</v>
      </c>
      <c r="G839" s="15" t="s">
        <v>112</v>
      </c>
      <c r="H839" s="15"/>
    </row>
    <row r="840" customFormat="false" ht="15" hidden="false" customHeight="true" outlineLevel="0" collapsed="false">
      <c r="A840" s="15" t="s">
        <v>159</v>
      </c>
      <c r="B840" s="15" t="s">
        <v>160</v>
      </c>
      <c r="C840" s="15" t="s">
        <v>729</v>
      </c>
      <c r="D840" s="15" t="n">
        <v>2775</v>
      </c>
      <c r="E840" s="15" t="s">
        <v>725</v>
      </c>
      <c r="F840" s="15" t="s">
        <v>716</v>
      </c>
      <c r="G840" s="15" t="s">
        <v>112</v>
      </c>
      <c r="H840" s="15"/>
    </row>
    <row r="841" customFormat="false" ht="15" hidden="false" customHeight="true" outlineLevel="0" collapsed="false">
      <c r="A841" s="15" t="s">
        <v>159</v>
      </c>
      <c r="B841" s="15" t="s">
        <v>160</v>
      </c>
      <c r="C841" s="15" t="s">
        <v>730</v>
      </c>
      <c r="D841" s="15" t="n">
        <v>10</v>
      </c>
      <c r="E841" s="15" t="s">
        <v>731</v>
      </c>
      <c r="F841" s="15" t="s">
        <v>716</v>
      </c>
      <c r="G841" s="15" t="s">
        <v>112</v>
      </c>
      <c r="H841" s="15"/>
    </row>
    <row r="842" customFormat="false" ht="26.25" hidden="false" customHeight="true" outlineLevel="0" collapsed="false">
      <c r="A842" s="15" t="s">
        <v>159</v>
      </c>
      <c r="B842" s="15" t="s">
        <v>160</v>
      </c>
      <c r="C842" s="15" t="s">
        <v>98</v>
      </c>
      <c r="D842" s="15" t="s">
        <v>732</v>
      </c>
      <c r="E842" s="15"/>
      <c r="F842" s="15" t="s">
        <v>716</v>
      </c>
      <c r="G842" s="15" t="s">
        <v>112</v>
      </c>
      <c r="H842" s="15"/>
    </row>
    <row r="843" customFormat="false" ht="26.25" hidden="false" customHeight="true" outlineLevel="0" collapsed="false">
      <c r="A843" s="15" t="s">
        <v>159</v>
      </c>
      <c r="B843" s="15" t="s">
        <v>160</v>
      </c>
      <c r="C843" s="15" t="s">
        <v>733</v>
      </c>
      <c r="D843" s="15" t="s">
        <v>808</v>
      </c>
      <c r="E843" s="15"/>
      <c r="F843" s="15" t="s">
        <v>735</v>
      </c>
      <c r="G843" s="15" t="s">
        <v>112</v>
      </c>
      <c r="H843" s="15" t="s">
        <v>736</v>
      </c>
    </row>
    <row r="844" customFormat="false" ht="15" hidden="false" customHeight="true" outlineLevel="0" collapsed="false">
      <c r="A844" s="15" t="s">
        <v>159</v>
      </c>
      <c r="B844" s="15" t="s">
        <v>160</v>
      </c>
      <c r="C844" s="15" t="s">
        <v>737</v>
      </c>
      <c r="D844" s="15" t="n">
        <v>210</v>
      </c>
      <c r="E844" s="15" t="s">
        <v>738</v>
      </c>
      <c r="F844" s="15" t="s">
        <v>716</v>
      </c>
      <c r="G844" s="15" t="s">
        <v>112</v>
      </c>
      <c r="H844" s="15"/>
    </row>
    <row r="845" customFormat="false" ht="15" hidden="false" customHeight="true" outlineLevel="0" collapsed="false">
      <c r="A845" s="15" t="s">
        <v>159</v>
      </c>
      <c r="B845" s="15" t="s">
        <v>160</v>
      </c>
      <c r="C845" s="15" t="s">
        <v>739</v>
      </c>
      <c r="D845" s="15" t="n">
        <v>180</v>
      </c>
      <c r="E845" s="15" t="s">
        <v>738</v>
      </c>
      <c r="F845" s="15" t="s">
        <v>716</v>
      </c>
      <c r="G845" s="15" t="s">
        <v>112</v>
      </c>
      <c r="H845" s="15"/>
    </row>
    <row r="846" customFormat="false" ht="26.25" hidden="false" customHeight="true" outlineLevel="0" collapsed="false">
      <c r="A846" s="15" t="s">
        <v>159</v>
      </c>
      <c r="B846" s="15" t="s">
        <v>160</v>
      </c>
      <c r="C846" s="15" t="s">
        <v>740</v>
      </c>
      <c r="D846" s="15" t="n">
        <v>8</v>
      </c>
      <c r="E846" s="15" t="s">
        <v>741</v>
      </c>
      <c r="F846" s="15" t="s">
        <v>716</v>
      </c>
      <c r="G846" s="15" t="s">
        <v>112</v>
      </c>
      <c r="H846" s="15"/>
    </row>
    <row r="847" customFormat="false" ht="15" hidden="false" customHeight="true" outlineLevel="0" collapsed="false">
      <c r="A847" s="15" t="s">
        <v>159</v>
      </c>
      <c r="B847" s="15" t="s">
        <v>160</v>
      </c>
      <c r="C847" s="15" t="s">
        <v>742</v>
      </c>
      <c r="D847" s="15" t="n">
        <v>11.7</v>
      </c>
      <c r="E847" s="15" t="s">
        <v>741</v>
      </c>
      <c r="F847" s="15" t="s">
        <v>716</v>
      </c>
      <c r="G847" s="15" t="s">
        <v>112</v>
      </c>
      <c r="H847" s="15"/>
    </row>
    <row r="848" customFormat="false" ht="15" hidden="false" customHeight="true" outlineLevel="0" collapsed="false">
      <c r="A848" s="15" t="s">
        <v>159</v>
      </c>
      <c r="B848" s="15" t="s">
        <v>160</v>
      </c>
      <c r="C848" s="15" t="s">
        <v>743</v>
      </c>
      <c r="D848" s="15" t="s">
        <v>793</v>
      </c>
      <c r="E848" s="15"/>
      <c r="F848" s="15" t="s">
        <v>716</v>
      </c>
      <c r="G848" s="15" t="s">
        <v>112</v>
      </c>
      <c r="H848" s="15"/>
    </row>
    <row r="849" customFormat="false" ht="15" hidden="false" customHeight="true" outlineLevel="0" collapsed="false">
      <c r="A849" s="15" t="s">
        <v>159</v>
      </c>
      <c r="B849" s="15" t="s">
        <v>160</v>
      </c>
      <c r="C849" s="15" t="s">
        <v>745</v>
      </c>
      <c r="D849" s="15" t="s">
        <v>794</v>
      </c>
      <c r="E849" s="15"/>
      <c r="F849" s="15" t="s">
        <v>716</v>
      </c>
      <c r="G849" s="15" t="s">
        <v>112</v>
      </c>
      <c r="H849" s="15"/>
    </row>
    <row r="850" customFormat="false" ht="15" hidden="false" customHeight="true" outlineLevel="0" collapsed="false">
      <c r="A850" s="15" t="s">
        <v>159</v>
      </c>
      <c r="B850" s="15" t="s">
        <v>160</v>
      </c>
      <c r="C850" s="15" t="s">
        <v>747</v>
      </c>
      <c r="D850" s="15" t="s">
        <v>801</v>
      </c>
      <c r="E850" s="15"/>
      <c r="F850" s="15" t="s">
        <v>716</v>
      </c>
      <c r="G850" s="15" t="s">
        <v>112</v>
      </c>
      <c r="H850" s="15"/>
    </row>
    <row r="851" customFormat="false" ht="15" hidden="false" customHeight="true" outlineLevel="0" collapsed="false">
      <c r="A851" s="15" t="s">
        <v>159</v>
      </c>
      <c r="B851" s="15" t="s">
        <v>160</v>
      </c>
      <c r="C851" s="15" t="s">
        <v>749</v>
      </c>
      <c r="D851" s="15" t="s">
        <v>814</v>
      </c>
      <c r="E851" s="15"/>
      <c r="F851" s="15" t="s">
        <v>716</v>
      </c>
      <c r="G851" s="15" t="s">
        <v>112</v>
      </c>
      <c r="H851" s="15" t="s">
        <v>751</v>
      </c>
    </row>
    <row r="852" customFormat="false" ht="15" hidden="false" customHeight="true" outlineLevel="0" collapsed="false">
      <c r="A852" s="15" t="s">
        <v>159</v>
      </c>
      <c r="B852" s="15" t="s">
        <v>160</v>
      </c>
      <c r="C852" s="15" t="s">
        <v>752</v>
      </c>
      <c r="D852" s="15" t="s">
        <v>796</v>
      </c>
      <c r="E852" s="15"/>
      <c r="F852" s="15" t="s">
        <v>716</v>
      </c>
      <c r="G852" s="15" t="s">
        <v>112</v>
      </c>
      <c r="H852" s="15"/>
    </row>
    <row r="853" customFormat="false" ht="15" hidden="false" customHeight="true" outlineLevel="0" collapsed="false">
      <c r="A853" s="15" t="s">
        <v>159</v>
      </c>
      <c r="B853" s="15" t="s">
        <v>160</v>
      </c>
      <c r="C853" s="15" t="s">
        <v>90</v>
      </c>
      <c r="D853" s="15" t="s">
        <v>815</v>
      </c>
      <c r="E853" s="15"/>
      <c r="F853" s="15" t="s">
        <v>716</v>
      </c>
      <c r="G853" s="15" t="s">
        <v>112</v>
      </c>
      <c r="H853" s="15"/>
    </row>
    <row r="854" customFormat="false" ht="15" hidden="false" customHeight="true" outlineLevel="0" collapsed="false">
      <c r="A854" s="15" t="s">
        <v>159</v>
      </c>
      <c r="B854" s="15" t="s">
        <v>160</v>
      </c>
      <c r="C854" s="15" t="s">
        <v>754</v>
      </c>
      <c r="D854" s="15" t="s">
        <v>803</v>
      </c>
      <c r="E854" s="15"/>
      <c r="F854" s="15" t="s">
        <v>716</v>
      </c>
      <c r="G854" s="15" t="s">
        <v>112</v>
      </c>
      <c r="H854" s="15"/>
    </row>
    <row r="855" customFormat="false" ht="15" hidden="false" customHeight="true" outlineLevel="0" collapsed="false">
      <c r="A855" s="15" t="s">
        <v>159</v>
      </c>
      <c r="B855" s="15" t="s">
        <v>160</v>
      </c>
      <c r="C855" s="15" t="s">
        <v>756</v>
      </c>
      <c r="D855" s="15" t="s">
        <v>804</v>
      </c>
      <c r="E855" s="15"/>
      <c r="F855" s="15" t="s">
        <v>716</v>
      </c>
      <c r="G855" s="15" t="s">
        <v>112</v>
      </c>
      <c r="H855" s="15"/>
    </row>
    <row r="856" customFormat="false" ht="15" hidden="false" customHeight="true" outlineLevel="0" collapsed="false">
      <c r="A856" s="15" t="s">
        <v>159</v>
      </c>
      <c r="B856" s="15" t="s">
        <v>160</v>
      </c>
      <c r="C856" s="15" t="s">
        <v>757</v>
      </c>
      <c r="D856" s="15" t="s">
        <v>797</v>
      </c>
      <c r="E856" s="15"/>
      <c r="F856" s="15" t="s">
        <v>716</v>
      </c>
      <c r="G856" s="15" t="s">
        <v>112</v>
      </c>
      <c r="H856" s="15"/>
    </row>
    <row r="857" customFormat="false" ht="15" hidden="false" customHeight="true" outlineLevel="0" collapsed="false">
      <c r="A857" s="15" t="s">
        <v>159</v>
      </c>
      <c r="B857" s="15" t="s">
        <v>160</v>
      </c>
      <c r="C857" s="15" t="s">
        <v>759</v>
      </c>
      <c r="D857" s="15" t="s">
        <v>798</v>
      </c>
      <c r="E857" s="15"/>
      <c r="F857" s="15" t="s">
        <v>716</v>
      </c>
      <c r="G857" s="15" t="s">
        <v>112</v>
      </c>
      <c r="H857" s="15"/>
    </row>
    <row r="858" customFormat="false" ht="15" hidden="false" customHeight="true" outlineLevel="0" collapsed="false">
      <c r="A858" s="15" t="s">
        <v>159</v>
      </c>
      <c r="B858" s="15" t="s">
        <v>160</v>
      </c>
      <c r="C858" s="15" t="s">
        <v>761</v>
      </c>
      <c r="D858" s="15" t="s">
        <v>816</v>
      </c>
      <c r="E858" s="15"/>
      <c r="F858" s="15" t="s">
        <v>716</v>
      </c>
      <c r="G858" s="15" t="s">
        <v>112</v>
      </c>
      <c r="H858" s="15"/>
    </row>
    <row r="859" customFormat="false" ht="15" hidden="false" customHeight="true" outlineLevel="0" collapsed="false">
      <c r="A859" s="15" t="s">
        <v>159</v>
      </c>
      <c r="B859" s="15" t="s">
        <v>160</v>
      </c>
      <c r="C859" s="15" t="s">
        <v>762</v>
      </c>
      <c r="D859" s="15" t="s">
        <v>803</v>
      </c>
      <c r="E859" s="15"/>
      <c r="F859" s="15" t="s">
        <v>716</v>
      </c>
      <c r="G859" s="15" t="s">
        <v>112</v>
      </c>
      <c r="H859" s="15"/>
    </row>
    <row r="860" customFormat="false" ht="15" hidden="false" customHeight="true" outlineLevel="0" collapsed="false">
      <c r="A860" s="15" t="s">
        <v>159</v>
      </c>
      <c r="B860" s="15" t="s">
        <v>160</v>
      </c>
      <c r="C860" s="15" t="s">
        <v>92</v>
      </c>
      <c r="D860" s="15" t="s">
        <v>803</v>
      </c>
      <c r="E860" s="15"/>
      <c r="F860" s="15" t="s">
        <v>716</v>
      </c>
      <c r="G860" s="15" t="s">
        <v>112</v>
      </c>
      <c r="H860" s="15"/>
    </row>
    <row r="861" customFormat="false" ht="15" hidden="false" customHeight="true" outlineLevel="0" collapsed="false">
      <c r="A861" s="15" t="s">
        <v>159</v>
      </c>
      <c r="B861" s="15" t="s">
        <v>160</v>
      </c>
      <c r="C861" s="15" t="s">
        <v>763</v>
      </c>
      <c r="D861" s="15" t="s">
        <v>807</v>
      </c>
      <c r="E861" s="15"/>
      <c r="F861" s="15" t="s">
        <v>716</v>
      </c>
      <c r="G861" s="15" t="s">
        <v>112</v>
      </c>
      <c r="H861" s="15"/>
    </row>
    <row r="862" customFormat="false" ht="15" hidden="false" customHeight="true" outlineLevel="0" collapsed="false">
      <c r="A862" s="15" t="s">
        <v>159</v>
      </c>
      <c r="B862" s="15" t="s">
        <v>160</v>
      </c>
      <c r="C862" s="15" t="s">
        <v>764</v>
      </c>
      <c r="D862" s="15" t="s">
        <v>803</v>
      </c>
      <c r="E862" s="15"/>
      <c r="F862" s="15" t="s">
        <v>716</v>
      </c>
      <c r="G862" s="15" t="s">
        <v>112</v>
      </c>
      <c r="H862" s="15"/>
    </row>
    <row r="863" customFormat="false" ht="15" hidden="false" customHeight="true" outlineLevel="0" collapsed="false">
      <c r="A863" s="15" t="s">
        <v>159</v>
      </c>
      <c r="B863" s="15" t="s">
        <v>160</v>
      </c>
      <c r="C863" s="15" t="s">
        <v>765</v>
      </c>
      <c r="D863" s="15" t="s">
        <v>821</v>
      </c>
      <c r="E863" s="15"/>
      <c r="F863" s="15" t="s">
        <v>716</v>
      </c>
      <c r="G863" s="15" t="s">
        <v>112</v>
      </c>
      <c r="H863" s="15"/>
    </row>
    <row r="864" customFormat="false" ht="15" hidden="false" customHeight="true" outlineLevel="0" collapsed="false">
      <c r="A864" s="15" t="s">
        <v>159</v>
      </c>
      <c r="B864" s="15" t="s">
        <v>160</v>
      </c>
      <c r="C864" s="15" t="s">
        <v>767</v>
      </c>
      <c r="D864" s="15" t="s">
        <v>817</v>
      </c>
      <c r="E864" s="15"/>
      <c r="F864" s="15" t="s">
        <v>716</v>
      </c>
      <c r="G864" s="15" t="s">
        <v>112</v>
      </c>
      <c r="H864" s="15"/>
    </row>
    <row r="865" customFormat="false" ht="15" hidden="false" customHeight="true" outlineLevel="0" collapsed="false">
      <c r="A865" s="15" t="s">
        <v>159</v>
      </c>
      <c r="B865" s="15" t="s">
        <v>160</v>
      </c>
      <c r="C865" s="15" t="s">
        <v>822</v>
      </c>
      <c r="D865" s="15" t="s">
        <v>823</v>
      </c>
      <c r="E865" s="15"/>
      <c r="F865" s="15" t="s">
        <v>716</v>
      </c>
      <c r="G865" s="15" t="s">
        <v>112</v>
      </c>
      <c r="H865" s="15"/>
    </row>
    <row r="866" customFormat="false" ht="26.25" hidden="false" customHeight="true" outlineLevel="0" collapsed="false">
      <c r="A866" s="15" t="s">
        <v>159</v>
      </c>
      <c r="B866" s="15" t="s">
        <v>160</v>
      </c>
      <c r="C866" s="15" t="s">
        <v>769</v>
      </c>
      <c r="D866" s="15" t="n">
        <v>5</v>
      </c>
      <c r="E866" s="15" t="s">
        <v>721</v>
      </c>
      <c r="F866" s="15" t="s">
        <v>770</v>
      </c>
      <c r="G866" s="15" t="s">
        <v>293</v>
      </c>
      <c r="H866" s="15" t="s">
        <v>771</v>
      </c>
    </row>
    <row r="867" customFormat="false" ht="26.25" hidden="false" customHeight="true" outlineLevel="0" collapsed="false">
      <c r="A867" s="15" t="s">
        <v>159</v>
      </c>
      <c r="B867" s="15" t="s">
        <v>160</v>
      </c>
      <c r="C867" s="15" t="s">
        <v>772</v>
      </c>
      <c r="D867" s="15" t="n">
        <v>50000</v>
      </c>
      <c r="E867" s="15" t="s">
        <v>773</v>
      </c>
      <c r="F867" s="15" t="s">
        <v>770</v>
      </c>
      <c r="G867" s="15" t="s">
        <v>293</v>
      </c>
      <c r="H867" s="15" t="s">
        <v>774</v>
      </c>
    </row>
    <row r="868" customFormat="false" ht="26.25" hidden="false" customHeight="true" outlineLevel="0" collapsed="false">
      <c r="A868" s="15" t="s">
        <v>159</v>
      </c>
      <c r="B868" s="15" t="s">
        <v>160</v>
      </c>
      <c r="C868" s="15" t="s">
        <v>775</v>
      </c>
      <c r="D868" s="15" t="n">
        <v>75000</v>
      </c>
      <c r="E868" s="15" t="s">
        <v>773</v>
      </c>
      <c r="F868" s="15" t="s">
        <v>770</v>
      </c>
      <c r="G868" s="15" t="s">
        <v>293</v>
      </c>
      <c r="H868" s="15" t="s">
        <v>774</v>
      </c>
    </row>
    <row r="869" customFormat="false" ht="39" hidden="false" customHeight="true" outlineLevel="0" collapsed="false">
      <c r="A869" s="15" t="s">
        <v>159</v>
      </c>
      <c r="B869" s="15" t="s">
        <v>160</v>
      </c>
      <c r="C869" s="15" t="s">
        <v>776</v>
      </c>
      <c r="D869" s="15" t="s">
        <v>800</v>
      </c>
      <c r="E869" s="15"/>
      <c r="F869" s="15" t="s">
        <v>778</v>
      </c>
      <c r="G869" s="15" t="s">
        <v>293</v>
      </c>
      <c r="H869" s="15" t="s">
        <v>779</v>
      </c>
    </row>
    <row r="870" customFormat="false" ht="39" hidden="false" customHeight="true" outlineLevel="0" collapsed="false">
      <c r="A870" s="15" t="s">
        <v>159</v>
      </c>
      <c r="B870" s="15" t="s">
        <v>160</v>
      </c>
      <c r="C870" s="15" t="s">
        <v>780</v>
      </c>
      <c r="D870" s="15" t="s">
        <v>781</v>
      </c>
      <c r="E870" s="15"/>
      <c r="F870" s="15" t="s">
        <v>778</v>
      </c>
      <c r="G870" s="15" t="s">
        <v>293</v>
      </c>
      <c r="H870" s="15" t="s">
        <v>779</v>
      </c>
    </row>
    <row r="871" customFormat="false" ht="39" hidden="false" customHeight="true" outlineLevel="0" collapsed="false">
      <c r="A871" s="15" t="s">
        <v>159</v>
      </c>
      <c r="B871" s="15" t="s">
        <v>160</v>
      </c>
      <c r="C871" s="15" t="s">
        <v>782</v>
      </c>
      <c r="D871" s="15" t="n">
        <v>36</v>
      </c>
      <c r="E871" s="15" t="s">
        <v>783</v>
      </c>
      <c r="F871" s="15" t="s">
        <v>778</v>
      </c>
      <c r="G871" s="15" t="s">
        <v>293</v>
      </c>
      <c r="H871" s="15" t="s">
        <v>779</v>
      </c>
    </row>
    <row r="872" customFormat="false" ht="39" hidden="false" customHeight="true" outlineLevel="0" collapsed="false">
      <c r="A872" s="15" t="s">
        <v>159</v>
      </c>
      <c r="B872" s="15" t="s">
        <v>160</v>
      </c>
      <c r="C872" s="15" t="s">
        <v>784</v>
      </c>
      <c r="D872" s="15" t="n">
        <v>11</v>
      </c>
      <c r="E872" s="15" t="s">
        <v>738</v>
      </c>
      <c r="F872" s="15" t="s">
        <v>778</v>
      </c>
      <c r="G872" s="15" t="s">
        <v>293</v>
      </c>
      <c r="H872" s="15" t="s">
        <v>779</v>
      </c>
    </row>
    <row r="873" customFormat="false" ht="39" hidden="false" customHeight="true" outlineLevel="0" collapsed="false">
      <c r="A873" s="15" t="s">
        <v>159</v>
      </c>
      <c r="B873" s="15" t="s">
        <v>160</v>
      </c>
      <c r="C873" s="15" t="s">
        <v>785</v>
      </c>
      <c r="D873" s="15" t="n">
        <v>409</v>
      </c>
      <c r="E873" s="15" t="s">
        <v>786</v>
      </c>
      <c r="F873" s="15" t="s">
        <v>778</v>
      </c>
      <c r="G873" s="15" t="s">
        <v>293</v>
      </c>
      <c r="H873" s="15" t="s">
        <v>779</v>
      </c>
    </row>
    <row r="874" customFormat="false" ht="39" hidden="false" customHeight="true" outlineLevel="0" collapsed="false">
      <c r="A874" s="15" t="s">
        <v>159</v>
      </c>
      <c r="B874" s="15" t="s">
        <v>160</v>
      </c>
      <c r="C874" s="15" t="s">
        <v>787</v>
      </c>
      <c r="D874" s="15" t="s">
        <v>788</v>
      </c>
      <c r="E874" s="15"/>
      <c r="F874" s="15" t="s">
        <v>778</v>
      </c>
      <c r="G874" s="15" t="s">
        <v>293</v>
      </c>
      <c r="H874" s="15" t="s">
        <v>779</v>
      </c>
    </row>
    <row r="875" customFormat="false" ht="39" hidden="false" customHeight="true" outlineLevel="0" collapsed="false">
      <c r="A875" s="15" t="s">
        <v>159</v>
      </c>
      <c r="B875" s="15" t="s">
        <v>160</v>
      </c>
      <c r="C875" s="15" t="s">
        <v>789</v>
      </c>
      <c r="D875" s="15" t="s">
        <v>790</v>
      </c>
      <c r="E875" s="15"/>
      <c r="F875" s="15" t="s">
        <v>778</v>
      </c>
      <c r="G875" s="15" t="s">
        <v>293</v>
      </c>
      <c r="H875" s="15" t="s">
        <v>779</v>
      </c>
    </row>
    <row r="876" customFormat="false" ht="39" hidden="false" customHeight="true" outlineLevel="0" collapsed="false">
      <c r="A876" s="15" t="s">
        <v>159</v>
      </c>
      <c r="B876" s="15" t="s">
        <v>160</v>
      </c>
      <c r="C876" s="15" t="s">
        <v>791</v>
      </c>
      <c r="D876" s="15" t="s">
        <v>792</v>
      </c>
      <c r="E876" s="15"/>
      <c r="F876" s="15" t="s">
        <v>778</v>
      </c>
      <c r="G876" s="15" t="s">
        <v>293</v>
      </c>
      <c r="H876" s="15" t="s">
        <v>779</v>
      </c>
    </row>
    <row r="877" customFormat="false" ht="26.25" hidden="false" customHeight="true" outlineLevel="0" collapsed="false">
      <c r="A877" s="15" t="s">
        <v>192</v>
      </c>
      <c r="B877" s="15" t="s">
        <v>193</v>
      </c>
      <c r="C877" s="15" t="s">
        <v>714</v>
      </c>
      <c r="D877" s="15" t="n">
        <v>360</v>
      </c>
      <c r="E877" s="15" t="s">
        <v>715</v>
      </c>
      <c r="F877" s="15" t="s">
        <v>716</v>
      </c>
      <c r="G877" s="15" t="s">
        <v>112</v>
      </c>
      <c r="H877" s="15" t="s">
        <v>717</v>
      </c>
    </row>
    <row r="878" customFormat="false" ht="26.25" hidden="false" customHeight="true" outlineLevel="0" collapsed="false">
      <c r="A878" s="15" t="s">
        <v>192</v>
      </c>
      <c r="B878" s="15" t="s">
        <v>193</v>
      </c>
      <c r="C878" s="15" t="s">
        <v>718</v>
      </c>
      <c r="D878" s="15" t="s">
        <v>113</v>
      </c>
      <c r="E878" s="15"/>
      <c r="F878" s="15" t="s">
        <v>716</v>
      </c>
      <c r="G878" s="15" t="s">
        <v>112</v>
      </c>
      <c r="H878" s="15"/>
    </row>
    <row r="879" customFormat="false" ht="26.25" hidden="false" customHeight="true" outlineLevel="0" collapsed="false">
      <c r="A879" s="15" t="s">
        <v>192</v>
      </c>
      <c r="B879" s="15" t="s">
        <v>193</v>
      </c>
      <c r="C879" s="15" t="s">
        <v>719</v>
      </c>
      <c r="D879" s="15" t="n">
        <v>20</v>
      </c>
      <c r="E879" s="15" t="s">
        <v>720</v>
      </c>
      <c r="F879" s="15" t="s">
        <v>716</v>
      </c>
      <c r="G879" s="15" t="s">
        <v>112</v>
      </c>
      <c r="H879" s="15"/>
    </row>
    <row r="880" customFormat="false" ht="26.25" hidden="false" customHeight="true" outlineLevel="0" collapsed="false">
      <c r="A880" s="15" t="s">
        <v>192</v>
      </c>
      <c r="B880" s="15" t="s">
        <v>193</v>
      </c>
      <c r="C880" s="15" t="s">
        <v>86</v>
      </c>
      <c r="D880" s="15" t="n">
        <v>6</v>
      </c>
      <c r="E880" s="15" t="s">
        <v>721</v>
      </c>
      <c r="F880" s="15" t="s">
        <v>716</v>
      </c>
      <c r="G880" s="15" t="s">
        <v>112</v>
      </c>
      <c r="H880" s="15"/>
    </row>
    <row r="881" customFormat="false" ht="26.25" hidden="false" customHeight="true" outlineLevel="0" collapsed="false">
      <c r="A881" s="15" t="s">
        <v>192</v>
      </c>
      <c r="B881" s="15" t="s">
        <v>193</v>
      </c>
      <c r="C881" s="15" t="s">
        <v>722</v>
      </c>
      <c r="D881" s="15" t="n">
        <v>455</v>
      </c>
      <c r="E881" s="15" t="s">
        <v>723</v>
      </c>
      <c r="F881" s="15" t="s">
        <v>716</v>
      </c>
      <c r="G881" s="15" t="s">
        <v>112</v>
      </c>
      <c r="H881" s="15"/>
    </row>
    <row r="882" customFormat="false" ht="26.25" hidden="false" customHeight="true" outlineLevel="0" collapsed="false">
      <c r="A882" s="15" t="s">
        <v>192</v>
      </c>
      <c r="B882" s="15" t="s">
        <v>193</v>
      </c>
      <c r="C882" s="15" t="s">
        <v>724</v>
      </c>
      <c r="D882" s="15" t="n">
        <v>45</v>
      </c>
      <c r="E882" s="15" t="s">
        <v>723</v>
      </c>
      <c r="F882" s="15" t="s">
        <v>716</v>
      </c>
      <c r="G882" s="15" t="s">
        <v>112</v>
      </c>
      <c r="H882" s="15"/>
    </row>
    <row r="883" customFormat="false" ht="26.25" hidden="false" customHeight="true" outlineLevel="0" collapsed="false">
      <c r="A883" s="15" t="s">
        <v>192</v>
      </c>
      <c r="B883" s="15" t="s">
        <v>193</v>
      </c>
      <c r="C883" s="15" t="s">
        <v>84</v>
      </c>
      <c r="D883" s="15" t="n">
        <v>207</v>
      </c>
      <c r="E883" s="15" t="s">
        <v>725</v>
      </c>
      <c r="F883" s="15" t="s">
        <v>716</v>
      </c>
      <c r="G883" s="15" t="s">
        <v>112</v>
      </c>
      <c r="H883" s="15"/>
    </row>
    <row r="884" customFormat="false" ht="26.25" hidden="false" customHeight="true" outlineLevel="0" collapsed="false">
      <c r="A884" s="15" t="s">
        <v>192</v>
      </c>
      <c r="B884" s="15" t="s">
        <v>193</v>
      </c>
      <c r="C884" s="15" t="s">
        <v>726</v>
      </c>
      <c r="D884" s="15" t="n">
        <v>4371</v>
      </c>
      <c r="E884" s="15" t="s">
        <v>725</v>
      </c>
      <c r="F884" s="15" t="s">
        <v>716</v>
      </c>
      <c r="G884" s="15" t="s">
        <v>112</v>
      </c>
      <c r="H884" s="15"/>
    </row>
    <row r="885" customFormat="false" ht="26.25" hidden="false" customHeight="true" outlineLevel="0" collapsed="false">
      <c r="A885" s="15" t="s">
        <v>192</v>
      </c>
      <c r="B885" s="15" t="s">
        <v>193</v>
      </c>
      <c r="C885" s="15" t="s">
        <v>727</v>
      </c>
      <c r="D885" s="15" t="n">
        <v>1907</v>
      </c>
      <c r="E885" s="15" t="s">
        <v>725</v>
      </c>
      <c r="F885" s="15" t="s">
        <v>716</v>
      </c>
      <c r="G885" s="15" t="s">
        <v>112</v>
      </c>
      <c r="H885" s="15"/>
    </row>
    <row r="886" customFormat="false" ht="26.25" hidden="false" customHeight="true" outlineLevel="0" collapsed="false">
      <c r="A886" s="15" t="s">
        <v>192</v>
      </c>
      <c r="B886" s="15" t="s">
        <v>193</v>
      </c>
      <c r="C886" s="15" t="s">
        <v>728</v>
      </c>
      <c r="D886" s="15" t="n">
        <v>1627</v>
      </c>
      <c r="E886" s="15" t="s">
        <v>725</v>
      </c>
      <c r="F886" s="15" t="s">
        <v>716</v>
      </c>
      <c r="G886" s="15" t="s">
        <v>112</v>
      </c>
      <c r="H886" s="15"/>
    </row>
    <row r="887" customFormat="false" ht="26.25" hidden="false" customHeight="true" outlineLevel="0" collapsed="false">
      <c r="A887" s="15" t="s">
        <v>192</v>
      </c>
      <c r="B887" s="15" t="s">
        <v>193</v>
      </c>
      <c r="C887" s="15" t="s">
        <v>729</v>
      </c>
      <c r="D887" s="15" t="n">
        <v>2775</v>
      </c>
      <c r="E887" s="15" t="s">
        <v>725</v>
      </c>
      <c r="F887" s="15" t="s">
        <v>716</v>
      </c>
      <c r="G887" s="15" t="s">
        <v>112</v>
      </c>
      <c r="H887" s="15"/>
    </row>
    <row r="888" customFormat="false" ht="26.25" hidden="false" customHeight="true" outlineLevel="0" collapsed="false">
      <c r="A888" s="15" t="s">
        <v>192</v>
      </c>
      <c r="B888" s="15" t="s">
        <v>193</v>
      </c>
      <c r="C888" s="15" t="s">
        <v>730</v>
      </c>
      <c r="D888" s="15" t="n">
        <v>10</v>
      </c>
      <c r="E888" s="15" t="s">
        <v>731</v>
      </c>
      <c r="F888" s="15" t="s">
        <v>716</v>
      </c>
      <c r="G888" s="15" t="s">
        <v>112</v>
      </c>
      <c r="H888" s="15"/>
    </row>
    <row r="889" customFormat="false" ht="26.25" hidden="false" customHeight="true" outlineLevel="0" collapsed="false">
      <c r="A889" s="15" t="s">
        <v>192</v>
      </c>
      <c r="B889" s="15" t="s">
        <v>193</v>
      </c>
      <c r="C889" s="15" t="s">
        <v>98</v>
      </c>
      <c r="D889" s="15" t="s">
        <v>732</v>
      </c>
      <c r="E889" s="15"/>
      <c r="F889" s="15" t="s">
        <v>716</v>
      </c>
      <c r="G889" s="15" t="s">
        <v>112</v>
      </c>
      <c r="H889" s="15"/>
    </row>
    <row r="890" customFormat="false" ht="26.25" hidden="false" customHeight="true" outlineLevel="0" collapsed="false">
      <c r="A890" s="15" t="s">
        <v>192</v>
      </c>
      <c r="B890" s="15" t="s">
        <v>193</v>
      </c>
      <c r="C890" s="15" t="s">
        <v>733</v>
      </c>
      <c r="D890" s="15" t="s">
        <v>808</v>
      </c>
      <c r="E890" s="15"/>
      <c r="F890" s="15" t="s">
        <v>735</v>
      </c>
      <c r="G890" s="15" t="s">
        <v>112</v>
      </c>
      <c r="H890" s="15" t="s">
        <v>736</v>
      </c>
    </row>
    <row r="891" customFormat="false" ht="26.25" hidden="false" customHeight="true" outlineLevel="0" collapsed="false">
      <c r="A891" s="15" t="s">
        <v>192</v>
      </c>
      <c r="B891" s="15" t="s">
        <v>193</v>
      </c>
      <c r="C891" s="15" t="s">
        <v>737</v>
      </c>
      <c r="D891" s="15" t="n">
        <v>210</v>
      </c>
      <c r="E891" s="15" t="s">
        <v>738</v>
      </c>
      <c r="F891" s="15" t="s">
        <v>716</v>
      </c>
      <c r="G891" s="15" t="s">
        <v>112</v>
      </c>
      <c r="H891" s="15"/>
    </row>
    <row r="892" customFormat="false" ht="26.25" hidden="false" customHeight="true" outlineLevel="0" collapsed="false">
      <c r="A892" s="15" t="s">
        <v>192</v>
      </c>
      <c r="B892" s="15" t="s">
        <v>193</v>
      </c>
      <c r="C892" s="15" t="s">
        <v>739</v>
      </c>
      <c r="D892" s="15" t="n">
        <v>180</v>
      </c>
      <c r="E892" s="15" t="s">
        <v>738</v>
      </c>
      <c r="F892" s="15" t="s">
        <v>716</v>
      </c>
      <c r="G892" s="15" t="s">
        <v>112</v>
      </c>
      <c r="H892" s="15"/>
    </row>
    <row r="893" customFormat="false" ht="26.25" hidden="false" customHeight="true" outlineLevel="0" collapsed="false">
      <c r="A893" s="15" t="s">
        <v>192</v>
      </c>
      <c r="B893" s="15" t="s">
        <v>193</v>
      </c>
      <c r="C893" s="15" t="s">
        <v>740</v>
      </c>
      <c r="D893" s="15" t="n">
        <v>8</v>
      </c>
      <c r="E893" s="15" t="s">
        <v>741</v>
      </c>
      <c r="F893" s="15" t="s">
        <v>716</v>
      </c>
      <c r="G893" s="15" t="s">
        <v>112</v>
      </c>
      <c r="H893" s="15"/>
    </row>
    <row r="894" customFormat="false" ht="26.25" hidden="false" customHeight="true" outlineLevel="0" collapsed="false">
      <c r="A894" s="15" t="s">
        <v>192</v>
      </c>
      <c r="B894" s="15" t="s">
        <v>193</v>
      </c>
      <c r="C894" s="15" t="s">
        <v>742</v>
      </c>
      <c r="D894" s="15" t="n">
        <v>11.7</v>
      </c>
      <c r="E894" s="15" t="s">
        <v>741</v>
      </c>
      <c r="F894" s="15" t="s">
        <v>716</v>
      </c>
      <c r="G894" s="15" t="s">
        <v>112</v>
      </c>
      <c r="H894" s="15"/>
    </row>
    <row r="895" customFormat="false" ht="26.25" hidden="false" customHeight="true" outlineLevel="0" collapsed="false">
      <c r="A895" s="15" t="s">
        <v>192</v>
      </c>
      <c r="B895" s="15" t="s">
        <v>193</v>
      </c>
      <c r="C895" s="15" t="s">
        <v>743</v>
      </c>
      <c r="D895" s="15" t="s">
        <v>793</v>
      </c>
      <c r="E895" s="15"/>
      <c r="F895" s="15" t="s">
        <v>716</v>
      </c>
      <c r="G895" s="15" t="s">
        <v>112</v>
      </c>
      <c r="H895" s="15"/>
    </row>
    <row r="896" customFormat="false" ht="26.25" hidden="false" customHeight="true" outlineLevel="0" collapsed="false">
      <c r="A896" s="15" t="s">
        <v>192</v>
      </c>
      <c r="B896" s="15" t="s">
        <v>193</v>
      </c>
      <c r="C896" s="15" t="s">
        <v>745</v>
      </c>
      <c r="D896" s="15" t="s">
        <v>794</v>
      </c>
      <c r="E896" s="15"/>
      <c r="F896" s="15" t="s">
        <v>716</v>
      </c>
      <c r="G896" s="15" t="s">
        <v>112</v>
      </c>
      <c r="H896" s="15"/>
    </row>
    <row r="897" customFormat="false" ht="26.25" hidden="false" customHeight="true" outlineLevel="0" collapsed="false">
      <c r="A897" s="15" t="s">
        <v>192</v>
      </c>
      <c r="B897" s="15" t="s">
        <v>193</v>
      </c>
      <c r="C897" s="15" t="s">
        <v>747</v>
      </c>
      <c r="D897" s="15" t="s">
        <v>801</v>
      </c>
      <c r="E897" s="15"/>
      <c r="F897" s="15" t="s">
        <v>716</v>
      </c>
      <c r="G897" s="15" t="s">
        <v>112</v>
      </c>
      <c r="H897" s="15"/>
    </row>
    <row r="898" customFormat="false" ht="26.25" hidden="false" customHeight="true" outlineLevel="0" collapsed="false">
      <c r="A898" s="15" t="s">
        <v>192</v>
      </c>
      <c r="B898" s="15" t="s">
        <v>193</v>
      </c>
      <c r="C898" s="15" t="s">
        <v>749</v>
      </c>
      <c r="D898" s="15" t="s">
        <v>814</v>
      </c>
      <c r="E898" s="15"/>
      <c r="F898" s="15" t="s">
        <v>716</v>
      </c>
      <c r="G898" s="15" t="s">
        <v>112</v>
      </c>
      <c r="H898" s="15" t="s">
        <v>751</v>
      </c>
    </row>
    <row r="899" customFormat="false" ht="26.25" hidden="false" customHeight="true" outlineLevel="0" collapsed="false">
      <c r="A899" s="15" t="s">
        <v>192</v>
      </c>
      <c r="B899" s="15" t="s">
        <v>193</v>
      </c>
      <c r="C899" s="15" t="s">
        <v>752</v>
      </c>
      <c r="D899" s="15" t="s">
        <v>796</v>
      </c>
      <c r="E899" s="15"/>
      <c r="F899" s="15" t="s">
        <v>716</v>
      </c>
      <c r="G899" s="15" t="s">
        <v>112</v>
      </c>
      <c r="H899" s="15"/>
    </row>
    <row r="900" customFormat="false" ht="26.25" hidden="false" customHeight="true" outlineLevel="0" collapsed="false">
      <c r="A900" s="15" t="s">
        <v>192</v>
      </c>
      <c r="B900" s="15" t="s">
        <v>193</v>
      </c>
      <c r="C900" s="15" t="s">
        <v>90</v>
      </c>
      <c r="D900" s="15" t="s">
        <v>815</v>
      </c>
      <c r="E900" s="15"/>
      <c r="F900" s="15" t="s">
        <v>716</v>
      </c>
      <c r="G900" s="15" t="s">
        <v>112</v>
      </c>
      <c r="H900" s="15"/>
    </row>
    <row r="901" customFormat="false" ht="26.25" hidden="false" customHeight="true" outlineLevel="0" collapsed="false">
      <c r="A901" s="15" t="s">
        <v>192</v>
      </c>
      <c r="B901" s="15" t="s">
        <v>193</v>
      </c>
      <c r="C901" s="15" t="s">
        <v>754</v>
      </c>
      <c r="D901" s="15" t="s">
        <v>803</v>
      </c>
      <c r="E901" s="15"/>
      <c r="F901" s="15" t="s">
        <v>716</v>
      </c>
      <c r="G901" s="15" t="s">
        <v>112</v>
      </c>
      <c r="H901" s="15"/>
    </row>
    <row r="902" customFormat="false" ht="26.25" hidden="false" customHeight="true" outlineLevel="0" collapsed="false">
      <c r="A902" s="15" t="s">
        <v>192</v>
      </c>
      <c r="B902" s="15" t="s">
        <v>193</v>
      </c>
      <c r="C902" s="15" t="s">
        <v>756</v>
      </c>
      <c r="D902" s="15" t="s">
        <v>804</v>
      </c>
      <c r="E902" s="15"/>
      <c r="F902" s="15" t="s">
        <v>716</v>
      </c>
      <c r="G902" s="15" t="s">
        <v>112</v>
      </c>
      <c r="H902" s="15"/>
    </row>
    <row r="903" customFormat="false" ht="26.25" hidden="false" customHeight="true" outlineLevel="0" collapsed="false">
      <c r="A903" s="15" t="s">
        <v>192</v>
      </c>
      <c r="B903" s="15" t="s">
        <v>193</v>
      </c>
      <c r="C903" s="15" t="s">
        <v>757</v>
      </c>
      <c r="D903" s="15" t="s">
        <v>797</v>
      </c>
      <c r="E903" s="15"/>
      <c r="F903" s="15" t="s">
        <v>716</v>
      </c>
      <c r="G903" s="15" t="s">
        <v>112</v>
      </c>
      <c r="H903" s="15"/>
    </row>
    <row r="904" customFormat="false" ht="26.25" hidden="false" customHeight="true" outlineLevel="0" collapsed="false">
      <c r="A904" s="15" t="s">
        <v>192</v>
      </c>
      <c r="B904" s="15" t="s">
        <v>193</v>
      </c>
      <c r="C904" s="15" t="s">
        <v>759</v>
      </c>
      <c r="D904" s="15" t="s">
        <v>798</v>
      </c>
      <c r="E904" s="15"/>
      <c r="F904" s="15" t="s">
        <v>716</v>
      </c>
      <c r="G904" s="15" t="s">
        <v>112</v>
      </c>
      <c r="H904" s="15"/>
    </row>
    <row r="905" customFormat="false" ht="26.25" hidden="false" customHeight="true" outlineLevel="0" collapsed="false">
      <c r="A905" s="15" t="s">
        <v>192</v>
      </c>
      <c r="B905" s="15" t="s">
        <v>193</v>
      </c>
      <c r="C905" s="15" t="s">
        <v>761</v>
      </c>
      <c r="D905" s="15" t="s">
        <v>816</v>
      </c>
      <c r="E905" s="15"/>
      <c r="F905" s="15" t="s">
        <v>716</v>
      </c>
      <c r="G905" s="15" t="s">
        <v>112</v>
      </c>
      <c r="H905" s="15"/>
    </row>
    <row r="906" customFormat="false" ht="26.25" hidden="false" customHeight="true" outlineLevel="0" collapsed="false">
      <c r="A906" s="15" t="s">
        <v>192</v>
      </c>
      <c r="B906" s="15" t="s">
        <v>193</v>
      </c>
      <c r="C906" s="15" t="s">
        <v>762</v>
      </c>
      <c r="D906" s="15" t="s">
        <v>803</v>
      </c>
      <c r="E906" s="15"/>
      <c r="F906" s="15" t="s">
        <v>716</v>
      </c>
      <c r="G906" s="15" t="s">
        <v>112</v>
      </c>
      <c r="H906" s="15"/>
    </row>
    <row r="907" customFormat="false" ht="26.25" hidden="false" customHeight="true" outlineLevel="0" collapsed="false">
      <c r="A907" s="15" t="s">
        <v>192</v>
      </c>
      <c r="B907" s="15" t="s">
        <v>193</v>
      </c>
      <c r="C907" s="15" t="s">
        <v>92</v>
      </c>
      <c r="D907" s="15" t="s">
        <v>803</v>
      </c>
      <c r="E907" s="15"/>
      <c r="F907" s="15" t="s">
        <v>716</v>
      </c>
      <c r="G907" s="15" t="s">
        <v>112</v>
      </c>
      <c r="H907" s="15"/>
    </row>
    <row r="908" customFormat="false" ht="26.25" hidden="false" customHeight="true" outlineLevel="0" collapsed="false">
      <c r="A908" s="15" t="s">
        <v>192</v>
      </c>
      <c r="B908" s="15" t="s">
        <v>193</v>
      </c>
      <c r="C908" s="15" t="s">
        <v>763</v>
      </c>
      <c r="D908" s="15" t="s">
        <v>807</v>
      </c>
      <c r="E908" s="15"/>
      <c r="F908" s="15" t="s">
        <v>716</v>
      </c>
      <c r="G908" s="15" t="s">
        <v>112</v>
      </c>
      <c r="H908" s="15"/>
    </row>
    <row r="909" customFormat="false" ht="26.25" hidden="false" customHeight="true" outlineLevel="0" collapsed="false">
      <c r="A909" s="15" t="s">
        <v>192</v>
      </c>
      <c r="B909" s="15" t="s">
        <v>193</v>
      </c>
      <c r="C909" s="15" t="s">
        <v>764</v>
      </c>
      <c r="D909" s="15" t="s">
        <v>803</v>
      </c>
      <c r="E909" s="15"/>
      <c r="F909" s="15" t="s">
        <v>716</v>
      </c>
      <c r="G909" s="15" t="s">
        <v>112</v>
      </c>
      <c r="H909" s="15"/>
    </row>
    <row r="910" customFormat="false" ht="26.25" hidden="false" customHeight="true" outlineLevel="0" collapsed="false">
      <c r="A910" s="15" t="s">
        <v>192</v>
      </c>
      <c r="B910" s="15" t="s">
        <v>193</v>
      </c>
      <c r="C910" s="15" t="s">
        <v>765</v>
      </c>
      <c r="D910" s="15" t="s">
        <v>821</v>
      </c>
      <c r="E910" s="15"/>
      <c r="F910" s="15" t="s">
        <v>716</v>
      </c>
      <c r="G910" s="15" t="s">
        <v>112</v>
      </c>
      <c r="H910" s="15"/>
    </row>
    <row r="911" customFormat="false" ht="26.25" hidden="false" customHeight="true" outlineLevel="0" collapsed="false">
      <c r="A911" s="15" t="s">
        <v>192</v>
      </c>
      <c r="B911" s="15" t="s">
        <v>193</v>
      </c>
      <c r="C911" s="15" t="s">
        <v>767</v>
      </c>
      <c r="D911" s="15" t="s">
        <v>817</v>
      </c>
      <c r="E911" s="15"/>
      <c r="F911" s="15" t="s">
        <v>716</v>
      </c>
      <c r="G911" s="15" t="s">
        <v>112</v>
      </c>
      <c r="H911" s="15"/>
    </row>
    <row r="912" customFormat="false" ht="26.25" hidden="false" customHeight="true" outlineLevel="0" collapsed="false">
      <c r="A912" s="15" t="s">
        <v>192</v>
      </c>
      <c r="B912" s="15" t="s">
        <v>193</v>
      </c>
      <c r="C912" s="15" t="s">
        <v>822</v>
      </c>
      <c r="D912" s="15" t="s">
        <v>823</v>
      </c>
      <c r="E912" s="15"/>
      <c r="F912" s="15" t="s">
        <v>716</v>
      </c>
      <c r="G912" s="15" t="s">
        <v>112</v>
      </c>
      <c r="H912" s="15"/>
    </row>
    <row r="913" customFormat="false" ht="26.25" hidden="false" customHeight="true" outlineLevel="0" collapsed="false">
      <c r="A913" s="15" t="s">
        <v>192</v>
      </c>
      <c r="B913" s="15" t="s">
        <v>193</v>
      </c>
      <c r="C913" s="15" t="s">
        <v>769</v>
      </c>
      <c r="D913" s="15" t="n">
        <v>5</v>
      </c>
      <c r="E913" s="15" t="s">
        <v>721</v>
      </c>
      <c r="F913" s="15" t="s">
        <v>770</v>
      </c>
      <c r="G913" s="15" t="s">
        <v>293</v>
      </c>
      <c r="H913" s="15" t="s">
        <v>771</v>
      </c>
    </row>
    <row r="914" customFormat="false" ht="26.25" hidden="false" customHeight="true" outlineLevel="0" collapsed="false">
      <c r="A914" s="15" t="s">
        <v>192</v>
      </c>
      <c r="B914" s="15" t="s">
        <v>193</v>
      </c>
      <c r="C914" s="15" t="s">
        <v>772</v>
      </c>
      <c r="D914" s="15" t="n">
        <v>50000</v>
      </c>
      <c r="E914" s="15" t="s">
        <v>773</v>
      </c>
      <c r="F914" s="15" t="s">
        <v>770</v>
      </c>
      <c r="G914" s="15" t="s">
        <v>293</v>
      </c>
      <c r="H914" s="15" t="s">
        <v>774</v>
      </c>
    </row>
    <row r="915" customFormat="false" ht="26.25" hidden="false" customHeight="true" outlineLevel="0" collapsed="false">
      <c r="A915" s="15" t="s">
        <v>192</v>
      </c>
      <c r="B915" s="15" t="s">
        <v>193</v>
      </c>
      <c r="C915" s="15" t="s">
        <v>775</v>
      </c>
      <c r="D915" s="15" t="n">
        <v>75000</v>
      </c>
      <c r="E915" s="15" t="s">
        <v>773</v>
      </c>
      <c r="F915" s="15" t="s">
        <v>770</v>
      </c>
      <c r="G915" s="15" t="s">
        <v>293</v>
      </c>
      <c r="H915" s="15" t="s">
        <v>774</v>
      </c>
    </row>
    <row r="916" customFormat="false" ht="39" hidden="false" customHeight="true" outlineLevel="0" collapsed="false">
      <c r="A916" s="15" t="s">
        <v>192</v>
      </c>
      <c r="B916" s="15" t="s">
        <v>193</v>
      </c>
      <c r="C916" s="15" t="s">
        <v>776</v>
      </c>
      <c r="D916" s="15" t="s">
        <v>800</v>
      </c>
      <c r="E916" s="15"/>
      <c r="F916" s="15" t="s">
        <v>778</v>
      </c>
      <c r="G916" s="15" t="s">
        <v>293</v>
      </c>
      <c r="H916" s="15" t="s">
        <v>779</v>
      </c>
    </row>
    <row r="917" customFormat="false" ht="39" hidden="false" customHeight="true" outlineLevel="0" collapsed="false">
      <c r="A917" s="15" t="s">
        <v>192</v>
      </c>
      <c r="B917" s="15" t="s">
        <v>193</v>
      </c>
      <c r="C917" s="15" t="s">
        <v>780</v>
      </c>
      <c r="D917" s="15" t="s">
        <v>781</v>
      </c>
      <c r="E917" s="15"/>
      <c r="F917" s="15" t="s">
        <v>778</v>
      </c>
      <c r="G917" s="15" t="s">
        <v>293</v>
      </c>
      <c r="H917" s="15" t="s">
        <v>779</v>
      </c>
    </row>
    <row r="918" customFormat="false" ht="39" hidden="false" customHeight="true" outlineLevel="0" collapsed="false">
      <c r="A918" s="15" t="s">
        <v>192</v>
      </c>
      <c r="B918" s="15" t="s">
        <v>193</v>
      </c>
      <c r="C918" s="15" t="s">
        <v>782</v>
      </c>
      <c r="D918" s="15" t="n">
        <v>36</v>
      </c>
      <c r="E918" s="15" t="s">
        <v>783</v>
      </c>
      <c r="F918" s="15" t="s">
        <v>778</v>
      </c>
      <c r="G918" s="15" t="s">
        <v>293</v>
      </c>
      <c r="H918" s="15" t="s">
        <v>779</v>
      </c>
    </row>
    <row r="919" customFormat="false" ht="39" hidden="false" customHeight="true" outlineLevel="0" collapsed="false">
      <c r="A919" s="15" t="s">
        <v>192</v>
      </c>
      <c r="B919" s="15" t="s">
        <v>193</v>
      </c>
      <c r="C919" s="15" t="s">
        <v>784</v>
      </c>
      <c r="D919" s="15" t="n">
        <v>11</v>
      </c>
      <c r="E919" s="15" t="s">
        <v>738</v>
      </c>
      <c r="F919" s="15" t="s">
        <v>778</v>
      </c>
      <c r="G919" s="15" t="s">
        <v>293</v>
      </c>
      <c r="H919" s="15" t="s">
        <v>779</v>
      </c>
    </row>
    <row r="920" customFormat="false" ht="39" hidden="false" customHeight="true" outlineLevel="0" collapsed="false">
      <c r="A920" s="15" t="s">
        <v>192</v>
      </c>
      <c r="B920" s="15" t="s">
        <v>193</v>
      </c>
      <c r="C920" s="15" t="s">
        <v>785</v>
      </c>
      <c r="D920" s="15" t="n">
        <v>409</v>
      </c>
      <c r="E920" s="15" t="s">
        <v>786</v>
      </c>
      <c r="F920" s="15" t="s">
        <v>778</v>
      </c>
      <c r="G920" s="15" t="s">
        <v>293</v>
      </c>
      <c r="H920" s="15" t="s">
        <v>779</v>
      </c>
    </row>
    <row r="921" customFormat="false" ht="39" hidden="false" customHeight="true" outlineLevel="0" collapsed="false">
      <c r="A921" s="15" t="s">
        <v>192</v>
      </c>
      <c r="B921" s="15" t="s">
        <v>193</v>
      </c>
      <c r="C921" s="15" t="s">
        <v>787</v>
      </c>
      <c r="D921" s="15" t="s">
        <v>788</v>
      </c>
      <c r="E921" s="15"/>
      <c r="F921" s="15" t="s">
        <v>778</v>
      </c>
      <c r="G921" s="15" t="s">
        <v>293</v>
      </c>
      <c r="H921" s="15" t="s">
        <v>779</v>
      </c>
    </row>
    <row r="922" customFormat="false" ht="39" hidden="false" customHeight="true" outlineLevel="0" collapsed="false">
      <c r="A922" s="15" t="s">
        <v>192</v>
      </c>
      <c r="B922" s="15" t="s">
        <v>193</v>
      </c>
      <c r="C922" s="15" t="s">
        <v>789</v>
      </c>
      <c r="D922" s="15" t="s">
        <v>790</v>
      </c>
      <c r="E922" s="15"/>
      <c r="F922" s="15" t="s">
        <v>778</v>
      </c>
      <c r="G922" s="15" t="s">
        <v>293</v>
      </c>
      <c r="H922" s="15" t="s">
        <v>779</v>
      </c>
    </row>
    <row r="923" customFormat="false" ht="39" hidden="false" customHeight="true" outlineLevel="0" collapsed="false">
      <c r="A923" s="15" t="s">
        <v>192</v>
      </c>
      <c r="B923" s="15" t="s">
        <v>193</v>
      </c>
      <c r="C923" s="15" t="s">
        <v>791</v>
      </c>
      <c r="D923" s="15" t="s">
        <v>792</v>
      </c>
      <c r="E923" s="15"/>
      <c r="F923" s="15" t="s">
        <v>778</v>
      </c>
      <c r="G923" s="15" t="s">
        <v>293</v>
      </c>
      <c r="H923" s="15" t="s">
        <v>779</v>
      </c>
    </row>
    <row r="924" customFormat="false" ht="15" hidden="false" customHeight="true" outlineLevel="0" collapsed="false">
      <c r="A924" s="15" t="s">
        <v>254</v>
      </c>
      <c r="B924" s="15" t="s">
        <v>257</v>
      </c>
      <c r="C924" s="15" t="s">
        <v>769</v>
      </c>
      <c r="D924" s="15" t="n">
        <v>5</v>
      </c>
      <c r="E924" s="15" t="s">
        <v>721</v>
      </c>
      <c r="F924" s="15" t="s">
        <v>824</v>
      </c>
      <c r="G924" s="15" t="s">
        <v>112</v>
      </c>
      <c r="H924" s="15"/>
    </row>
    <row r="925" customFormat="false" ht="15" hidden="false" customHeight="true" outlineLevel="0" collapsed="false">
      <c r="A925" s="15" t="s">
        <v>254</v>
      </c>
      <c r="B925" s="15" t="s">
        <v>257</v>
      </c>
      <c r="C925" s="15" t="s">
        <v>714</v>
      </c>
      <c r="D925" s="15" t="n">
        <v>380</v>
      </c>
      <c r="E925" s="15" t="s">
        <v>715</v>
      </c>
      <c r="F925" s="15" t="s">
        <v>825</v>
      </c>
      <c r="G925" s="15" t="s">
        <v>112</v>
      </c>
      <c r="H925" s="15"/>
    </row>
    <row r="926" customFormat="false" ht="15" hidden="false" customHeight="true" outlineLevel="0" collapsed="false">
      <c r="A926" s="15" t="s">
        <v>254</v>
      </c>
      <c r="B926" s="15" t="s">
        <v>257</v>
      </c>
      <c r="C926" s="15" t="s">
        <v>718</v>
      </c>
      <c r="D926" s="15" t="s">
        <v>113</v>
      </c>
      <c r="E926" s="15"/>
      <c r="F926" s="15" t="s">
        <v>825</v>
      </c>
      <c r="G926" s="15" t="s">
        <v>112</v>
      </c>
      <c r="H926" s="15"/>
    </row>
    <row r="927" customFormat="false" ht="15" hidden="false" customHeight="true" outlineLevel="0" collapsed="false">
      <c r="A927" s="15" t="s">
        <v>254</v>
      </c>
      <c r="B927" s="15" t="s">
        <v>257</v>
      </c>
      <c r="C927" s="15" t="s">
        <v>826</v>
      </c>
      <c r="D927" s="15" t="s">
        <v>827</v>
      </c>
      <c r="E927" s="15"/>
      <c r="F927" s="15" t="s">
        <v>825</v>
      </c>
      <c r="G927" s="15" t="s">
        <v>112</v>
      </c>
      <c r="H927" s="15"/>
    </row>
    <row r="928" customFormat="false" ht="15" hidden="false" customHeight="true" outlineLevel="0" collapsed="false">
      <c r="A928" s="15" t="s">
        <v>254</v>
      </c>
      <c r="B928" s="15" t="s">
        <v>257</v>
      </c>
      <c r="C928" s="15" t="s">
        <v>719</v>
      </c>
      <c r="D928" s="15" t="n">
        <v>20</v>
      </c>
      <c r="E928" s="15" t="s">
        <v>720</v>
      </c>
      <c r="F928" s="15" t="s">
        <v>825</v>
      </c>
      <c r="G928" s="15" t="s">
        <v>112</v>
      </c>
      <c r="H928" s="15"/>
    </row>
    <row r="929" customFormat="false" ht="15" hidden="false" customHeight="true" outlineLevel="0" collapsed="false">
      <c r="A929" s="15" t="s">
        <v>254</v>
      </c>
      <c r="B929" s="15" t="s">
        <v>257</v>
      </c>
      <c r="C929" s="15" t="s">
        <v>722</v>
      </c>
      <c r="D929" s="15" t="n">
        <v>663</v>
      </c>
      <c r="E929" s="15" t="s">
        <v>723</v>
      </c>
      <c r="F929" s="15" t="s">
        <v>825</v>
      </c>
      <c r="G929" s="15" t="s">
        <v>112</v>
      </c>
      <c r="H929" s="15"/>
    </row>
    <row r="930" customFormat="false" ht="15" hidden="false" customHeight="true" outlineLevel="0" collapsed="false">
      <c r="A930" s="15" t="s">
        <v>254</v>
      </c>
      <c r="B930" s="15" t="s">
        <v>257</v>
      </c>
      <c r="C930" s="15" t="s">
        <v>724</v>
      </c>
      <c r="D930" s="15" t="n">
        <v>150</v>
      </c>
      <c r="E930" s="15" t="s">
        <v>723</v>
      </c>
      <c r="F930" s="15" t="s">
        <v>825</v>
      </c>
      <c r="G930" s="15" t="s">
        <v>112</v>
      </c>
      <c r="H930" s="15"/>
    </row>
    <row r="931" customFormat="false" ht="15" hidden="false" customHeight="true" outlineLevel="0" collapsed="false">
      <c r="A931" s="15" t="s">
        <v>254</v>
      </c>
      <c r="B931" s="15" t="s">
        <v>257</v>
      </c>
      <c r="C931" s="15" t="s">
        <v>84</v>
      </c>
      <c r="D931" s="15" t="n">
        <v>207</v>
      </c>
      <c r="E931" s="15" t="s">
        <v>725</v>
      </c>
      <c r="F931" s="15" t="s">
        <v>825</v>
      </c>
      <c r="G931" s="15" t="s">
        <v>112</v>
      </c>
      <c r="H931" s="15"/>
    </row>
    <row r="932" customFormat="false" ht="15" hidden="false" customHeight="true" outlineLevel="0" collapsed="false">
      <c r="A932" s="15" t="s">
        <v>254</v>
      </c>
      <c r="B932" s="15" t="s">
        <v>257</v>
      </c>
      <c r="C932" s="15" t="s">
        <v>726</v>
      </c>
      <c r="D932" s="15" t="n">
        <v>4789</v>
      </c>
      <c r="E932" s="15" t="s">
        <v>725</v>
      </c>
      <c r="F932" s="15" t="s">
        <v>825</v>
      </c>
      <c r="G932" s="15" t="s">
        <v>112</v>
      </c>
      <c r="H932" s="15"/>
    </row>
    <row r="933" customFormat="false" ht="15" hidden="false" customHeight="true" outlineLevel="0" collapsed="false">
      <c r="A933" s="15" t="s">
        <v>254</v>
      </c>
      <c r="B933" s="15" t="s">
        <v>257</v>
      </c>
      <c r="C933" s="15" t="s">
        <v>727</v>
      </c>
      <c r="D933" s="15" t="n">
        <v>1907</v>
      </c>
      <c r="E933" s="15" t="s">
        <v>725</v>
      </c>
      <c r="F933" s="15" t="s">
        <v>825</v>
      </c>
      <c r="G933" s="15" t="s">
        <v>112</v>
      </c>
      <c r="H933" s="15"/>
    </row>
    <row r="934" customFormat="false" ht="15" hidden="false" customHeight="true" outlineLevel="0" collapsed="false">
      <c r="A934" s="15" t="s">
        <v>254</v>
      </c>
      <c r="B934" s="15" t="s">
        <v>257</v>
      </c>
      <c r="C934" s="15" t="s">
        <v>728</v>
      </c>
      <c r="D934" s="15" t="n">
        <v>1694</v>
      </c>
      <c r="E934" s="15" t="s">
        <v>725</v>
      </c>
      <c r="F934" s="15" t="s">
        <v>825</v>
      </c>
      <c r="G934" s="15" t="s">
        <v>112</v>
      </c>
      <c r="H934" s="15"/>
    </row>
    <row r="935" customFormat="false" ht="15" hidden="false" customHeight="true" outlineLevel="0" collapsed="false">
      <c r="A935" s="15" t="s">
        <v>254</v>
      </c>
      <c r="B935" s="15" t="s">
        <v>257</v>
      </c>
      <c r="C935" s="15" t="s">
        <v>729</v>
      </c>
      <c r="D935" s="15" t="n">
        <v>2775</v>
      </c>
      <c r="E935" s="15" t="s">
        <v>725</v>
      </c>
      <c r="F935" s="15" t="s">
        <v>825</v>
      </c>
      <c r="G935" s="15" t="s">
        <v>112</v>
      </c>
      <c r="H935" s="15"/>
    </row>
    <row r="936" customFormat="false" ht="15" hidden="false" customHeight="true" outlineLevel="0" collapsed="false">
      <c r="A936" s="15" t="s">
        <v>254</v>
      </c>
      <c r="B936" s="15" t="s">
        <v>257</v>
      </c>
      <c r="C936" s="15" t="s">
        <v>730</v>
      </c>
      <c r="D936" s="15" t="n">
        <v>10</v>
      </c>
      <c r="E936" s="15" t="s">
        <v>731</v>
      </c>
      <c r="F936" s="15" t="s">
        <v>825</v>
      </c>
      <c r="G936" s="15" t="s">
        <v>112</v>
      </c>
      <c r="H936" s="15"/>
    </row>
    <row r="937" customFormat="false" ht="15" hidden="false" customHeight="true" outlineLevel="0" collapsed="false">
      <c r="A937" s="15" t="s">
        <v>254</v>
      </c>
      <c r="B937" s="15" t="s">
        <v>257</v>
      </c>
      <c r="C937" s="15" t="s">
        <v>776</v>
      </c>
      <c r="D937" s="15" t="s">
        <v>800</v>
      </c>
      <c r="E937" s="15"/>
      <c r="F937" s="15" t="s">
        <v>825</v>
      </c>
      <c r="G937" s="15" t="s">
        <v>112</v>
      </c>
      <c r="H937" s="15"/>
    </row>
    <row r="938" customFormat="false" ht="15" hidden="false" customHeight="true" outlineLevel="0" collapsed="false">
      <c r="A938" s="15" t="s">
        <v>254</v>
      </c>
      <c r="B938" s="15" t="s">
        <v>257</v>
      </c>
      <c r="C938" s="15" t="s">
        <v>780</v>
      </c>
      <c r="D938" s="15" t="s">
        <v>781</v>
      </c>
      <c r="E938" s="15"/>
      <c r="F938" s="15" t="s">
        <v>825</v>
      </c>
      <c r="G938" s="15" t="s">
        <v>112</v>
      </c>
      <c r="H938" s="15"/>
    </row>
    <row r="939" customFormat="false" ht="15" hidden="false" customHeight="true" outlineLevel="0" collapsed="false">
      <c r="A939" s="15" t="s">
        <v>254</v>
      </c>
      <c r="B939" s="15" t="s">
        <v>257</v>
      </c>
      <c r="C939" s="15" t="s">
        <v>789</v>
      </c>
      <c r="D939" s="15" t="s">
        <v>790</v>
      </c>
      <c r="E939" s="15"/>
      <c r="F939" s="15" t="s">
        <v>825</v>
      </c>
      <c r="G939" s="15" t="s">
        <v>112</v>
      </c>
      <c r="H939" s="15"/>
    </row>
    <row r="940" customFormat="false" ht="15" hidden="false" customHeight="true" outlineLevel="0" collapsed="false">
      <c r="A940" s="15" t="s">
        <v>254</v>
      </c>
      <c r="B940" s="15" t="s">
        <v>257</v>
      </c>
      <c r="C940" s="15" t="s">
        <v>784</v>
      </c>
      <c r="D940" s="15" t="n">
        <v>11</v>
      </c>
      <c r="E940" s="15" t="s">
        <v>738</v>
      </c>
      <c r="F940" s="15" t="s">
        <v>828</v>
      </c>
      <c r="G940" s="15" t="s">
        <v>112</v>
      </c>
      <c r="H940" s="15"/>
    </row>
    <row r="941" customFormat="false" ht="15" hidden="false" customHeight="true" outlineLevel="0" collapsed="false">
      <c r="A941" s="15" t="s">
        <v>254</v>
      </c>
      <c r="B941" s="15" t="s">
        <v>257</v>
      </c>
      <c r="C941" s="15" t="s">
        <v>782</v>
      </c>
      <c r="D941" s="15" t="n">
        <v>36</v>
      </c>
      <c r="E941" s="15" t="s">
        <v>783</v>
      </c>
      <c r="F941" s="15" t="s">
        <v>828</v>
      </c>
      <c r="G941" s="15" t="s">
        <v>112</v>
      </c>
      <c r="H941" s="15"/>
    </row>
    <row r="942" customFormat="false" ht="26.25" hidden="false" customHeight="true" outlineLevel="0" collapsed="false">
      <c r="A942" s="15" t="s">
        <v>254</v>
      </c>
      <c r="B942" s="15" t="s">
        <v>257</v>
      </c>
      <c r="C942" s="15" t="s">
        <v>98</v>
      </c>
      <c r="D942" s="15" t="s">
        <v>732</v>
      </c>
      <c r="E942" s="15"/>
      <c r="F942" s="15" t="s">
        <v>829</v>
      </c>
      <c r="G942" s="15" t="s">
        <v>112</v>
      </c>
      <c r="H942" s="15"/>
    </row>
    <row r="943" customFormat="false" ht="26.25" hidden="false" customHeight="true" outlineLevel="0" collapsed="false">
      <c r="A943" s="15" t="s">
        <v>254</v>
      </c>
      <c r="B943" s="15" t="s">
        <v>257</v>
      </c>
      <c r="C943" s="15" t="s">
        <v>830</v>
      </c>
      <c r="D943" s="15" t="s">
        <v>831</v>
      </c>
      <c r="E943" s="15"/>
      <c r="F943" s="15" t="s">
        <v>832</v>
      </c>
      <c r="G943" s="15" t="s">
        <v>112</v>
      </c>
      <c r="H943" s="15"/>
    </row>
    <row r="944" customFormat="false" ht="15" hidden="false" customHeight="true" outlineLevel="0" collapsed="false">
      <c r="A944" s="15" t="s">
        <v>254</v>
      </c>
      <c r="B944" s="15" t="s">
        <v>257</v>
      </c>
      <c r="C944" s="15" t="s">
        <v>833</v>
      </c>
      <c r="D944" s="15" t="s">
        <v>834</v>
      </c>
      <c r="E944" s="15"/>
      <c r="F944" s="15" t="s">
        <v>832</v>
      </c>
      <c r="G944" s="15" t="s">
        <v>112</v>
      </c>
      <c r="H944" s="15"/>
    </row>
    <row r="945" customFormat="false" ht="15" hidden="false" customHeight="true" outlineLevel="0" collapsed="false">
      <c r="A945" s="15" t="s">
        <v>254</v>
      </c>
      <c r="B945" s="15" t="s">
        <v>257</v>
      </c>
      <c r="C945" s="15" t="s">
        <v>835</v>
      </c>
      <c r="D945" s="15" t="s">
        <v>836</v>
      </c>
      <c r="E945" s="15"/>
      <c r="F945" s="15" t="s">
        <v>832</v>
      </c>
      <c r="G945" s="15" t="s">
        <v>112</v>
      </c>
      <c r="H945" s="15"/>
    </row>
    <row r="946" customFormat="false" ht="15" hidden="false" customHeight="true" outlineLevel="0" collapsed="false">
      <c r="A946" s="15" t="s">
        <v>254</v>
      </c>
      <c r="B946" s="15" t="s">
        <v>257</v>
      </c>
      <c r="C946" s="15" t="s">
        <v>837</v>
      </c>
      <c r="D946" s="15" t="n">
        <v>10000</v>
      </c>
      <c r="E946" s="15" t="s">
        <v>838</v>
      </c>
      <c r="F946" s="15" t="s">
        <v>832</v>
      </c>
      <c r="G946" s="15" t="s">
        <v>112</v>
      </c>
      <c r="H946" s="15"/>
    </row>
    <row r="947" customFormat="false" ht="26.25" hidden="false" customHeight="true" outlineLevel="0" collapsed="false">
      <c r="A947" s="15" t="s">
        <v>254</v>
      </c>
      <c r="B947" s="15" t="s">
        <v>257</v>
      </c>
      <c r="C947" s="15" t="s">
        <v>839</v>
      </c>
      <c r="D947" s="15" t="s">
        <v>840</v>
      </c>
      <c r="E947" s="15"/>
      <c r="F947" s="15" t="s">
        <v>832</v>
      </c>
      <c r="G947" s="15" t="s">
        <v>112</v>
      </c>
      <c r="H947" s="15"/>
    </row>
    <row r="948" customFormat="false" ht="15" hidden="false" customHeight="true" outlineLevel="0" collapsed="false">
      <c r="A948" s="15" t="s">
        <v>254</v>
      </c>
      <c r="B948" s="15" t="s">
        <v>257</v>
      </c>
      <c r="C948" s="15" t="s">
        <v>841</v>
      </c>
      <c r="D948" s="15" t="s">
        <v>842</v>
      </c>
      <c r="E948" s="15"/>
      <c r="F948" s="15" t="s">
        <v>832</v>
      </c>
      <c r="G948" s="15" t="s">
        <v>112</v>
      </c>
      <c r="H948" s="15"/>
    </row>
    <row r="949" customFormat="false" ht="15" hidden="false" customHeight="true" outlineLevel="0" collapsed="false">
      <c r="A949" s="15" t="s">
        <v>254</v>
      </c>
      <c r="B949" s="15" t="s">
        <v>257</v>
      </c>
      <c r="C949" s="15" t="s">
        <v>843</v>
      </c>
      <c r="D949" s="15" t="s">
        <v>844</v>
      </c>
      <c r="E949" s="15"/>
      <c r="F949" s="15" t="s">
        <v>825</v>
      </c>
      <c r="G949" s="15" t="s">
        <v>112</v>
      </c>
      <c r="H949" s="15"/>
    </row>
    <row r="950" customFormat="false" ht="15" hidden="false" customHeight="true" outlineLevel="0" collapsed="false">
      <c r="A950" s="15" t="s">
        <v>254</v>
      </c>
      <c r="B950" s="15" t="s">
        <v>257</v>
      </c>
      <c r="C950" s="15" t="s">
        <v>737</v>
      </c>
      <c r="D950" s="15" t="n">
        <v>170</v>
      </c>
      <c r="E950" s="15" t="s">
        <v>738</v>
      </c>
      <c r="F950" s="15" t="s">
        <v>825</v>
      </c>
      <c r="G950" s="15" t="s">
        <v>112</v>
      </c>
      <c r="H950" s="15"/>
    </row>
    <row r="951" customFormat="false" ht="15" hidden="false" customHeight="true" outlineLevel="0" collapsed="false">
      <c r="A951" s="15" t="s">
        <v>254</v>
      </c>
      <c r="B951" s="15" t="s">
        <v>257</v>
      </c>
      <c r="C951" s="15" t="s">
        <v>739</v>
      </c>
      <c r="D951" s="15" t="n">
        <v>140</v>
      </c>
      <c r="E951" s="15" t="s">
        <v>738</v>
      </c>
      <c r="F951" s="15" t="s">
        <v>825</v>
      </c>
      <c r="G951" s="15" t="s">
        <v>112</v>
      </c>
      <c r="H951" s="15"/>
    </row>
    <row r="952" customFormat="false" ht="26.25" hidden="false" customHeight="true" outlineLevel="0" collapsed="false">
      <c r="A952" s="15" t="s">
        <v>254</v>
      </c>
      <c r="B952" s="15" t="s">
        <v>257</v>
      </c>
      <c r="C952" s="15" t="s">
        <v>740</v>
      </c>
      <c r="D952" s="15" t="n">
        <v>6</v>
      </c>
      <c r="E952" s="15" t="s">
        <v>741</v>
      </c>
      <c r="F952" s="15" t="s">
        <v>825</v>
      </c>
      <c r="G952" s="15" t="s">
        <v>112</v>
      </c>
      <c r="H952" s="15"/>
    </row>
    <row r="953" customFormat="false" ht="15" hidden="false" customHeight="true" outlineLevel="0" collapsed="false">
      <c r="A953" s="15" t="s">
        <v>254</v>
      </c>
      <c r="B953" s="15" t="s">
        <v>257</v>
      </c>
      <c r="C953" s="15" t="s">
        <v>742</v>
      </c>
      <c r="D953" s="15" t="n">
        <v>8.7</v>
      </c>
      <c r="E953" s="15" t="s">
        <v>741</v>
      </c>
      <c r="F953" s="15" t="s">
        <v>825</v>
      </c>
      <c r="G953" s="15" t="s">
        <v>112</v>
      </c>
      <c r="H953" s="15"/>
    </row>
    <row r="954" customFormat="false" ht="26.25" hidden="false" customHeight="true" outlineLevel="0" collapsed="false">
      <c r="A954" s="15" t="s">
        <v>254</v>
      </c>
      <c r="B954" s="15" t="s">
        <v>257</v>
      </c>
      <c r="C954" s="15" t="s">
        <v>733</v>
      </c>
      <c r="D954" s="15" t="s">
        <v>734</v>
      </c>
      <c r="E954" s="15"/>
      <c r="F954" s="15" t="s">
        <v>845</v>
      </c>
      <c r="G954" s="15" t="s">
        <v>112</v>
      </c>
      <c r="H954" s="15" t="s">
        <v>846</v>
      </c>
    </row>
    <row r="955" customFormat="false" ht="15" hidden="false" customHeight="true" outlineLevel="0" collapsed="false">
      <c r="A955" s="15" t="s">
        <v>254</v>
      </c>
      <c r="B955" s="15" t="s">
        <v>257</v>
      </c>
      <c r="C955" s="15" t="s">
        <v>785</v>
      </c>
      <c r="D955" s="15" t="n">
        <v>307</v>
      </c>
      <c r="E955" s="15" t="s">
        <v>786</v>
      </c>
      <c r="F955" s="15" t="s">
        <v>828</v>
      </c>
      <c r="G955" s="15" t="s">
        <v>112</v>
      </c>
      <c r="H955" s="15"/>
    </row>
    <row r="956" customFormat="false" ht="15" hidden="false" customHeight="true" outlineLevel="0" collapsed="false">
      <c r="A956" s="15" t="s">
        <v>254</v>
      </c>
      <c r="B956" s="15" t="s">
        <v>257</v>
      </c>
      <c r="C956" s="15" t="s">
        <v>86</v>
      </c>
      <c r="D956" s="15" t="n">
        <v>6</v>
      </c>
      <c r="E956" s="15" t="s">
        <v>721</v>
      </c>
      <c r="F956" s="15" t="s">
        <v>825</v>
      </c>
      <c r="G956" s="15" t="s">
        <v>112</v>
      </c>
      <c r="H956" s="15"/>
    </row>
    <row r="957" customFormat="false" ht="15" hidden="false" customHeight="true" outlineLevel="0" collapsed="false">
      <c r="A957" s="15" t="s">
        <v>254</v>
      </c>
      <c r="B957" s="15" t="s">
        <v>257</v>
      </c>
      <c r="C957" s="15" t="s">
        <v>764</v>
      </c>
      <c r="D957" s="15" t="s">
        <v>755</v>
      </c>
      <c r="E957" s="15"/>
      <c r="F957" s="15" t="s">
        <v>825</v>
      </c>
      <c r="G957" s="15" t="s">
        <v>112</v>
      </c>
      <c r="H957" s="15"/>
    </row>
    <row r="958" customFormat="false" ht="15" hidden="false" customHeight="true" outlineLevel="0" collapsed="false">
      <c r="A958" s="15" t="s">
        <v>254</v>
      </c>
      <c r="B958" s="15" t="s">
        <v>257</v>
      </c>
      <c r="C958" s="15" t="s">
        <v>749</v>
      </c>
      <c r="D958" s="15" t="s">
        <v>120</v>
      </c>
      <c r="E958" s="15"/>
      <c r="F958" s="15" t="s">
        <v>825</v>
      </c>
      <c r="G958" s="15" t="s">
        <v>112</v>
      </c>
      <c r="H958" s="15"/>
    </row>
    <row r="959" customFormat="false" ht="15" hidden="false" customHeight="true" outlineLevel="0" collapsed="false">
      <c r="A959" s="15" t="s">
        <v>254</v>
      </c>
      <c r="B959" s="15" t="s">
        <v>257</v>
      </c>
      <c r="C959" s="15" t="s">
        <v>752</v>
      </c>
      <c r="D959" s="15" t="s">
        <v>753</v>
      </c>
      <c r="E959" s="15"/>
      <c r="F959" s="15" t="s">
        <v>825</v>
      </c>
      <c r="G959" s="15" t="s">
        <v>112</v>
      </c>
      <c r="H959" s="15"/>
    </row>
    <row r="960" customFormat="false" ht="15" hidden="false" customHeight="true" outlineLevel="0" collapsed="false">
      <c r="A960" s="15" t="s">
        <v>254</v>
      </c>
      <c r="B960" s="15" t="s">
        <v>257</v>
      </c>
      <c r="C960" s="15" t="s">
        <v>754</v>
      </c>
      <c r="D960" s="15" t="s">
        <v>755</v>
      </c>
      <c r="E960" s="15"/>
      <c r="F960" s="15" t="s">
        <v>825</v>
      </c>
      <c r="G960" s="15" t="s">
        <v>112</v>
      </c>
      <c r="H960" s="15"/>
    </row>
    <row r="961" customFormat="false" ht="15" hidden="false" customHeight="true" outlineLevel="0" collapsed="false">
      <c r="A961" s="15" t="s">
        <v>254</v>
      </c>
      <c r="B961" s="15" t="s">
        <v>257</v>
      </c>
      <c r="C961" s="15" t="s">
        <v>756</v>
      </c>
      <c r="D961" s="15" t="s">
        <v>847</v>
      </c>
      <c r="E961" s="15"/>
      <c r="F961" s="15" t="s">
        <v>825</v>
      </c>
      <c r="G961" s="15" t="s">
        <v>112</v>
      </c>
      <c r="H961" s="15"/>
    </row>
    <row r="962" customFormat="false" ht="15" hidden="false" customHeight="true" outlineLevel="0" collapsed="false">
      <c r="A962" s="15" t="s">
        <v>254</v>
      </c>
      <c r="B962" s="15" t="s">
        <v>257</v>
      </c>
      <c r="C962" s="15" t="s">
        <v>757</v>
      </c>
      <c r="D962" s="15" t="s">
        <v>758</v>
      </c>
      <c r="E962" s="15"/>
      <c r="F962" s="15" t="s">
        <v>825</v>
      </c>
      <c r="G962" s="15" t="s">
        <v>112</v>
      </c>
      <c r="H962" s="15"/>
    </row>
    <row r="963" customFormat="false" ht="15" hidden="false" customHeight="true" outlineLevel="0" collapsed="false">
      <c r="A963" s="15" t="s">
        <v>254</v>
      </c>
      <c r="B963" s="15" t="s">
        <v>257</v>
      </c>
      <c r="C963" s="15" t="s">
        <v>759</v>
      </c>
      <c r="D963" s="15" t="s">
        <v>760</v>
      </c>
      <c r="E963" s="15"/>
      <c r="F963" s="15" t="s">
        <v>825</v>
      </c>
      <c r="G963" s="15" t="s">
        <v>112</v>
      </c>
      <c r="H963" s="15"/>
    </row>
    <row r="964" customFormat="false" ht="15" hidden="false" customHeight="true" outlineLevel="0" collapsed="false">
      <c r="A964" s="15" t="s">
        <v>254</v>
      </c>
      <c r="B964" s="15" t="s">
        <v>257</v>
      </c>
      <c r="C964" s="15" t="s">
        <v>761</v>
      </c>
      <c r="D964" s="15" t="s">
        <v>755</v>
      </c>
      <c r="E964" s="15"/>
      <c r="F964" s="15" t="s">
        <v>825</v>
      </c>
      <c r="G964" s="15" t="s">
        <v>112</v>
      </c>
      <c r="H964" s="15"/>
    </row>
    <row r="965" customFormat="false" ht="15" hidden="false" customHeight="true" outlineLevel="0" collapsed="false">
      <c r="A965" s="15" t="s">
        <v>254</v>
      </c>
      <c r="B965" s="15" t="s">
        <v>257</v>
      </c>
      <c r="C965" s="15" t="s">
        <v>762</v>
      </c>
      <c r="D965" s="15" t="s">
        <v>755</v>
      </c>
      <c r="E965" s="15"/>
      <c r="F965" s="15" t="s">
        <v>825</v>
      </c>
      <c r="G965" s="15" t="s">
        <v>112</v>
      </c>
      <c r="H965" s="15"/>
    </row>
    <row r="966" customFormat="false" ht="15" hidden="false" customHeight="true" outlineLevel="0" collapsed="false">
      <c r="A966" s="15" t="s">
        <v>254</v>
      </c>
      <c r="B966" s="15" t="s">
        <v>257</v>
      </c>
      <c r="C966" s="15" t="s">
        <v>92</v>
      </c>
      <c r="D966" s="15" t="s">
        <v>755</v>
      </c>
      <c r="E966" s="15"/>
      <c r="F966" s="15" t="s">
        <v>825</v>
      </c>
      <c r="G966" s="15" t="s">
        <v>112</v>
      </c>
      <c r="H966" s="15"/>
    </row>
    <row r="967" customFormat="false" ht="15" hidden="false" customHeight="true" outlineLevel="0" collapsed="false">
      <c r="A967" s="15" t="s">
        <v>254</v>
      </c>
      <c r="B967" s="15" t="s">
        <v>257</v>
      </c>
      <c r="C967" s="15" t="s">
        <v>763</v>
      </c>
      <c r="D967" s="15" t="s">
        <v>755</v>
      </c>
      <c r="E967" s="15"/>
      <c r="F967" s="15" t="s">
        <v>825</v>
      </c>
      <c r="G967" s="15" t="s">
        <v>112</v>
      </c>
      <c r="H967" s="15"/>
    </row>
    <row r="968" customFormat="false" ht="15" hidden="false" customHeight="true" outlineLevel="0" collapsed="false">
      <c r="A968" s="15" t="s">
        <v>254</v>
      </c>
      <c r="B968" s="15" t="s">
        <v>257</v>
      </c>
      <c r="C968" s="15" t="s">
        <v>848</v>
      </c>
      <c r="D968" s="15" t="s">
        <v>849</v>
      </c>
      <c r="E968" s="15"/>
      <c r="F968" s="15" t="s">
        <v>825</v>
      </c>
      <c r="G968" s="15" t="s">
        <v>112</v>
      </c>
      <c r="H968" s="15"/>
    </row>
    <row r="969" customFormat="false" ht="15" hidden="false" customHeight="true" outlineLevel="0" collapsed="false">
      <c r="A969" s="15" t="s">
        <v>254</v>
      </c>
      <c r="B969" s="15" t="s">
        <v>257</v>
      </c>
      <c r="C969" s="15" t="s">
        <v>747</v>
      </c>
      <c r="D969" s="15" t="s">
        <v>850</v>
      </c>
      <c r="E969" s="15"/>
      <c r="F969" s="15" t="s">
        <v>825</v>
      </c>
      <c r="G969" s="15" t="s">
        <v>112</v>
      </c>
      <c r="H969" s="15"/>
    </row>
    <row r="970" customFormat="false" ht="15" hidden="false" customHeight="true" outlineLevel="0" collapsed="false">
      <c r="A970" s="15" t="s">
        <v>254</v>
      </c>
      <c r="B970" s="15" t="s">
        <v>257</v>
      </c>
      <c r="C970" s="15" t="s">
        <v>851</v>
      </c>
      <c r="D970" s="15" t="s">
        <v>852</v>
      </c>
      <c r="E970" s="15"/>
      <c r="F970" s="15" t="s">
        <v>825</v>
      </c>
      <c r="G970" s="15" t="s">
        <v>112</v>
      </c>
      <c r="H970" s="15"/>
    </row>
    <row r="971" customFormat="false" ht="15" hidden="false" customHeight="true" outlineLevel="0" collapsed="false">
      <c r="A971" s="15" t="s">
        <v>254</v>
      </c>
      <c r="B971" s="15" t="s">
        <v>257</v>
      </c>
      <c r="C971" s="15" t="s">
        <v>853</v>
      </c>
      <c r="D971" s="15" t="s">
        <v>120</v>
      </c>
      <c r="E971" s="15"/>
      <c r="F971" s="15" t="s">
        <v>825</v>
      </c>
      <c r="G971" s="15" t="s">
        <v>112</v>
      </c>
      <c r="H971" s="15"/>
    </row>
    <row r="972" customFormat="false" ht="15" hidden="false" customHeight="true" outlineLevel="0" collapsed="false">
      <c r="A972" s="15" t="s">
        <v>254</v>
      </c>
      <c r="B972" s="15" t="s">
        <v>257</v>
      </c>
      <c r="C972" s="15" t="s">
        <v>854</v>
      </c>
      <c r="D972" s="15" t="s">
        <v>755</v>
      </c>
      <c r="E972" s="15"/>
      <c r="F972" s="15" t="s">
        <v>825</v>
      </c>
      <c r="G972" s="15" t="s">
        <v>112</v>
      </c>
      <c r="H972" s="15"/>
    </row>
    <row r="973" customFormat="false" ht="15" hidden="false" customHeight="true" outlineLevel="0" collapsed="false">
      <c r="A973" s="15" t="s">
        <v>254</v>
      </c>
      <c r="B973" s="15" t="s">
        <v>257</v>
      </c>
      <c r="C973" s="15" t="s">
        <v>855</v>
      </c>
      <c r="D973" s="15" t="s">
        <v>856</v>
      </c>
      <c r="E973" s="15"/>
      <c r="F973" s="15" t="s">
        <v>825</v>
      </c>
      <c r="G973" s="15" t="s">
        <v>112</v>
      </c>
      <c r="H973" s="15"/>
    </row>
    <row r="974" customFormat="false" ht="15" hidden="false" customHeight="true" outlineLevel="0" collapsed="false">
      <c r="A974" s="15" t="s">
        <v>254</v>
      </c>
      <c r="B974" s="15" t="s">
        <v>257</v>
      </c>
      <c r="C974" s="15" t="s">
        <v>857</v>
      </c>
      <c r="D974" s="15" t="s">
        <v>755</v>
      </c>
      <c r="E974" s="15"/>
      <c r="F974" s="15" t="s">
        <v>825</v>
      </c>
      <c r="G974" s="15" t="s">
        <v>112</v>
      </c>
      <c r="H974" s="15"/>
    </row>
    <row r="975" customFormat="false" ht="15" hidden="false" customHeight="true" outlineLevel="0" collapsed="false">
      <c r="A975" s="15" t="s">
        <v>278</v>
      </c>
      <c r="B975" s="15" t="s">
        <v>279</v>
      </c>
      <c r="C975" s="15" t="s">
        <v>769</v>
      </c>
      <c r="D975" s="15" t="n">
        <v>5</v>
      </c>
      <c r="E975" s="15" t="s">
        <v>721</v>
      </c>
      <c r="F975" s="15" t="s">
        <v>824</v>
      </c>
      <c r="G975" s="15" t="s">
        <v>112</v>
      </c>
      <c r="H975" s="15"/>
    </row>
    <row r="976" customFormat="false" ht="15" hidden="false" customHeight="true" outlineLevel="0" collapsed="false">
      <c r="A976" s="15" t="s">
        <v>278</v>
      </c>
      <c r="B976" s="15" t="s">
        <v>279</v>
      </c>
      <c r="C976" s="15" t="s">
        <v>714</v>
      </c>
      <c r="D976" s="15" t="n">
        <v>380</v>
      </c>
      <c r="E976" s="15" t="s">
        <v>715</v>
      </c>
      <c r="F976" s="15" t="s">
        <v>825</v>
      </c>
      <c r="G976" s="15" t="s">
        <v>112</v>
      </c>
      <c r="H976" s="15"/>
    </row>
    <row r="977" customFormat="false" ht="15" hidden="false" customHeight="true" outlineLevel="0" collapsed="false">
      <c r="A977" s="15" t="s">
        <v>278</v>
      </c>
      <c r="B977" s="15" t="s">
        <v>279</v>
      </c>
      <c r="C977" s="15" t="s">
        <v>718</v>
      </c>
      <c r="D977" s="15" t="s">
        <v>113</v>
      </c>
      <c r="E977" s="15"/>
      <c r="F977" s="15" t="s">
        <v>825</v>
      </c>
      <c r="G977" s="15" t="s">
        <v>112</v>
      </c>
      <c r="H977" s="15"/>
    </row>
    <row r="978" customFormat="false" ht="15" hidden="false" customHeight="true" outlineLevel="0" collapsed="false">
      <c r="A978" s="15" t="s">
        <v>278</v>
      </c>
      <c r="B978" s="15" t="s">
        <v>279</v>
      </c>
      <c r="C978" s="15" t="s">
        <v>826</v>
      </c>
      <c r="D978" s="15" t="s">
        <v>827</v>
      </c>
      <c r="E978" s="15"/>
      <c r="F978" s="15" t="s">
        <v>825</v>
      </c>
      <c r="G978" s="15" t="s">
        <v>112</v>
      </c>
      <c r="H978" s="15"/>
    </row>
    <row r="979" customFormat="false" ht="15" hidden="false" customHeight="true" outlineLevel="0" collapsed="false">
      <c r="A979" s="15" t="s">
        <v>278</v>
      </c>
      <c r="B979" s="15" t="s">
        <v>279</v>
      </c>
      <c r="C979" s="15" t="s">
        <v>719</v>
      </c>
      <c r="D979" s="15" t="n">
        <v>20</v>
      </c>
      <c r="E979" s="15" t="s">
        <v>720</v>
      </c>
      <c r="F979" s="15" t="s">
        <v>825</v>
      </c>
      <c r="G979" s="15" t="s">
        <v>112</v>
      </c>
      <c r="H979" s="15"/>
    </row>
    <row r="980" customFormat="false" ht="15" hidden="false" customHeight="true" outlineLevel="0" collapsed="false">
      <c r="A980" s="15" t="s">
        <v>278</v>
      </c>
      <c r="B980" s="15" t="s">
        <v>279</v>
      </c>
      <c r="C980" s="15" t="s">
        <v>722</v>
      </c>
      <c r="D980" s="15" t="n">
        <v>663</v>
      </c>
      <c r="E980" s="15" t="s">
        <v>723</v>
      </c>
      <c r="F980" s="15" t="s">
        <v>825</v>
      </c>
      <c r="G980" s="15" t="s">
        <v>112</v>
      </c>
      <c r="H980" s="15"/>
    </row>
    <row r="981" customFormat="false" ht="15" hidden="false" customHeight="true" outlineLevel="0" collapsed="false">
      <c r="A981" s="15" t="s">
        <v>278</v>
      </c>
      <c r="B981" s="15" t="s">
        <v>279</v>
      </c>
      <c r="C981" s="15" t="s">
        <v>724</v>
      </c>
      <c r="D981" s="15" t="n">
        <v>150</v>
      </c>
      <c r="E981" s="15" t="s">
        <v>723</v>
      </c>
      <c r="F981" s="15" t="s">
        <v>825</v>
      </c>
      <c r="G981" s="15" t="s">
        <v>112</v>
      </c>
      <c r="H981" s="15"/>
    </row>
    <row r="982" customFormat="false" ht="15" hidden="false" customHeight="true" outlineLevel="0" collapsed="false">
      <c r="A982" s="15" t="s">
        <v>278</v>
      </c>
      <c r="B982" s="15" t="s">
        <v>279</v>
      </c>
      <c r="C982" s="15" t="s">
        <v>84</v>
      </c>
      <c r="D982" s="15" t="n">
        <v>207</v>
      </c>
      <c r="E982" s="15" t="s">
        <v>725</v>
      </c>
      <c r="F982" s="15" t="s">
        <v>825</v>
      </c>
      <c r="G982" s="15" t="s">
        <v>112</v>
      </c>
      <c r="H982" s="15"/>
    </row>
    <row r="983" customFormat="false" ht="15" hidden="false" customHeight="true" outlineLevel="0" collapsed="false">
      <c r="A983" s="15" t="s">
        <v>278</v>
      </c>
      <c r="B983" s="15" t="s">
        <v>279</v>
      </c>
      <c r="C983" s="15" t="s">
        <v>726</v>
      </c>
      <c r="D983" s="15" t="n">
        <v>4789</v>
      </c>
      <c r="E983" s="15" t="s">
        <v>725</v>
      </c>
      <c r="F983" s="15" t="s">
        <v>825</v>
      </c>
      <c r="G983" s="15" t="s">
        <v>112</v>
      </c>
      <c r="H983" s="15"/>
    </row>
    <row r="984" customFormat="false" ht="15" hidden="false" customHeight="true" outlineLevel="0" collapsed="false">
      <c r="A984" s="15" t="s">
        <v>278</v>
      </c>
      <c r="B984" s="15" t="s">
        <v>279</v>
      </c>
      <c r="C984" s="15" t="s">
        <v>727</v>
      </c>
      <c r="D984" s="15" t="n">
        <v>1907</v>
      </c>
      <c r="E984" s="15" t="s">
        <v>725</v>
      </c>
      <c r="F984" s="15" t="s">
        <v>825</v>
      </c>
      <c r="G984" s="15" t="s">
        <v>112</v>
      </c>
      <c r="H984" s="15"/>
    </row>
    <row r="985" customFormat="false" ht="15" hidden="false" customHeight="true" outlineLevel="0" collapsed="false">
      <c r="A985" s="15" t="s">
        <v>278</v>
      </c>
      <c r="B985" s="15" t="s">
        <v>279</v>
      </c>
      <c r="C985" s="15" t="s">
        <v>728</v>
      </c>
      <c r="D985" s="15" t="n">
        <v>1694</v>
      </c>
      <c r="E985" s="15" t="s">
        <v>725</v>
      </c>
      <c r="F985" s="15" t="s">
        <v>825</v>
      </c>
      <c r="G985" s="15" t="s">
        <v>112</v>
      </c>
      <c r="H985" s="15"/>
    </row>
    <row r="986" customFormat="false" ht="15" hidden="false" customHeight="true" outlineLevel="0" collapsed="false">
      <c r="A986" s="15" t="s">
        <v>278</v>
      </c>
      <c r="B986" s="15" t="s">
        <v>279</v>
      </c>
      <c r="C986" s="15" t="s">
        <v>729</v>
      </c>
      <c r="D986" s="15" t="n">
        <v>2775</v>
      </c>
      <c r="E986" s="15" t="s">
        <v>725</v>
      </c>
      <c r="F986" s="15" t="s">
        <v>825</v>
      </c>
      <c r="G986" s="15" t="s">
        <v>112</v>
      </c>
      <c r="H986" s="15"/>
    </row>
    <row r="987" customFormat="false" ht="15" hidden="false" customHeight="true" outlineLevel="0" collapsed="false">
      <c r="A987" s="15" t="s">
        <v>278</v>
      </c>
      <c r="B987" s="15" t="s">
        <v>279</v>
      </c>
      <c r="C987" s="15" t="s">
        <v>730</v>
      </c>
      <c r="D987" s="15" t="n">
        <v>10</v>
      </c>
      <c r="E987" s="15" t="s">
        <v>731</v>
      </c>
      <c r="F987" s="15" t="s">
        <v>825</v>
      </c>
      <c r="G987" s="15" t="s">
        <v>112</v>
      </c>
      <c r="H987" s="15"/>
    </row>
    <row r="988" customFormat="false" ht="15" hidden="false" customHeight="true" outlineLevel="0" collapsed="false">
      <c r="A988" s="15" t="s">
        <v>278</v>
      </c>
      <c r="B988" s="15" t="s">
        <v>279</v>
      </c>
      <c r="C988" s="15" t="s">
        <v>776</v>
      </c>
      <c r="D988" s="15" t="s">
        <v>800</v>
      </c>
      <c r="E988" s="15"/>
      <c r="F988" s="15" t="s">
        <v>825</v>
      </c>
      <c r="G988" s="15" t="s">
        <v>112</v>
      </c>
      <c r="H988" s="15"/>
    </row>
    <row r="989" customFormat="false" ht="15" hidden="false" customHeight="true" outlineLevel="0" collapsed="false">
      <c r="A989" s="15" t="s">
        <v>278</v>
      </c>
      <c r="B989" s="15" t="s">
        <v>279</v>
      </c>
      <c r="C989" s="15" t="s">
        <v>780</v>
      </c>
      <c r="D989" s="15" t="s">
        <v>781</v>
      </c>
      <c r="E989" s="15"/>
      <c r="F989" s="15" t="s">
        <v>825</v>
      </c>
      <c r="G989" s="15" t="s">
        <v>112</v>
      </c>
      <c r="H989" s="15"/>
    </row>
    <row r="990" customFormat="false" ht="15" hidden="false" customHeight="true" outlineLevel="0" collapsed="false">
      <c r="A990" s="15" t="s">
        <v>278</v>
      </c>
      <c r="B990" s="15" t="s">
        <v>279</v>
      </c>
      <c r="C990" s="15" t="s">
        <v>789</v>
      </c>
      <c r="D990" s="15" t="s">
        <v>790</v>
      </c>
      <c r="E990" s="15"/>
      <c r="F990" s="15" t="s">
        <v>825</v>
      </c>
      <c r="G990" s="15" t="s">
        <v>112</v>
      </c>
      <c r="H990" s="15"/>
    </row>
    <row r="991" customFormat="false" ht="15" hidden="false" customHeight="true" outlineLevel="0" collapsed="false">
      <c r="A991" s="15" t="s">
        <v>278</v>
      </c>
      <c r="B991" s="15" t="s">
        <v>279</v>
      </c>
      <c r="C991" s="15" t="s">
        <v>784</v>
      </c>
      <c r="D991" s="15" t="n">
        <v>11</v>
      </c>
      <c r="E991" s="15" t="s">
        <v>738</v>
      </c>
      <c r="F991" s="15" t="s">
        <v>828</v>
      </c>
      <c r="G991" s="15" t="s">
        <v>112</v>
      </c>
      <c r="H991" s="15"/>
    </row>
    <row r="992" customFormat="false" ht="15" hidden="false" customHeight="true" outlineLevel="0" collapsed="false">
      <c r="A992" s="15" t="s">
        <v>278</v>
      </c>
      <c r="B992" s="15" t="s">
        <v>279</v>
      </c>
      <c r="C992" s="15" t="s">
        <v>782</v>
      </c>
      <c r="D992" s="15" t="n">
        <v>36</v>
      </c>
      <c r="E992" s="15" t="s">
        <v>783</v>
      </c>
      <c r="F992" s="15" t="s">
        <v>828</v>
      </c>
      <c r="G992" s="15" t="s">
        <v>112</v>
      </c>
      <c r="H992" s="15"/>
    </row>
    <row r="993" customFormat="false" ht="26.25" hidden="false" customHeight="true" outlineLevel="0" collapsed="false">
      <c r="A993" s="15" t="s">
        <v>278</v>
      </c>
      <c r="B993" s="15" t="s">
        <v>279</v>
      </c>
      <c r="C993" s="15" t="s">
        <v>98</v>
      </c>
      <c r="D993" s="15" t="s">
        <v>732</v>
      </c>
      <c r="E993" s="15"/>
      <c r="F993" s="15" t="s">
        <v>829</v>
      </c>
      <c r="G993" s="15" t="s">
        <v>112</v>
      </c>
      <c r="H993" s="15"/>
    </row>
    <row r="994" customFormat="false" ht="26.25" hidden="false" customHeight="true" outlineLevel="0" collapsed="false">
      <c r="A994" s="15" t="s">
        <v>278</v>
      </c>
      <c r="B994" s="15" t="s">
        <v>279</v>
      </c>
      <c r="C994" s="15" t="s">
        <v>830</v>
      </c>
      <c r="D994" s="15" t="s">
        <v>831</v>
      </c>
      <c r="E994" s="15"/>
      <c r="F994" s="15" t="s">
        <v>832</v>
      </c>
      <c r="G994" s="15" t="s">
        <v>112</v>
      </c>
      <c r="H994" s="15"/>
    </row>
    <row r="995" customFormat="false" ht="15" hidden="false" customHeight="true" outlineLevel="0" collapsed="false">
      <c r="A995" s="15" t="s">
        <v>278</v>
      </c>
      <c r="B995" s="15" t="s">
        <v>279</v>
      </c>
      <c r="C995" s="15" t="s">
        <v>833</v>
      </c>
      <c r="D995" s="15" t="s">
        <v>834</v>
      </c>
      <c r="E995" s="15"/>
      <c r="F995" s="15" t="s">
        <v>832</v>
      </c>
      <c r="G995" s="15" t="s">
        <v>112</v>
      </c>
      <c r="H995" s="15"/>
    </row>
    <row r="996" customFormat="false" ht="15" hidden="false" customHeight="true" outlineLevel="0" collapsed="false">
      <c r="A996" s="15" t="s">
        <v>278</v>
      </c>
      <c r="B996" s="15" t="s">
        <v>279</v>
      </c>
      <c r="C996" s="15" t="s">
        <v>835</v>
      </c>
      <c r="D996" s="15" t="s">
        <v>836</v>
      </c>
      <c r="E996" s="15"/>
      <c r="F996" s="15" t="s">
        <v>832</v>
      </c>
      <c r="G996" s="15" t="s">
        <v>112</v>
      </c>
      <c r="H996" s="15"/>
    </row>
    <row r="997" customFormat="false" ht="15" hidden="false" customHeight="true" outlineLevel="0" collapsed="false">
      <c r="A997" s="15" t="s">
        <v>278</v>
      </c>
      <c r="B997" s="15" t="s">
        <v>279</v>
      </c>
      <c r="C997" s="15" t="s">
        <v>837</v>
      </c>
      <c r="D997" s="15" t="n">
        <v>10000</v>
      </c>
      <c r="E997" s="15" t="s">
        <v>838</v>
      </c>
      <c r="F997" s="15" t="s">
        <v>832</v>
      </c>
      <c r="G997" s="15" t="s">
        <v>112</v>
      </c>
      <c r="H997" s="15"/>
    </row>
    <row r="998" customFormat="false" ht="26.25" hidden="false" customHeight="true" outlineLevel="0" collapsed="false">
      <c r="A998" s="15" t="s">
        <v>278</v>
      </c>
      <c r="B998" s="15" t="s">
        <v>279</v>
      </c>
      <c r="C998" s="15" t="s">
        <v>839</v>
      </c>
      <c r="D998" s="15" t="s">
        <v>840</v>
      </c>
      <c r="E998" s="15"/>
      <c r="F998" s="15" t="s">
        <v>832</v>
      </c>
      <c r="G998" s="15" t="s">
        <v>112</v>
      </c>
      <c r="H998" s="15"/>
    </row>
    <row r="999" customFormat="false" ht="15" hidden="false" customHeight="true" outlineLevel="0" collapsed="false">
      <c r="A999" s="15" t="s">
        <v>278</v>
      </c>
      <c r="B999" s="15" t="s">
        <v>279</v>
      </c>
      <c r="C999" s="15" t="s">
        <v>841</v>
      </c>
      <c r="D999" s="15" t="s">
        <v>842</v>
      </c>
      <c r="E999" s="15"/>
      <c r="F999" s="15" t="s">
        <v>832</v>
      </c>
      <c r="G999" s="15" t="s">
        <v>112</v>
      </c>
      <c r="H999" s="15"/>
    </row>
    <row r="1000" customFormat="false" ht="15" hidden="false" customHeight="true" outlineLevel="0" collapsed="false">
      <c r="A1000" s="15" t="s">
        <v>278</v>
      </c>
      <c r="B1000" s="15" t="s">
        <v>279</v>
      </c>
      <c r="C1000" s="15" t="s">
        <v>843</v>
      </c>
      <c r="D1000" s="15" t="s">
        <v>844</v>
      </c>
      <c r="E1000" s="15"/>
      <c r="F1000" s="15" t="s">
        <v>825</v>
      </c>
      <c r="G1000" s="15" t="s">
        <v>112</v>
      </c>
      <c r="H1000" s="15"/>
    </row>
    <row r="1001" customFormat="false" ht="15" hidden="false" customHeight="true" outlineLevel="0" collapsed="false">
      <c r="A1001" s="15" t="s">
        <v>278</v>
      </c>
      <c r="B1001" s="15" t="s">
        <v>279</v>
      </c>
      <c r="C1001" s="15" t="s">
        <v>737</v>
      </c>
      <c r="D1001" s="15" t="n">
        <v>170</v>
      </c>
      <c r="E1001" s="15" t="s">
        <v>738</v>
      </c>
      <c r="F1001" s="15" t="s">
        <v>825</v>
      </c>
      <c r="G1001" s="15" t="s">
        <v>112</v>
      </c>
      <c r="H1001" s="15"/>
    </row>
    <row r="1002" customFormat="false" ht="15" hidden="false" customHeight="true" outlineLevel="0" collapsed="false">
      <c r="A1002" s="15" t="s">
        <v>278</v>
      </c>
      <c r="B1002" s="15" t="s">
        <v>279</v>
      </c>
      <c r="C1002" s="15" t="s">
        <v>739</v>
      </c>
      <c r="D1002" s="15" t="n">
        <v>140</v>
      </c>
      <c r="E1002" s="15" t="s">
        <v>738</v>
      </c>
      <c r="F1002" s="15" t="s">
        <v>825</v>
      </c>
      <c r="G1002" s="15" t="s">
        <v>112</v>
      </c>
      <c r="H1002" s="15"/>
    </row>
    <row r="1003" customFormat="false" ht="26.25" hidden="false" customHeight="true" outlineLevel="0" collapsed="false">
      <c r="A1003" s="15" t="s">
        <v>278</v>
      </c>
      <c r="B1003" s="15" t="s">
        <v>279</v>
      </c>
      <c r="C1003" s="15" t="s">
        <v>740</v>
      </c>
      <c r="D1003" s="15" t="n">
        <v>6</v>
      </c>
      <c r="E1003" s="15" t="s">
        <v>741</v>
      </c>
      <c r="F1003" s="15" t="s">
        <v>825</v>
      </c>
      <c r="G1003" s="15" t="s">
        <v>112</v>
      </c>
      <c r="H1003" s="15"/>
    </row>
    <row r="1004" customFormat="false" ht="15" hidden="false" customHeight="true" outlineLevel="0" collapsed="false">
      <c r="A1004" s="15" t="s">
        <v>278</v>
      </c>
      <c r="B1004" s="15" t="s">
        <v>279</v>
      </c>
      <c r="C1004" s="15" t="s">
        <v>742</v>
      </c>
      <c r="D1004" s="15" t="n">
        <v>8.7</v>
      </c>
      <c r="E1004" s="15" t="s">
        <v>741</v>
      </c>
      <c r="F1004" s="15" t="s">
        <v>825</v>
      </c>
      <c r="G1004" s="15" t="s">
        <v>112</v>
      </c>
      <c r="H1004" s="15"/>
    </row>
    <row r="1005" customFormat="false" ht="26.25" hidden="false" customHeight="true" outlineLevel="0" collapsed="false">
      <c r="A1005" s="15" t="s">
        <v>278</v>
      </c>
      <c r="B1005" s="15" t="s">
        <v>279</v>
      </c>
      <c r="C1005" s="15" t="s">
        <v>733</v>
      </c>
      <c r="D1005" s="15" t="s">
        <v>734</v>
      </c>
      <c r="E1005" s="15"/>
      <c r="F1005" s="15" t="s">
        <v>845</v>
      </c>
      <c r="G1005" s="15" t="s">
        <v>112</v>
      </c>
      <c r="H1005" s="15" t="s">
        <v>846</v>
      </c>
    </row>
    <row r="1006" customFormat="false" ht="15" hidden="false" customHeight="true" outlineLevel="0" collapsed="false">
      <c r="A1006" s="15" t="s">
        <v>278</v>
      </c>
      <c r="B1006" s="15" t="s">
        <v>279</v>
      </c>
      <c r="C1006" s="15" t="s">
        <v>785</v>
      </c>
      <c r="D1006" s="15" t="n">
        <v>307</v>
      </c>
      <c r="E1006" s="15" t="s">
        <v>786</v>
      </c>
      <c r="F1006" s="15" t="s">
        <v>828</v>
      </c>
      <c r="G1006" s="15" t="s">
        <v>112</v>
      </c>
      <c r="H1006" s="15"/>
    </row>
    <row r="1007" customFormat="false" ht="15" hidden="false" customHeight="true" outlineLevel="0" collapsed="false">
      <c r="A1007" s="15" t="s">
        <v>278</v>
      </c>
      <c r="B1007" s="15" t="s">
        <v>279</v>
      </c>
      <c r="C1007" s="15" t="s">
        <v>86</v>
      </c>
      <c r="D1007" s="15" t="n">
        <v>6</v>
      </c>
      <c r="E1007" s="15" t="s">
        <v>721</v>
      </c>
      <c r="F1007" s="15" t="s">
        <v>825</v>
      </c>
      <c r="G1007" s="15" t="s">
        <v>112</v>
      </c>
      <c r="H1007" s="15"/>
    </row>
    <row r="1008" customFormat="false" ht="15" hidden="false" customHeight="true" outlineLevel="0" collapsed="false">
      <c r="A1008" s="15" t="s">
        <v>278</v>
      </c>
      <c r="B1008" s="15" t="s">
        <v>279</v>
      </c>
      <c r="C1008" s="15" t="s">
        <v>764</v>
      </c>
      <c r="D1008" s="15" t="s">
        <v>755</v>
      </c>
      <c r="E1008" s="15"/>
      <c r="F1008" s="15" t="s">
        <v>825</v>
      </c>
      <c r="G1008" s="15" t="s">
        <v>112</v>
      </c>
      <c r="H1008" s="15"/>
    </row>
    <row r="1009" customFormat="false" ht="15" hidden="false" customHeight="true" outlineLevel="0" collapsed="false">
      <c r="A1009" s="15" t="s">
        <v>278</v>
      </c>
      <c r="B1009" s="15" t="s">
        <v>279</v>
      </c>
      <c r="C1009" s="15" t="s">
        <v>749</v>
      </c>
      <c r="D1009" s="15" t="s">
        <v>120</v>
      </c>
      <c r="E1009" s="15"/>
      <c r="F1009" s="15" t="s">
        <v>825</v>
      </c>
      <c r="G1009" s="15" t="s">
        <v>112</v>
      </c>
      <c r="H1009" s="15"/>
    </row>
    <row r="1010" customFormat="false" ht="15" hidden="false" customHeight="true" outlineLevel="0" collapsed="false">
      <c r="A1010" s="15" t="s">
        <v>278</v>
      </c>
      <c r="B1010" s="15" t="s">
        <v>279</v>
      </c>
      <c r="C1010" s="15" t="s">
        <v>752</v>
      </c>
      <c r="D1010" s="15" t="s">
        <v>753</v>
      </c>
      <c r="E1010" s="15"/>
      <c r="F1010" s="15" t="s">
        <v>825</v>
      </c>
      <c r="G1010" s="15" t="s">
        <v>112</v>
      </c>
      <c r="H1010" s="15"/>
    </row>
    <row r="1011" customFormat="false" ht="15" hidden="false" customHeight="true" outlineLevel="0" collapsed="false">
      <c r="A1011" s="15" t="s">
        <v>278</v>
      </c>
      <c r="B1011" s="15" t="s">
        <v>279</v>
      </c>
      <c r="C1011" s="15" t="s">
        <v>754</v>
      </c>
      <c r="D1011" s="15" t="s">
        <v>755</v>
      </c>
      <c r="E1011" s="15"/>
      <c r="F1011" s="15" t="s">
        <v>825</v>
      </c>
      <c r="G1011" s="15" t="s">
        <v>112</v>
      </c>
      <c r="H1011" s="15"/>
    </row>
    <row r="1012" customFormat="false" ht="15" hidden="false" customHeight="true" outlineLevel="0" collapsed="false">
      <c r="A1012" s="15" t="s">
        <v>278</v>
      </c>
      <c r="B1012" s="15" t="s">
        <v>279</v>
      </c>
      <c r="C1012" s="15" t="s">
        <v>756</v>
      </c>
      <c r="D1012" s="15" t="s">
        <v>847</v>
      </c>
      <c r="E1012" s="15"/>
      <c r="F1012" s="15" t="s">
        <v>825</v>
      </c>
      <c r="G1012" s="15" t="s">
        <v>112</v>
      </c>
      <c r="H1012" s="15"/>
    </row>
    <row r="1013" customFormat="false" ht="15" hidden="false" customHeight="true" outlineLevel="0" collapsed="false">
      <c r="A1013" s="15" t="s">
        <v>278</v>
      </c>
      <c r="B1013" s="15" t="s">
        <v>279</v>
      </c>
      <c r="C1013" s="15" t="s">
        <v>757</v>
      </c>
      <c r="D1013" s="15" t="s">
        <v>758</v>
      </c>
      <c r="E1013" s="15"/>
      <c r="F1013" s="15" t="s">
        <v>825</v>
      </c>
      <c r="G1013" s="15" t="s">
        <v>112</v>
      </c>
      <c r="H1013" s="15"/>
    </row>
    <row r="1014" customFormat="false" ht="15" hidden="false" customHeight="true" outlineLevel="0" collapsed="false">
      <c r="A1014" s="15" t="s">
        <v>278</v>
      </c>
      <c r="B1014" s="15" t="s">
        <v>279</v>
      </c>
      <c r="C1014" s="15" t="s">
        <v>759</v>
      </c>
      <c r="D1014" s="15" t="s">
        <v>760</v>
      </c>
      <c r="E1014" s="15"/>
      <c r="F1014" s="15" t="s">
        <v>825</v>
      </c>
      <c r="G1014" s="15" t="s">
        <v>112</v>
      </c>
      <c r="H1014" s="15"/>
    </row>
    <row r="1015" customFormat="false" ht="15" hidden="false" customHeight="true" outlineLevel="0" collapsed="false">
      <c r="A1015" s="15" t="s">
        <v>278</v>
      </c>
      <c r="B1015" s="15" t="s">
        <v>279</v>
      </c>
      <c r="C1015" s="15" t="s">
        <v>761</v>
      </c>
      <c r="D1015" s="15" t="s">
        <v>755</v>
      </c>
      <c r="E1015" s="15"/>
      <c r="F1015" s="15" t="s">
        <v>825</v>
      </c>
      <c r="G1015" s="15" t="s">
        <v>112</v>
      </c>
      <c r="H1015" s="15"/>
    </row>
    <row r="1016" customFormat="false" ht="15" hidden="false" customHeight="true" outlineLevel="0" collapsed="false">
      <c r="A1016" s="15" t="s">
        <v>278</v>
      </c>
      <c r="B1016" s="15" t="s">
        <v>279</v>
      </c>
      <c r="C1016" s="15" t="s">
        <v>762</v>
      </c>
      <c r="D1016" s="15" t="s">
        <v>755</v>
      </c>
      <c r="E1016" s="15"/>
      <c r="F1016" s="15" t="s">
        <v>825</v>
      </c>
      <c r="G1016" s="15" t="s">
        <v>112</v>
      </c>
      <c r="H1016" s="15"/>
    </row>
    <row r="1017" customFormat="false" ht="15" hidden="false" customHeight="true" outlineLevel="0" collapsed="false">
      <c r="A1017" s="15" t="s">
        <v>278</v>
      </c>
      <c r="B1017" s="15" t="s">
        <v>279</v>
      </c>
      <c r="C1017" s="15" t="s">
        <v>92</v>
      </c>
      <c r="D1017" s="15" t="s">
        <v>755</v>
      </c>
      <c r="E1017" s="15"/>
      <c r="F1017" s="15" t="s">
        <v>825</v>
      </c>
      <c r="G1017" s="15" t="s">
        <v>112</v>
      </c>
      <c r="H1017" s="15"/>
    </row>
    <row r="1018" customFormat="false" ht="15" hidden="false" customHeight="true" outlineLevel="0" collapsed="false">
      <c r="A1018" s="15" t="s">
        <v>278</v>
      </c>
      <c r="B1018" s="15" t="s">
        <v>279</v>
      </c>
      <c r="C1018" s="15" t="s">
        <v>763</v>
      </c>
      <c r="D1018" s="15" t="s">
        <v>755</v>
      </c>
      <c r="E1018" s="15"/>
      <c r="F1018" s="15" t="s">
        <v>825</v>
      </c>
      <c r="G1018" s="15" t="s">
        <v>112</v>
      </c>
      <c r="H1018" s="15"/>
    </row>
    <row r="1019" customFormat="false" ht="15" hidden="false" customHeight="true" outlineLevel="0" collapsed="false">
      <c r="A1019" s="15" t="s">
        <v>278</v>
      </c>
      <c r="B1019" s="15" t="s">
        <v>279</v>
      </c>
      <c r="C1019" s="15" t="s">
        <v>848</v>
      </c>
      <c r="D1019" s="15" t="s">
        <v>849</v>
      </c>
      <c r="E1019" s="15"/>
      <c r="F1019" s="15" t="s">
        <v>825</v>
      </c>
      <c r="G1019" s="15" t="s">
        <v>112</v>
      </c>
      <c r="H1019" s="15"/>
    </row>
    <row r="1020" customFormat="false" ht="15" hidden="false" customHeight="true" outlineLevel="0" collapsed="false">
      <c r="A1020" s="15" t="s">
        <v>278</v>
      </c>
      <c r="B1020" s="15" t="s">
        <v>279</v>
      </c>
      <c r="C1020" s="15" t="s">
        <v>747</v>
      </c>
      <c r="D1020" s="15" t="s">
        <v>850</v>
      </c>
      <c r="E1020" s="15"/>
      <c r="F1020" s="15" t="s">
        <v>825</v>
      </c>
      <c r="G1020" s="15" t="s">
        <v>112</v>
      </c>
      <c r="H1020" s="15"/>
    </row>
    <row r="1021" customFormat="false" ht="15" hidden="false" customHeight="true" outlineLevel="0" collapsed="false">
      <c r="A1021" s="15" t="s">
        <v>278</v>
      </c>
      <c r="B1021" s="15" t="s">
        <v>279</v>
      </c>
      <c r="C1021" s="15" t="s">
        <v>851</v>
      </c>
      <c r="D1021" s="15" t="s">
        <v>852</v>
      </c>
      <c r="E1021" s="15"/>
      <c r="F1021" s="15" t="s">
        <v>825</v>
      </c>
      <c r="G1021" s="15" t="s">
        <v>112</v>
      </c>
      <c r="H1021" s="15"/>
    </row>
    <row r="1022" customFormat="false" ht="15" hidden="false" customHeight="true" outlineLevel="0" collapsed="false">
      <c r="A1022" s="15" t="s">
        <v>278</v>
      </c>
      <c r="B1022" s="15" t="s">
        <v>279</v>
      </c>
      <c r="C1022" s="15" t="s">
        <v>853</v>
      </c>
      <c r="D1022" s="15" t="s">
        <v>120</v>
      </c>
      <c r="E1022" s="15"/>
      <c r="F1022" s="15" t="s">
        <v>825</v>
      </c>
      <c r="G1022" s="15" t="s">
        <v>112</v>
      </c>
      <c r="H1022" s="15"/>
    </row>
    <row r="1023" customFormat="false" ht="15" hidden="false" customHeight="true" outlineLevel="0" collapsed="false">
      <c r="A1023" s="15" t="s">
        <v>278</v>
      </c>
      <c r="B1023" s="15" t="s">
        <v>279</v>
      </c>
      <c r="C1023" s="15" t="s">
        <v>854</v>
      </c>
      <c r="D1023" s="15" t="s">
        <v>755</v>
      </c>
      <c r="E1023" s="15"/>
      <c r="F1023" s="15" t="s">
        <v>825</v>
      </c>
      <c r="G1023" s="15" t="s">
        <v>112</v>
      </c>
      <c r="H1023" s="15"/>
    </row>
    <row r="1024" customFormat="false" ht="15" hidden="false" customHeight="true" outlineLevel="0" collapsed="false">
      <c r="A1024" s="15" t="s">
        <v>278</v>
      </c>
      <c r="B1024" s="15" t="s">
        <v>279</v>
      </c>
      <c r="C1024" s="15" t="s">
        <v>855</v>
      </c>
      <c r="D1024" s="15" t="s">
        <v>856</v>
      </c>
      <c r="E1024" s="15"/>
      <c r="F1024" s="15" t="s">
        <v>825</v>
      </c>
      <c r="G1024" s="15" t="s">
        <v>112</v>
      </c>
      <c r="H1024" s="15"/>
    </row>
    <row r="1025" customFormat="false" ht="15" hidden="false" customHeight="true" outlineLevel="0" collapsed="false">
      <c r="A1025" s="15" t="s">
        <v>278</v>
      </c>
      <c r="B1025" s="15" t="s">
        <v>279</v>
      </c>
      <c r="C1025" s="15" t="s">
        <v>857</v>
      </c>
      <c r="D1025" s="15" t="s">
        <v>755</v>
      </c>
      <c r="E1025" s="15"/>
      <c r="F1025" s="15" t="s">
        <v>825</v>
      </c>
      <c r="G1025" s="15" t="s">
        <v>112</v>
      </c>
      <c r="H1025" s="15"/>
    </row>
    <row r="1026" customFormat="false" ht="15" hidden="false" customHeight="true" outlineLevel="0" collapsed="false">
      <c r="A1026" s="15" t="s">
        <v>261</v>
      </c>
      <c r="B1026" s="15" t="s">
        <v>262</v>
      </c>
      <c r="C1026" s="15" t="s">
        <v>769</v>
      </c>
      <c r="D1026" s="15" t="n">
        <v>5</v>
      </c>
      <c r="E1026" s="15" t="s">
        <v>721</v>
      </c>
      <c r="F1026" s="15" t="s">
        <v>824</v>
      </c>
      <c r="G1026" s="15" t="s">
        <v>112</v>
      </c>
      <c r="H1026" s="15"/>
    </row>
    <row r="1027" customFormat="false" ht="15" hidden="false" customHeight="true" outlineLevel="0" collapsed="false">
      <c r="A1027" s="15" t="s">
        <v>261</v>
      </c>
      <c r="B1027" s="15" t="s">
        <v>262</v>
      </c>
      <c r="C1027" s="15" t="s">
        <v>714</v>
      </c>
      <c r="D1027" s="15" t="n">
        <v>380</v>
      </c>
      <c r="E1027" s="15" t="s">
        <v>715</v>
      </c>
      <c r="F1027" s="15" t="s">
        <v>825</v>
      </c>
      <c r="G1027" s="15" t="s">
        <v>112</v>
      </c>
      <c r="H1027" s="15"/>
    </row>
    <row r="1028" customFormat="false" ht="15" hidden="false" customHeight="true" outlineLevel="0" collapsed="false">
      <c r="A1028" s="15" t="s">
        <v>261</v>
      </c>
      <c r="B1028" s="15" t="s">
        <v>262</v>
      </c>
      <c r="C1028" s="15" t="s">
        <v>718</v>
      </c>
      <c r="D1028" s="15" t="s">
        <v>113</v>
      </c>
      <c r="E1028" s="15"/>
      <c r="F1028" s="15" t="s">
        <v>825</v>
      </c>
      <c r="G1028" s="15" t="s">
        <v>112</v>
      </c>
      <c r="H1028" s="15"/>
    </row>
    <row r="1029" customFormat="false" ht="15" hidden="false" customHeight="true" outlineLevel="0" collapsed="false">
      <c r="A1029" s="15" t="s">
        <v>261</v>
      </c>
      <c r="B1029" s="15" t="s">
        <v>262</v>
      </c>
      <c r="C1029" s="15" t="s">
        <v>826</v>
      </c>
      <c r="D1029" s="15" t="s">
        <v>827</v>
      </c>
      <c r="E1029" s="15"/>
      <c r="F1029" s="15" t="s">
        <v>825</v>
      </c>
      <c r="G1029" s="15" t="s">
        <v>112</v>
      </c>
      <c r="H1029" s="15"/>
    </row>
    <row r="1030" customFormat="false" ht="15" hidden="false" customHeight="true" outlineLevel="0" collapsed="false">
      <c r="A1030" s="15" t="s">
        <v>261</v>
      </c>
      <c r="B1030" s="15" t="s">
        <v>262</v>
      </c>
      <c r="C1030" s="15" t="s">
        <v>719</v>
      </c>
      <c r="D1030" s="15" t="n">
        <v>20</v>
      </c>
      <c r="E1030" s="15" t="s">
        <v>720</v>
      </c>
      <c r="F1030" s="15" t="s">
        <v>825</v>
      </c>
      <c r="G1030" s="15" t="s">
        <v>112</v>
      </c>
      <c r="H1030" s="15"/>
    </row>
    <row r="1031" customFormat="false" ht="15" hidden="false" customHeight="true" outlineLevel="0" collapsed="false">
      <c r="A1031" s="15" t="s">
        <v>261</v>
      </c>
      <c r="B1031" s="15" t="s">
        <v>262</v>
      </c>
      <c r="C1031" s="15" t="s">
        <v>722</v>
      </c>
      <c r="D1031" s="15" t="n">
        <v>663</v>
      </c>
      <c r="E1031" s="15" t="s">
        <v>723</v>
      </c>
      <c r="F1031" s="15" t="s">
        <v>825</v>
      </c>
      <c r="G1031" s="15" t="s">
        <v>112</v>
      </c>
      <c r="H1031" s="15"/>
    </row>
    <row r="1032" customFormat="false" ht="15" hidden="false" customHeight="true" outlineLevel="0" collapsed="false">
      <c r="A1032" s="15" t="s">
        <v>261</v>
      </c>
      <c r="B1032" s="15" t="s">
        <v>262</v>
      </c>
      <c r="C1032" s="15" t="s">
        <v>724</v>
      </c>
      <c r="D1032" s="15" t="n">
        <v>150</v>
      </c>
      <c r="E1032" s="15" t="s">
        <v>723</v>
      </c>
      <c r="F1032" s="15" t="s">
        <v>825</v>
      </c>
      <c r="G1032" s="15" t="s">
        <v>112</v>
      </c>
      <c r="H1032" s="15"/>
    </row>
    <row r="1033" customFormat="false" ht="15" hidden="false" customHeight="true" outlineLevel="0" collapsed="false">
      <c r="A1033" s="15" t="s">
        <v>261</v>
      </c>
      <c r="B1033" s="15" t="s">
        <v>262</v>
      </c>
      <c r="C1033" s="15" t="s">
        <v>84</v>
      </c>
      <c r="D1033" s="15" t="n">
        <v>207</v>
      </c>
      <c r="E1033" s="15" t="s">
        <v>725</v>
      </c>
      <c r="F1033" s="15" t="s">
        <v>825</v>
      </c>
      <c r="G1033" s="15" t="s">
        <v>112</v>
      </c>
      <c r="H1033" s="15"/>
    </row>
    <row r="1034" customFormat="false" ht="15" hidden="false" customHeight="true" outlineLevel="0" collapsed="false">
      <c r="A1034" s="15" t="s">
        <v>261</v>
      </c>
      <c r="B1034" s="15" t="s">
        <v>262</v>
      </c>
      <c r="C1034" s="15" t="s">
        <v>726</v>
      </c>
      <c r="D1034" s="15" t="n">
        <v>4789</v>
      </c>
      <c r="E1034" s="15" t="s">
        <v>725</v>
      </c>
      <c r="F1034" s="15" t="s">
        <v>825</v>
      </c>
      <c r="G1034" s="15" t="s">
        <v>112</v>
      </c>
      <c r="H1034" s="15"/>
    </row>
    <row r="1035" customFormat="false" ht="15" hidden="false" customHeight="true" outlineLevel="0" collapsed="false">
      <c r="A1035" s="15" t="s">
        <v>261</v>
      </c>
      <c r="B1035" s="15" t="s">
        <v>262</v>
      </c>
      <c r="C1035" s="15" t="s">
        <v>727</v>
      </c>
      <c r="D1035" s="15" t="n">
        <v>1907</v>
      </c>
      <c r="E1035" s="15" t="s">
        <v>725</v>
      </c>
      <c r="F1035" s="15" t="s">
        <v>825</v>
      </c>
      <c r="G1035" s="15" t="s">
        <v>112</v>
      </c>
      <c r="H1035" s="15"/>
    </row>
    <row r="1036" customFormat="false" ht="15" hidden="false" customHeight="true" outlineLevel="0" collapsed="false">
      <c r="A1036" s="15" t="s">
        <v>261</v>
      </c>
      <c r="B1036" s="15" t="s">
        <v>262</v>
      </c>
      <c r="C1036" s="15" t="s">
        <v>728</v>
      </c>
      <c r="D1036" s="15" t="n">
        <v>1694</v>
      </c>
      <c r="E1036" s="15" t="s">
        <v>725</v>
      </c>
      <c r="F1036" s="15" t="s">
        <v>825</v>
      </c>
      <c r="G1036" s="15" t="s">
        <v>112</v>
      </c>
      <c r="H1036" s="15"/>
    </row>
    <row r="1037" customFormat="false" ht="15" hidden="false" customHeight="true" outlineLevel="0" collapsed="false">
      <c r="A1037" s="15" t="s">
        <v>261</v>
      </c>
      <c r="B1037" s="15" t="s">
        <v>262</v>
      </c>
      <c r="C1037" s="15" t="s">
        <v>729</v>
      </c>
      <c r="D1037" s="15" t="n">
        <v>2775</v>
      </c>
      <c r="E1037" s="15" t="s">
        <v>725</v>
      </c>
      <c r="F1037" s="15" t="s">
        <v>825</v>
      </c>
      <c r="G1037" s="15" t="s">
        <v>112</v>
      </c>
      <c r="H1037" s="15"/>
    </row>
    <row r="1038" customFormat="false" ht="15" hidden="false" customHeight="true" outlineLevel="0" collapsed="false">
      <c r="A1038" s="15" t="s">
        <v>261</v>
      </c>
      <c r="B1038" s="15" t="s">
        <v>262</v>
      </c>
      <c r="C1038" s="15" t="s">
        <v>730</v>
      </c>
      <c r="D1038" s="15" t="n">
        <v>10</v>
      </c>
      <c r="E1038" s="15" t="s">
        <v>731</v>
      </c>
      <c r="F1038" s="15" t="s">
        <v>825</v>
      </c>
      <c r="G1038" s="15" t="s">
        <v>112</v>
      </c>
      <c r="H1038" s="15"/>
    </row>
    <row r="1039" customFormat="false" ht="15" hidden="false" customHeight="true" outlineLevel="0" collapsed="false">
      <c r="A1039" s="15" t="s">
        <v>261</v>
      </c>
      <c r="B1039" s="15" t="s">
        <v>262</v>
      </c>
      <c r="C1039" s="15" t="s">
        <v>776</v>
      </c>
      <c r="D1039" s="15" t="s">
        <v>800</v>
      </c>
      <c r="E1039" s="15"/>
      <c r="F1039" s="15" t="s">
        <v>825</v>
      </c>
      <c r="G1039" s="15" t="s">
        <v>112</v>
      </c>
      <c r="H1039" s="15"/>
    </row>
    <row r="1040" customFormat="false" ht="15" hidden="false" customHeight="true" outlineLevel="0" collapsed="false">
      <c r="A1040" s="15" t="s">
        <v>261</v>
      </c>
      <c r="B1040" s="15" t="s">
        <v>262</v>
      </c>
      <c r="C1040" s="15" t="s">
        <v>780</v>
      </c>
      <c r="D1040" s="15" t="s">
        <v>781</v>
      </c>
      <c r="E1040" s="15"/>
      <c r="F1040" s="15" t="s">
        <v>825</v>
      </c>
      <c r="G1040" s="15" t="s">
        <v>112</v>
      </c>
      <c r="H1040" s="15"/>
    </row>
    <row r="1041" customFormat="false" ht="15" hidden="false" customHeight="true" outlineLevel="0" collapsed="false">
      <c r="A1041" s="15" t="s">
        <v>261</v>
      </c>
      <c r="B1041" s="15" t="s">
        <v>262</v>
      </c>
      <c r="C1041" s="15" t="s">
        <v>789</v>
      </c>
      <c r="D1041" s="15" t="s">
        <v>790</v>
      </c>
      <c r="E1041" s="15"/>
      <c r="F1041" s="15" t="s">
        <v>825</v>
      </c>
      <c r="G1041" s="15" t="s">
        <v>112</v>
      </c>
      <c r="H1041" s="15"/>
    </row>
    <row r="1042" customFormat="false" ht="15" hidden="false" customHeight="true" outlineLevel="0" collapsed="false">
      <c r="A1042" s="15" t="s">
        <v>261</v>
      </c>
      <c r="B1042" s="15" t="s">
        <v>262</v>
      </c>
      <c r="C1042" s="15" t="s">
        <v>784</v>
      </c>
      <c r="D1042" s="15" t="n">
        <v>11</v>
      </c>
      <c r="E1042" s="15" t="s">
        <v>738</v>
      </c>
      <c r="F1042" s="15" t="s">
        <v>828</v>
      </c>
      <c r="G1042" s="15" t="s">
        <v>112</v>
      </c>
      <c r="H1042" s="15"/>
    </row>
    <row r="1043" customFormat="false" ht="15" hidden="false" customHeight="true" outlineLevel="0" collapsed="false">
      <c r="A1043" s="15" t="s">
        <v>261</v>
      </c>
      <c r="B1043" s="15" t="s">
        <v>262</v>
      </c>
      <c r="C1043" s="15" t="s">
        <v>782</v>
      </c>
      <c r="D1043" s="15" t="n">
        <v>36</v>
      </c>
      <c r="E1043" s="15" t="s">
        <v>783</v>
      </c>
      <c r="F1043" s="15" t="s">
        <v>828</v>
      </c>
      <c r="G1043" s="15" t="s">
        <v>112</v>
      </c>
      <c r="H1043" s="15"/>
    </row>
    <row r="1044" customFormat="false" ht="26.25" hidden="false" customHeight="true" outlineLevel="0" collapsed="false">
      <c r="A1044" s="15" t="s">
        <v>261</v>
      </c>
      <c r="B1044" s="15" t="s">
        <v>262</v>
      </c>
      <c r="C1044" s="15" t="s">
        <v>98</v>
      </c>
      <c r="D1044" s="15" t="s">
        <v>732</v>
      </c>
      <c r="E1044" s="15"/>
      <c r="F1044" s="15" t="s">
        <v>829</v>
      </c>
      <c r="G1044" s="15" t="s">
        <v>112</v>
      </c>
      <c r="H1044" s="15"/>
    </row>
    <row r="1045" customFormat="false" ht="26.25" hidden="false" customHeight="true" outlineLevel="0" collapsed="false">
      <c r="A1045" s="15" t="s">
        <v>261</v>
      </c>
      <c r="B1045" s="15" t="s">
        <v>262</v>
      </c>
      <c r="C1045" s="15" t="s">
        <v>830</v>
      </c>
      <c r="D1045" s="15" t="s">
        <v>831</v>
      </c>
      <c r="E1045" s="15"/>
      <c r="F1045" s="15" t="s">
        <v>832</v>
      </c>
      <c r="G1045" s="15" t="s">
        <v>112</v>
      </c>
      <c r="H1045" s="15"/>
    </row>
    <row r="1046" customFormat="false" ht="15" hidden="false" customHeight="true" outlineLevel="0" collapsed="false">
      <c r="A1046" s="15" t="s">
        <v>261</v>
      </c>
      <c r="B1046" s="15" t="s">
        <v>262</v>
      </c>
      <c r="C1046" s="15" t="s">
        <v>833</v>
      </c>
      <c r="D1046" s="15" t="s">
        <v>834</v>
      </c>
      <c r="E1046" s="15"/>
      <c r="F1046" s="15" t="s">
        <v>832</v>
      </c>
      <c r="G1046" s="15" t="s">
        <v>112</v>
      </c>
      <c r="H1046" s="15"/>
    </row>
    <row r="1047" customFormat="false" ht="15" hidden="false" customHeight="true" outlineLevel="0" collapsed="false">
      <c r="A1047" s="15" t="s">
        <v>261</v>
      </c>
      <c r="B1047" s="15" t="s">
        <v>262</v>
      </c>
      <c r="C1047" s="15" t="s">
        <v>835</v>
      </c>
      <c r="D1047" s="15" t="s">
        <v>836</v>
      </c>
      <c r="E1047" s="15"/>
      <c r="F1047" s="15" t="s">
        <v>832</v>
      </c>
      <c r="G1047" s="15" t="s">
        <v>112</v>
      </c>
      <c r="H1047" s="15"/>
    </row>
    <row r="1048" customFormat="false" ht="15" hidden="false" customHeight="true" outlineLevel="0" collapsed="false">
      <c r="A1048" s="15" t="s">
        <v>261</v>
      </c>
      <c r="B1048" s="15" t="s">
        <v>262</v>
      </c>
      <c r="C1048" s="15" t="s">
        <v>837</v>
      </c>
      <c r="D1048" s="15" t="n">
        <v>10000</v>
      </c>
      <c r="E1048" s="15" t="s">
        <v>838</v>
      </c>
      <c r="F1048" s="15" t="s">
        <v>832</v>
      </c>
      <c r="G1048" s="15" t="s">
        <v>112</v>
      </c>
      <c r="H1048" s="15"/>
    </row>
    <row r="1049" customFormat="false" ht="26.25" hidden="false" customHeight="true" outlineLevel="0" collapsed="false">
      <c r="A1049" s="15" t="s">
        <v>261</v>
      </c>
      <c r="B1049" s="15" t="s">
        <v>262</v>
      </c>
      <c r="C1049" s="15" t="s">
        <v>839</v>
      </c>
      <c r="D1049" s="15" t="s">
        <v>840</v>
      </c>
      <c r="E1049" s="15"/>
      <c r="F1049" s="15" t="s">
        <v>832</v>
      </c>
      <c r="G1049" s="15" t="s">
        <v>112</v>
      </c>
      <c r="H1049" s="15"/>
    </row>
    <row r="1050" customFormat="false" ht="15" hidden="false" customHeight="true" outlineLevel="0" collapsed="false">
      <c r="A1050" s="15" t="s">
        <v>261</v>
      </c>
      <c r="B1050" s="15" t="s">
        <v>262</v>
      </c>
      <c r="C1050" s="15" t="s">
        <v>841</v>
      </c>
      <c r="D1050" s="15" t="s">
        <v>842</v>
      </c>
      <c r="E1050" s="15"/>
      <c r="F1050" s="15" t="s">
        <v>832</v>
      </c>
      <c r="G1050" s="15" t="s">
        <v>112</v>
      </c>
      <c r="H1050" s="15"/>
    </row>
    <row r="1051" customFormat="false" ht="15" hidden="false" customHeight="true" outlineLevel="0" collapsed="false">
      <c r="A1051" s="15" t="s">
        <v>261</v>
      </c>
      <c r="B1051" s="15" t="s">
        <v>262</v>
      </c>
      <c r="C1051" s="15" t="s">
        <v>843</v>
      </c>
      <c r="D1051" s="15" t="s">
        <v>844</v>
      </c>
      <c r="E1051" s="15"/>
      <c r="F1051" s="15" t="s">
        <v>825</v>
      </c>
      <c r="G1051" s="15" t="s">
        <v>112</v>
      </c>
      <c r="H1051" s="15"/>
    </row>
    <row r="1052" customFormat="false" ht="15" hidden="false" customHeight="true" outlineLevel="0" collapsed="false">
      <c r="A1052" s="15" t="s">
        <v>261</v>
      </c>
      <c r="B1052" s="15" t="s">
        <v>262</v>
      </c>
      <c r="C1052" s="15" t="s">
        <v>737</v>
      </c>
      <c r="D1052" s="15" t="n">
        <v>170</v>
      </c>
      <c r="E1052" s="15" t="s">
        <v>738</v>
      </c>
      <c r="F1052" s="15" t="s">
        <v>825</v>
      </c>
      <c r="G1052" s="15" t="s">
        <v>112</v>
      </c>
      <c r="H1052" s="15"/>
    </row>
    <row r="1053" customFormat="false" ht="15" hidden="false" customHeight="true" outlineLevel="0" collapsed="false">
      <c r="A1053" s="15" t="s">
        <v>261</v>
      </c>
      <c r="B1053" s="15" t="s">
        <v>262</v>
      </c>
      <c r="C1053" s="15" t="s">
        <v>739</v>
      </c>
      <c r="D1053" s="15" t="n">
        <v>140</v>
      </c>
      <c r="E1053" s="15" t="s">
        <v>738</v>
      </c>
      <c r="F1053" s="15" t="s">
        <v>825</v>
      </c>
      <c r="G1053" s="15" t="s">
        <v>112</v>
      </c>
      <c r="H1053" s="15"/>
    </row>
    <row r="1054" customFormat="false" ht="26.25" hidden="false" customHeight="true" outlineLevel="0" collapsed="false">
      <c r="A1054" s="15" t="s">
        <v>261</v>
      </c>
      <c r="B1054" s="15" t="s">
        <v>262</v>
      </c>
      <c r="C1054" s="15" t="s">
        <v>740</v>
      </c>
      <c r="D1054" s="15" t="n">
        <v>6</v>
      </c>
      <c r="E1054" s="15" t="s">
        <v>741</v>
      </c>
      <c r="F1054" s="15" t="s">
        <v>825</v>
      </c>
      <c r="G1054" s="15" t="s">
        <v>112</v>
      </c>
      <c r="H1054" s="15"/>
    </row>
    <row r="1055" customFormat="false" ht="15" hidden="false" customHeight="true" outlineLevel="0" collapsed="false">
      <c r="A1055" s="15" t="s">
        <v>261</v>
      </c>
      <c r="B1055" s="15" t="s">
        <v>262</v>
      </c>
      <c r="C1055" s="15" t="s">
        <v>742</v>
      </c>
      <c r="D1055" s="15" t="n">
        <v>8.7</v>
      </c>
      <c r="E1055" s="15" t="s">
        <v>741</v>
      </c>
      <c r="F1055" s="15" t="s">
        <v>825</v>
      </c>
      <c r="G1055" s="15" t="s">
        <v>112</v>
      </c>
      <c r="H1055" s="15"/>
    </row>
    <row r="1056" customFormat="false" ht="26.25" hidden="false" customHeight="true" outlineLevel="0" collapsed="false">
      <c r="A1056" s="15" t="s">
        <v>261</v>
      </c>
      <c r="B1056" s="15" t="s">
        <v>262</v>
      </c>
      <c r="C1056" s="15" t="s">
        <v>733</v>
      </c>
      <c r="D1056" s="15" t="s">
        <v>734</v>
      </c>
      <c r="E1056" s="15"/>
      <c r="F1056" s="15" t="s">
        <v>845</v>
      </c>
      <c r="G1056" s="15" t="s">
        <v>112</v>
      </c>
      <c r="H1056" s="15" t="s">
        <v>846</v>
      </c>
    </row>
    <row r="1057" customFormat="false" ht="15" hidden="false" customHeight="true" outlineLevel="0" collapsed="false">
      <c r="A1057" s="15" t="s">
        <v>261</v>
      </c>
      <c r="B1057" s="15" t="s">
        <v>262</v>
      </c>
      <c r="C1057" s="15" t="s">
        <v>785</v>
      </c>
      <c r="D1057" s="15" t="n">
        <v>307</v>
      </c>
      <c r="E1057" s="15" t="s">
        <v>786</v>
      </c>
      <c r="F1057" s="15" t="s">
        <v>828</v>
      </c>
      <c r="G1057" s="15" t="s">
        <v>112</v>
      </c>
      <c r="H1057" s="15"/>
    </row>
    <row r="1058" customFormat="false" ht="15" hidden="false" customHeight="true" outlineLevel="0" collapsed="false">
      <c r="A1058" s="15" t="s">
        <v>261</v>
      </c>
      <c r="B1058" s="15" t="s">
        <v>262</v>
      </c>
      <c r="C1058" s="15" t="s">
        <v>86</v>
      </c>
      <c r="D1058" s="15" t="n">
        <v>6</v>
      </c>
      <c r="E1058" s="15" t="s">
        <v>721</v>
      </c>
      <c r="F1058" s="15" t="s">
        <v>825</v>
      </c>
      <c r="G1058" s="15" t="s">
        <v>112</v>
      </c>
      <c r="H1058" s="15"/>
    </row>
    <row r="1059" customFormat="false" ht="15" hidden="false" customHeight="true" outlineLevel="0" collapsed="false">
      <c r="A1059" s="15" t="s">
        <v>261</v>
      </c>
      <c r="B1059" s="15" t="s">
        <v>262</v>
      </c>
      <c r="C1059" s="15" t="s">
        <v>764</v>
      </c>
      <c r="D1059" s="15" t="s">
        <v>755</v>
      </c>
      <c r="E1059" s="15"/>
      <c r="F1059" s="15" t="s">
        <v>825</v>
      </c>
      <c r="G1059" s="15" t="s">
        <v>112</v>
      </c>
      <c r="H1059" s="15"/>
    </row>
    <row r="1060" customFormat="false" ht="15" hidden="false" customHeight="true" outlineLevel="0" collapsed="false">
      <c r="A1060" s="15" t="s">
        <v>261</v>
      </c>
      <c r="B1060" s="15" t="s">
        <v>262</v>
      </c>
      <c r="C1060" s="15" t="s">
        <v>749</v>
      </c>
      <c r="D1060" s="15" t="s">
        <v>806</v>
      </c>
      <c r="E1060" s="15"/>
      <c r="F1060" s="15" t="s">
        <v>825</v>
      </c>
      <c r="G1060" s="15" t="s">
        <v>112</v>
      </c>
      <c r="H1060" s="15"/>
    </row>
    <row r="1061" customFormat="false" ht="15" hidden="false" customHeight="true" outlineLevel="0" collapsed="false">
      <c r="A1061" s="15" t="s">
        <v>261</v>
      </c>
      <c r="B1061" s="15" t="s">
        <v>262</v>
      </c>
      <c r="C1061" s="15" t="s">
        <v>752</v>
      </c>
      <c r="D1061" s="15" t="s">
        <v>753</v>
      </c>
      <c r="E1061" s="15"/>
      <c r="F1061" s="15" t="s">
        <v>825</v>
      </c>
      <c r="G1061" s="15" t="s">
        <v>112</v>
      </c>
      <c r="H1061" s="15"/>
    </row>
    <row r="1062" customFormat="false" ht="15" hidden="false" customHeight="true" outlineLevel="0" collapsed="false">
      <c r="A1062" s="15" t="s">
        <v>261</v>
      </c>
      <c r="B1062" s="15" t="s">
        <v>262</v>
      </c>
      <c r="C1062" s="15" t="s">
        <v>754</v>
      </c>
      <c r="D1062" s="15" t="s">
        <v>755</v>
      </c>
      <c r="E1062" s="15"/>
      <c r="F1062" s="15" t="s">
        <v>825</v>
      </c>
      <c r="G1062" s="15" t="s">
        <v>112</v>
      </c>
      <c r="H1062" s="15"/>
    </row>
    <row r="1063" customFormat="false" ht="15" hidden="false" customHeight="true" outlineLevel="0" collapsed="false">
      <c r="A1063" s="15" t="s">
        <v>261</v>
      </c>
      <c r="B1063" s="15" t="s">
        <v>262</v>
      </c>
      <c r="C1063" s="15" t="s">
        <v>756</v>
      </c>
      <c r="D1063" s="15" t="s">
        <v>858</v>
      </c>
      <c r="E1063" s="15"/>
      <c r="F1063" s="15" t="s">
        <v>825</v>
      </c>
      <c r="G1063" s="15" t="s">
        <v>112</v>
      </c>
      <c r="H1063" s="15"/>
    </row>
    <row r="1064" customFormat="false" ht="15" hidden="false" customHeight="true" outlineLevel="0" collapsed="false">
      <c r="A1064" s="15" t="s">
        <v>261</v>
      </c>
      <c r="B1064" s="15" t="s">
        <v>262</v>
      </c>
      <c r="C1064" s="15" t="s">
        <v>757</v>
      </c>
      <c r="D1064" s="15" t="s">
        <v>797</v>
      </c>
      <c r="E1064" s="15"/>
      <c r="F1064" s="15" t="s">
        <v>825</v>
      </c>
      <c r="G1064" s="15" t="s">
        <v>112</v>
      </c>
      <c r="H1064" s="15"/>
    </row>
    <row r="1065" customFormat="false" ht="15" hidden="false" customHeight="true" outlineLevel="0" collapsed="false">
      <c r="A1065" s="15" t="s">
        <v>261</v>
      </c>
      <c r="B1065" s="15" t="s">
        <v>262</v>
      </c>
      <c r="C1065" s="15" t="s">
        <v>759</v>
      </c>
      <c r="D1065" s="15" t="s">
        <v>798</v>
      </c>
      <c r="E1065" s="15"/>
      <c r="F1065" s="15" t="s">
        <v>825</v>
      </c>
      <c r="G1065" s="15" t="s">
        <v>112</v>
      </c>
      <c r="H1065" s="15"/>
    </row>
    <row r="1066" customFormat="false" ht="15" hidden="false" customHeight="true" outlineLevel="0" collapsed="false">
      <c r="A1066" s="15" t="s">
        <v>261</v>
      </c>
      <c r="B1066" s="15" t="s">
        <v>262</v>
      </c>
      <c r="C1066" s="15" t="s">
        <v>761</v>
      </c>
      <c r="D1066" s="15" t="s">
        <v>755</v>
      </c>
      <c r="E1066" s="15"/>
      <c r="F1066" s="15" t="s">
        <v>825</v>
      </c>
      <c r="G1066" s="15" t="s">
        <v>112</v>
      </c>
      <c r="H1066" s="15"/>
    </row>
    <row r="1067" customFormat="false" ht="15" hidden="false" customHeight="true" outlineLevel="0" collapsed="false">
      <c r="A1067" s="15" t="s">
        <v>261</v>
      </c>
      <c r="B1067" s="15" t="s">
        <v>262</v>
      </c>
      <c r="C1067" s="15" t="s">
        <v>762</v>
      </c>
      <c r="D1067" s="15" t="s">
        <v>755</v>
      </c>
      <c r="E1067" s="15"/>
      <c r="F1067" s="15" t="s">
        <v>825</v>
      </c>
      <c r="G1067" s="15" t="s">
        <v>112</v>
      </c>
      <c r="H1067" s="15"/>
    </row>
    <row r="1068" customFormat="false" ht="15" hidden="false" customHeight="true" outlineLevel="0" collapsed="false">
      <c r="A1068" s="15" t="s">
        <v>261</v>
      </c>
      <c r="B1068" s="15" t="s">
        <v>262</v>
      </c>
      <c r="C1068" s="15" t="s">
        <v>92</v>
      </c>
      <c r="D1068" s="15" t="s">
        <v>755</v>
      </c>
      <c r="E1068" s="15"/>
      <c r="F1068" s="15" t="s">
        <v>825</v>
      </c>
      <c r="G1068" s="15" t="s">
        <v>112</v>
      </c>
      <c r="H1068" s="15"/>
    </row>
    <row r="1069" customFormat="false" ht="15" hidden="false" customHeight="true" outlineLevel="0" collapsed="false">
      <c r="A1069" s="15" t="s">
        <v>261</v>
      </c>
      <c r="B1069" s="15" t="s">
        <v>262</v>
      </c>
      <c r="C1069" s="15" t="s">
        <v>763</v>
      </c>
      <c r="D1069" s="15" t="s">
        <v>755</v>
      </c>
      <c r="E1069" s="15"/>
      <c r="F1069" s="15" t="s">
        <v>825</v>
      </c>
      <c r="G1069" s="15" t="s">
        <v>112</v>
      </c>
      <c r="H1069" s="15"/>
    </row>
    <row r="1070" customFormat="false" ht="15" hidden="false" customHeight="true" outlineLevel="0" collapsed="false">
      <c r="A1070" s="15" t="s">
        <v>261</v>
      </c>
      <c r="B1070" s="15" t="s">
        <v>262</v>
      </c>
      <c r="C1070" s="15" t="s">
        <v>848</v>
      </c>
      <c r="D1070" s="15" t="s">
        <v>859</v>
      </c>
      <c r="E1070" s="15"/>
      <c r="F1070" s="15" t="s">
        <v>825</v>
      </c>
      <c r="G1070" s="15" t="s">
        <v>112</v>
      </c>
      <c r="H1070" s="15"/>
    </row>
    <row r="1071" customFormat="false" ht="15" hidden="false" customHeight="true" outlineLevel="0" collapsed="false">
      <c r="A1071" s="15" t="s">
        <v>261</v>
      </c>
      <c r="B1071" s="15" t="s">
        <v>262</v>
      </c>
      <c r="C1071" s="15" t="s">
        <v>747</v>
      </c>
      <c r="D1071" s="15" t="s">
        <v>801</v>
      </c>
      <c r="E1071" s="15"/>
      <c r="F1071" s="15" t="s">
        <v>825</v>
      </c>
      <c r="G1071" s="15" t="s">
        <v>112</v>
      </c>
      <c r="H1071" s="15"/>
    </row>
    <row r="1072" customFormat="false" ht="15" hidden="false" customHeight="true" outlineLevel="0" collapsed="false">
      <c r="A1072" s="15" t="s">
        <v>261</v>
      </c>
      <c r="B1072" s="15" t="s">
        <v>262</v>
      </c>
      <c r="C1072" s="15" t="s">
        <v>851</v>
      </c>
      <c r="D1072" s="15" t="s">
        <v>860</v>
      </c>
      <c r="E1072" s="15"/>
      <c r="F1072" s="15" t="s">
        <v>825</v>
      </c>
      <c r="G1072" s="15" t="s">
        <v>112</v>
      </c>
      <c r="H1072" s="15"/>
    </row>
    <row r="1073" customFormat="false" ht="15" hidden="false" customHeight="true" outlineLevel="0" collapsed="false">
      <c r="A1073" s="15" t="s">
        <v>261</v>
      </c>
      <c r="B1073" s="15" t="s">
        <v>262</v>
      </c>
      <c r="C1073" s="15" t="s">
        <v>853</v>
      </c>
      <c r="D1073" s="15" t="s">
        <v>861</v>
      </c>
      <c r="E1073" s="15"/>
      <c r="F1073" s="15" t="s">
        <v>825</v>
      </c>
      <c r="G1073" s="15" t="s">
        <v>112</v>
      </c>
      <c r="H1073" s="15"/>
    </row>
    <row r="1074" customFormat="false" ht="15" hidden="false" customHeight="true" outlineLevel="0" collapsed="false">
      <c r="A1074" s="15" t="s">
        <v>261</v>
      </c>
      <c r="B1074" s="15" t="s">
        <v>262</v>
      </c>
      <c r="C1074" s="15" t="s">
        <v>854</v>
      </c>
      <c r="D1074" s="15" t="s">
        <v>755</v>
      </c>
      <c r="E1074" s="15"/>
      <c r="F1074" s="15" t="s">
        <v>825</v>
      </c>
      <c r="G1074" s="15" t="s">
        <v>112</v>
      </c>
      <c r="H1074" s="15"/>
    </row>
    <row r="1075" customFormat="false" ht="15" hidden="false" customHeight="true" outlineLevel="0" collapsed="false">
      <c r="A1075" s="15" t="s">
        <v>261</v>
      </c>
      <c r="B1075" s="15" t="s">
        <v>262</v>
      </c>
      <c r="C1075" s="15" t="s">
        <v>855</v>
      </c>
      <c r="D1075" s="15" t="s">
        <v>862</v>
      </c>
      <c r="E1075" s="15"/>
      <c r="F1075" s="15" t="s">
        <v>825</v>
      </c>
      <c r="G1075" s="15" t="s">
        <v>112</v>
      </c>
      <c r="H1075" s="15"/>
    </row>
    <row r="1076" customFormat="false" ht="15" hidden="false" customHeight="true" outlineLevel="0" collapsed="false">
      <c r="A1076" s="15" t="s">
        <v>261</v>
      </c>
      <c r="B1076" s="15" t="s">
        <v>262</v>
      </c>
      <c r="C1076" s="15" t="s">
        <v>857</v>
      </c>
      <c r="D1076" s="15" t="s">
        <v>803</v>
      </c>
      <c r="E1076" s="15"/>
      <c r="F1076" s="15" t="s">
        <v>825</v>
      </c>
      <c r="G1076" s="15" t="s">
        <v>112</v>
      </c>
      <c r="H1076" s="15"/>
    </row>
    <row r="1077" customFormat="false" ht="15" hidden="false" customHeight="true" outlineLevel="0" collapsed="false">
      <c r="A1077" s="15" t="s">
        <v>291</v>
      </c>
      <c r="B1077" s="15" t="s">
        <v>292</v>
      </c>
      <c r="C1077" s="15" t="s">
        <v>769</v>
      </c>
      <c r="D1077" s="15" t="n">
        <v>5</v>
      </c>
      <c r="E1077" s="15" t="s">
        <v>721</v>
      </c>
      <c r="F1077" s="15" t="s">
        <v>824</v>
      </c>
      <c r="G1077" s="15" t="s">
        <v>112</v>
      </c>
      <c r="H1077" s="15"/>
    </row>
    <row r="1078" customFormat="false" ht="15" hidden="false" customHeight="true" outlineLevel="0" collapsed="false">
      <c r="A1078" s="15" t="s">
        <v>291</v>
      </c>
      <c r="B1078" s="15" t="s">
        <v>292</v>
      </c>
      <c r="C1078" s="15" t="s">
        <v>714</v>
      </c>
      <c r="D1078" s="15" t="n">
        <v>380</v>
      </c>
      <c r="E1078" s="15" t="s">
        <v>715</v>
      </c>
      <c r="F1078" s="15" t="s">
        <v>825</v>
      </c>
      <c r="G1078" s="15" t="s">
        <v>112</v>
      </c>
      <c r="H1078" s="15"/>
    </row>
    <row r="1079" customFormat="false" ht="15" hidden="false" customHeight="true" outlineLevel="0" collapsed="false">
      <c r="A1079" s="15" t="s">
        <v>291</v>
      </c>
      <c r="B1079" s="15" t="s">
        <v>292</v>
      </c>
      <c r="C1079" s="15" t="s">
        <v>718</v>
      </c>
      <c r="D1079" s="15" t="s">
        <v>113</v>
      </c>
      <c r="E1079" s="15"/>
      <c r="F1079" s="15" t="s">
        <v>825</v>
      </c>
      <c r="G1079" s="15" t="s">
        <v>112</v>
      </c>
      <c r="H1079" s="15"/>
    </row>
    <row r="1080" customFormat="false" ht="15" hidden="false" customHeight="true" outlineLevel="0" collapsed="false">
      <c r="A1080" s="15" t="s">
        <v>291</v>
      </c>
      <c r="B1080" s="15" t="s">
        <v>292</v>
      </c>
      <c r="C1080" s="15" t="s">
        <v>826</v>
      </c>
      <c r="D1080" s="15" t="s">
        <v>827</v>
      </c>
      <c r="E1080" s="15"/>
      <c r="F1080" s="15" t="s">
        <v>825</v>
      </c>
      <c r="G1080" s="15" t="s">
        <v>112</v>
      </c>
      <c r="H1080" s="15"/>
    </row>
    <row r="1081" customFormat="false" ht="15" hidden="false" customHeight="true" outlineLevel="0" collapsed="false">
      <c r="A1081" s="15" t="s">
        <v>291</v>
      </c>
      <c r="B1081" s="15" t="s">
        <v>292</v>
      </c>
      <c r="C1081" s="15" t="s">
        <v>719</v>
      </c>
      <c r="D1081" s="15" t="n">
        <v>20</v>
      </c>
      <c r="E1081" s="15" t="s">
        <v>720</v>
      </c>
      <c r="F1081" s="15" t="s">
        <v>825</v>
      </c>
      <c r="G1081" s="15" t="s">
        <v>112</v>
      </c>
      <c r="H1081" s="15"/>
    </row>
    <row r="1082" customFormat="false" ht="15" hidden="false" customHeight="true" outlineLevel="0" collapsed="false">
      <c r="A1082" s="15" t="s">
        <v>291</v>
      </c>
      <c r="B1082" s="15" t="s">
        <v>292</v>
      </c>
      <c r="C1082" s="15" t="s">
        <v>722</v>
      </c>
      <c r="D1082" s="15" t="n">
        <v>663</v>
      </c>
      <c r="E1082" s="15" t="s">
        <v>723</v>
      </c>
      <c r="F1082" s="15" t="s">
        <v>825</v>
      </c>
      <c r="G1082" s="15" t="s">
        <v>112</v>
      </c>
      <c r="H1082" s="15"/>
    </row>
    <row r="1083" customFormat="false" ht="15" hidden="false" customHeight="true" outlineLevel="0" collapsed="false">
      <c r="A1083" s="15" t="s">
        <v>291</v>
      </c>
      <c r="B1083" s="15" t="s">
        <v>292</v>
      </c>
      <c r="C1083" s="15" t="s">
        <v>724</v>
      </c>
      <c r="D1083" s="15" t="n">
        <v>150</v>
      </c>
      <c r="E1083" s="15" t="s">
        <v>723</v>
      </c>
      <c r="F1083" s="15" t="s">
        <v>825</v>
      </c>
      <c r="G1083" s="15" t="s">
        <v>112</v>
      </c>
      <c r="H1083" s="15"/>
    </row>
    <row r="1084" customFormat="false" ht="15" hidden="false" customHeight="true" outlineLevel="0" collapsed="false">
      <c r="A1084" s="15" t="s">
        <v>291</v>
      </c>
      <c r="B1084" s="15" t="s">
        <v>292</v>
      </c>
      <c r="C1084" s="15" t="s">
        <v>84</v>
      </c>
      <c r="D1084" s="15" t="n">
        <v>207</v>
      </c>
      <c r="E1084" s="15" t="s">
        <v>725</v>
      </c>
      <c r="F1084" s="15" t="s">
        <v>825</v>
      </c>
      <c r="G1084" s="15" t="s">
        <v>112</v>
      </c>
      <c r="H1084" s="15"/>
    </row>
    <row r="1085" customFormat="false" ht="15" hidden="false" customHeight="true" outlineLevel="0" collapsed="false">
      <c r="A1085" s="15" t="s">
        <v>291</v>
      </c>
      <c r="B1085" s="15" t="s">
        <v>292</v>
      </c>
      <c r="C1085" s="15" t="s">
        <v>726</v>
      </c>
      <c r="D1085" s="15" t="n">
        <v>4789</v>
      </c>
      <c r="E1085" s="15" t="s">
        <v>725</v>
      </c>
      <c r="F1085" s="15" t="s">
        <v>825</v>
      </c>
      <c r="G1085" s="15" t="s">
        <v>112</v>
      </c>
      <c r="H1085" s="15"/>
    </row>
    <row r="1086" customFormat="false" ht="15" hidden="false" customHeight="true" outlineLevel="0" collapsed="false">
      <c r="A1086" s="15" t="s">
        <v>291</v>
      </c>
      <c r="B1086" s="15" t="s">
        <v>292</v>
      </c>
      <c r="C1086" s="15" t="s">
        <v>727</v>
      </c>
      <c r="D1086" s="15" t="n">
        <v>1907</v>
      </c>
      <c r="E1086" s="15" t="s">
        <v>725</v>
      </c>
      <c r="F1086" s="15" t="s">
        <v>825</v>
      </c>
      <c r="G1086" s="15" t="s">
        <v>112</v>
      </c>
      <c r="H1086" s="15"/>
    </row>
    <row r="1087" customFormat="false" ht="15" hidden="false" customHeight="true" outlineLevel="0" collapsed="false">
      <c r="A1087" s="15" t="s">
        <v>291</v>
      </c>
      <c r="B1087" s="15" t="s">
        <v>292</v>
      </c>
      <c r="C1087" s="15" t="s">
        <v>728</v>
      </c>
      <c r="D1087" s="15" t="n">
        <v>1694</v>
      </c>
      <c r="E1087" s="15" t="s">
        <v>725</v>
      </c>
      <c r="F1087" s="15" t="s">
        <v>825</v>
      </c>
      <c r="G1087" s="15" t="s">
        <v>112</v>
      </c>
      <c r="H1087" s="15"/>
    </row>
    <row r="1088" customFormat="false" ht="15" hidden="false" customHeight="true" outlineLevel="0" collapsed="false">
      <c r="A1088" s="15" t="s">
        <v>291</v>
      </c>
      <c r="B1088" s="15" t="s">
        <v>292</v>
      </c>
      <c r="C1088" s="15" t="s">
        <v>729</v>
      </c>
      <c r="D1088" s="15" t="n">
        <v>2775</v>
      </c>
      <c r="E1088" s="15" t="s">
        <v>725</v>
      </c>
      <c r="F1088" s="15" t="s">
        <v>825</v>
      </c>
      <c r="G1088" s="15" t="s">
        <v>112</v>
      </c>
      <c r="H1088" s="15"/>
    </row>
    <row r="1089" customFormat="false" ht="15" hidden="false" customHeight="true" outlineLevel="0" collapsed="false">
      <c r="A1089" s="15" t="s">
        <v>291</v>
      </c>
      <c r="B1089" s="15" t="s">
        <v>292</v>
      </c>
      <c r="C1089" s="15" t="s">
        <v>730</v>
      </c>
      <c r="D1089" s="15" t="n">
        <v>10</v>
      </c>
      <c r="E1089" s="15" t="s">
        <v>731</v>
      </c>
      <c r="F1089" s="15" t="s">
        <v>825</v>
      </c>
      <c r="G1089" s="15" t="s">
        <v>112</v>
      </c>
      <c r="H1089" s="15"/>
    </row>
    <row r="1090" customFormat="false" ht="15" hidden="false" customHeight="true" outlineLevel="0" collapsed="false">
      <c r="A1090" s="15" t="s">
        <v>291</v>
      </c>
      <c r="B1090" s="15" t="s">
        <v>292</v>
      </c>
      <c r="C1090" s="15" t="s">
        <v>776</v>
      </c>
      <c r="D1090" s="15" t="s">
        <v>800</v>
      </c>
      <c r="E1090" s="15"/>
      <c r="F1090" s="15" t="s">
        <v>825</v>
      </c>
      <c r="G1090" s="15" t="s">
        <v>112</v>
      </c>
      <c r="H1090" s="15"/>
    </row>
    <row r="1091" customFormat="false" ht="15" hidden="false" customHeight="true" outlineLevel="0" collapsed="false">
      <c r="A1091" s="15" t="s">
        <v>291</v>
      </c>
      <c r="B1091" s="15" t="s">
        <v>292</v>
      </c>
      <c r="C1091" s="15" t="s">
        <v>780</v>
      </c>
      <c r="D1091" s="15" t="s">
        <v>781</v>
      </c>
      <c r="E1091" s="15"/>
      <c r="F1091" s="15" t="s">
        <v>825</v>
      </c>
      <c r="G1091" s="15" t="s">
        <v>112</v>
      </c>
      <c r="H1091" s="15"/>
    </row>
    <row r="1092" customFormat="false" ht="15" hidden="false" customHeight="true" outlineLevel="0" collapsed="false">
      <c r="A1092" s="15" t="s">
        <v>291</v>
      </c>
      <c r="B1092" s="15" t="s">
        <v>292</v>
      </c>
      <c r="C1092" s="15" t="s">
        <v>789</v>
      </c>
      <c r="D1092" s="15" t="s">
        <v>790</v>
      </c>
      <c r="E1092" s="15"/>
      <c r="F1092" s="15" t="s">
        <v>825</v>
      </c>
      <c r="G1092" s="15" t="s">
        <v>112</v>
      </c>
      <c r="H1092" s="15"/>
    </row>
    <row r="1093" customFormat="false" ht="15" hidden="false" customHeight="true" outlineLevel="0" collapsed="false">
      <c r="A1093" s="15" t="s">
        <v>291</v>
      </c>
      <c r="B1093" s="15" t="s">
        <v>292</v>
      </c>
      <c r="C1093" s="15" t="s">
        <v>784</v>
      </c>
      <c r="D1093" s="15" t="n">
        <v>11</v>
      </c>
      <c r="E1093" s="15" t="s">
        <v>738</v>
      </c>
      <c r="F1093" s="15" t="s">
        <v>828</v>
      </c>
      <c r="G1093" s="15" t="s">
        <v>112</v>
      </c>
      <c r="H1093" s="15"/>
    </row>
    <row r="1094" customFormat="false" ht="15" hidden="false" customHeight="true" outlineLevel="0" collapsed="false">
      <c r="A1094" s="15" t="s">
        <v>291</v>
      </c>
      <c r="B1094" s="15" t="s">
        <v>292</v>
      </c>
      <c r="C1094" s="15" t="s">
        <v>782</v>
      </c>
      <c r="D1094" s="15" t="n">
        <v>36</v>
      </c>
      <c r="E1094" s="15" t="s">
        <v>783</v>
      </c>
      <c r="F1094" s="15" t="s">
        <v>828</v>
      </c>
      <c r="G1094" s="15" t="s">
        <v>112</v>
      </c>
      <c r="H1094" s="15"/>
    </row>
    <row r="1095" customFormat="false" ht="26.25" hidden="false" customHeight="true" outlineLevel="0" collapsed="false">
      <c r="A1095" s="15" t="s">
        <v>291</v>
      </c>
      <c r="B1095" s="15" t="s">
        <v>292</v>
      </c>
      <c r="C1095" s="15" t="s">
        <v>98</v>
      </c>
      <c r="D1095" s="15" t="s">
        <v>732</v>
      </c>
      <c r="E1095" s="15"/>
      <c r="F1095" s="15" t="s">
        <v>829</v>
      </c>
      <c r="G1095" s="15" t="s">
        <v>112</v>
      </c>
      <c r="H1095" s="15"/>
    </row>
    <row r="1096" customFormat="false" ht="26.25" hidden="false" customHeight="true" outlineLevel="0" collapsed="false">
      <c r="A1096" s="15" t="s">
        <v>291</v>
      </c>
      <c r="B1096" s="15" t="s">
        <v>292</v>
      </c>
      <c r="C1096" s="15" t="s">
        <v>830</v>
      </c>
      <c r="D1096" s="15" t="s">
        <v>831</v>
      </c>
      <c r="E1096" s="15"/>
      <c r="F1096" s="15" t="s">
        <v>832</v>
      </c>
      <c r="G1096" s="15" t="s">
        <v>112</v>
      </c>
      <c r="H1096" s="15"/>
    </row>
    <row r="1097" customFormat="false" ht="15" hidden="false" customHeight="true" outlineLevel="0" collapsed="false">
      <c r="A1097" s="15" t="s">
        <v>291</v>
      </c>
      <c r="B1097" s="15" t="s">
        <v>292</v>
      </c>
      <c r="C1097" s="15" t="s">
        <v>833</v>
      </c>
      <c r="D1097" s="15" t="s">
        <v>834</v>
      </c>
      <c r="E1097" s="15"/>
      <c r="F1097" s="15" t="s">
        <v>832</v>
      </c>
      <c r="G1097" s="15" t="s">
        <v>112</v>
      </c>
      <c r="H1097" s="15"/>
    </row>
    <row r="1098" customFormat="false" ht="15" hidden="false" customHeight="true" outlineLevel="0" collapsed="false">
      <c r="A1098" s="15" t="s">
        <v>291</v>
      </c>
      <c r="B1098" s="15" t="s">
        <v>292</v>
      </c>
      <c r="C1098" s="15" t="s">
        <v>835</v>
      </c>
      <c r="D1098" s="15" t="s">
        <v>836</v>
      </c>
      <c r="E1098" s="15"/>
      <c r="F1098" s="15" t="s">
        <v>832</v>
      </c>
      <c r="G1098" s="15" t="s">
        <v>112</v>
      </c>
      <c r="H1098" s="15"/>
    </row>
    <row r="1099" customFormat="false" ht="15" hidden="false" customHeight="true" outlineLevel="0" collapsed="false">
      <c r="A1099" s="15" t="s">
        <v>291</v>
      </c>
      <c r="B1099" s="15" t="s">
        <v>292</v>
      </c>
      <c r="C1099" s="15" t="s">
        <v>837</v>
      </c>
      <c r="D1099" s="15" t="n">
        <v>10000</v>
      </c>
      <c r="E1099" s="15" t="s">
        <v>838</v>
      </c>
      <c r="F1099" s="15" t="s">
        <v>832</v>
      </c>
      <c r="G1099" s="15" t="s">
        <v>112</v>
      </c>
      <c r="H1099" s="15"/>
    </row>
    <row r="1100" customFormat="false" ht="26.25" hidden="false" customHeight="true" outlineLevel="0" collapsed="false">
      <c r="A1100" s="15" t="s">
        <v>291</v>
      </c>
      <c r="B1100" s="15" t="s">
        <v>292</v>
      </c>
      <c r="C1100" s="15" t="s">
        <v>839</v>
      </c>
      <c r="D1100" s="15" t="s">
        <v>840</v>
      </c>
      <c r="E1100" s="15"/>
      <c r="F1100" s="15" t="s">
        <v>832</v>
      </c>
      <c r="G1100" s="15" t="s">
        <v>112</v>
      </c>
      <c r="H1100" s="15"/>
    </row>
    <row r="1101" customFormat="false" ht="15" hidden="false" customHeight="true" outlineLevel="0" collapsed="false">
      <c r="A1101" s="15" t="s">
        <v>291</v>
      </c>
      <c r="B1101" s="15" t="s">
        <v>292</v>
      </c>
      <c r="C1101" s="15" t="s">
        <v>841</v>
      </c>
      <c r="D1101" s="15" t="s">
        <v>842</v>
      </c>
      <c r="E1101" s="15"/>
      <c r="F1101" s="15" t="s">
        <v>832</v>
      </c>
      <c r="G1101" s="15" t="s">
        <v>112</v>
      </c>
      <c r="H1101" s="15"/>
    </row>
    <row r="1102" customFormat="false" ht="15" hidden="false" customHeight="true" outlineLevel="0" collapsed="false">
      <c r="A1102" s="15" t="s">
        <v>291</v>
      </c>
      <c r="B1102" s="15" t="s">
        <v>292</v>
      </c>
      <c r="C1102" s="15" t="s">
        <v>843</v>
      </c>
      <c r="D1102" s="15" t="s">
        <v>844</v>
      </c>
      <c r="E1102" s="15"/>
      <c r="F1102" s="15" t="s">
        <v>825</v>
      </c>
      <c r="G1102" s="15" t="s">
        <v>112</v>
      </c>
      <c r="H1102" s="15"/>
    </row>
    <row r="1103" customFormat="false" ht="15" hidden="false" customHeight="true" outlineLevel="0" collapsed="false">
      <c r="A1103" s="15" t="s">
        <v>291</v>
      </c>
      <c r="B1103" s="15" t="s">
        <v>292</v>
      </c>
      <c r="C1103" s="15" t="s">
        <v>737</v>
      </c>
      <c r="D1103" s="15" t="n">
        <v>170</v>
      </c>
      <c r="E1103" s="15" t="s">
        <v>738</v>
      </c>
      <c r="F1103" s="15" t="s">
        <v>825</v>
      </c>
      <c r="G1103" s="15" t="s">
        <v>112</v>
      </c>
      <c r="H1103" s="15"/>
    </row>
    <row r="1104" customFormat="false" ht="15" hidden="false" customHeight="true" outlineLevel="0" collapsed="false">
      <c r="A1104" s="15" t="s">
        <v>291</v>
      </c>
      <c r="B1104" s="15" t="s">
        <v>292</v>
      </c>
      <c r="C1104" s="15" t="s">
        <v>739</v>
      </c>
      <c r="D1104" s="15" t="n">
        <v>140</v>
      </c>
      <c r="E1104" s="15" t="s">
        <v>738</v>
      </c>
      <c r="F1104" s="15" t="s">
        <v>825</v>
      </c>
      <c r="G1104" s="15" t="s">
        <v>112</v>
      </c>
      <c r="H1104" s="15"/>
    </row>
    <row r="1105" customFormat="false" ht="26.25" hidden="false" customHeight="true" outlineLevel="0" collapsed="false">
      <c r="A1105" s="15" t="s">
        <v>291</v>
      </c>
      <c r="B1105" s="15" t="s">
        <v>292</v>
      </c>
      <c r="C1105" s="15" t="s">
        <v>740</v>
      </c>
      <c r="D1105" s="15" t="n">
        <v>6</v>
      </c>
      <c r="E1105" s="15" t="s">
        <v>741</v>
      </c>
      <c r="F1105" s="15" t="s">
        <v>825</v>
      </c>
      <c r="G1105" s="15" t="s">
        <v>112</v>
      </c>
      <c r="H1105" s="15"/>
    </row>
    <row r="1106" customFormat="false" ht="15" hidden="false" customHeight="true" outlineLevel="0" collapsed="false">
      <c r="A1106" s="15" t="s">
        <v>291</v>
      </c>
      <c r="B1106" s="15" t="s">
        <v>292</v>
      </c>
      <c r="C1106" s="15" t="s">
        <v>742</v>
      </c>
      <c r="D1106" s="15" t="n">
        <v>8.7</v>
      </c>
      <c r="E1106" s="15" t="s">
        <v>741</v>
      </c>
      <c r="F1106" s="15" t="s">
        <v>825</v>
      </c>
      <c r="G1106" s="15" t="s">
        <v>112</v>
      </c>
      <c r="H1106" s="15"/>
    </row>
    <row r="1107" customFormat="false" ht="26.25" hidden="false" customHeight="true" outlineLevel="0" collapsed="false">
      <c r="A1107" s="15" t="s">
        <v>291</v>
      </c>
      <c r="B1107" s="15" t="s">
        <v>292</v>
      </c>
      <c r="C1107" s="15" t="s">
        <v>733</v>
      </c>
      <c r="D1107" s="15" t="s">
        <v>734</v>
      </c>
      <c r="E1107" s="15"/>
      <c r="F1107" s="15" t="s">
        <v>845</v>
      </c>
      <c r="G1107" s="15" t="s">
        <v>112</v>
      </c>
      <c r="H1107" s="15" t="s">
        <v>846</v>
      </c>
    </row>
    <row r="1108" customFormat="false" ht="15" hidden="false" customHeight="true" outlineLevel="0" collapsed="false">
      <c r="A1108" s="15" t="s">
        <v>291</v>
      </c>
      <c r="B1108" s="15" t="s">
        <v>292</v>
      </c>
      <c r="C1108" s="15" t="s">
        <v>785</v>
      </c>
      <c r="D1108" s="15" t="n">
        <v>307</v>
      </c>
      <c r="E1108" s="15" t="s">
        <v>786</v>
      </c>
      <c r="F1108" s="15" t="s">
        <v>828</v>
      </c>
      <c r="G1108" s="15" t="s">
        <v>112</v>
      </c>
      <c r="H1108" s="15"/>
    </row>
    <row r="1109" customFormat="false" ht="15" hidden="false" customHeight="true" outlineLevel="0" collapsed="false">
      <c r="A1109" s="15" t="s">
        <v>291</v>
      </c>
      <c r="B1109" s="15" t="s">
        <v>292</v>
      </c>
      <c r="C1109" s="15" t="s">
        <v>86</v>
      </c>
      <c r="D1109" s="15" t="n">
        <v>6</v>
      </c>
      <c r="E1109" s="15" t="s">
        <v>721</v>
      </c>
      <c r="F1109" s="15" t="s">
        <v>825</v>
      </c>
      <c r="G1109" s="15" t="s">
        <v>112</v>
      </c>
      <c r="H1109" s="15"/>
    </row>
    <row r="1110" customFormat="false" ht="15" hidden="false" customHeight="true" outlineLevel="0" collapsed="false">
      <c r="A1110" s="15" t="s">
        <v>291</v>
      </c>
      <c r="B1110" s="15" t="s">
        <v>292</v>
      </c>
      <c r="C1110" s="15" t="s">
        <v>764</v>
      </c>
      <c r="D1110" s="15" t="s">
        <v>755</v>
      </c>
      <c r="E1110" s="15"/>
      <c r="F1110" s="15" t="s">
        <v>825</v>
      </c>
      <c r="G1110" s="15" t="s">
        <v>112</v>
      </c>
      <c r="H1110" s="15"/>
    </row>
    <row r="1111" customFormat="false" ht="15" hidden="false" customHeight="true" outlineLevel="0" collapsed="false">
      <c r="A1111" s="15" t="s">
        <v>291</v>
      </c>
      <c r="B1111" s="15" t="s">
        <v>292</v>
      </c>
      <c r="C1111" s="15" t="s">
        <v>749</v>
      </c>
      <c r="D1111" s="15" t="s">
        <v>806</v>
      </c>
      <c r="E1111" s="15"/>
      <c r="F1111" s="15" t="s">
        <v>825</v>
      </c>
      <c r="G1111" s="15" t="s">
        <v>112</v>
      </c>
      <c r="H1111" s="15"/>
    </row>
    <row r="1112" customFormat="false" ht="15" hidden="false" customHeight="true" outlineLevel="0" collapsed="false">
      <c r="A1112" s="15" t="s">
        <v>291</v>
      </c>
      <c r="B1112" s="15" t="s">
        <v>292</v>
      </c>
      <c r="C1112" s="15" t="s">
        <v>752</v>
      </c>
      <c r="D1112" s="15" t="s">
        <v>753</v>
      </c>
      <c r="E1112" s="15"/>
      <c r="F1112" s="15" t="s">
        <v>825</v>
      </c>
      <c r="G1112" s="15" t="s">
        <v>112</v>
      </c>
      <c r="H1112" s="15"/>
    </row>
    <row r="1113" customFormat="false" ht="15" hidden="false" customHeight="true" outlineLevel="0" collapsed="false">
      <c r="A1113" s="15" t="s">
        <v>291</v>
      </c>
      <c r="B1113" s="15" t="s">
        <v>292</v>
      </c>
      <c r="C1113" s="15" t="s">
        <v>754</v>
      </c>
      <c r="D1113" s="15" t="s">
        <v>755</v>
      </c>
      <c r="E1113" s="15"/>
      <c r="F1113" s="15" t="s">
        <v>825</v>
      </c>
      <c r="G1113" s="15" t="s">
        <v>112</v>
      </c>
      <c r="H1113" s="15"/>
    </row>
    <row r="1114" customFormat="false" ht="15" hidden="false" customHeight="true" outlineLevel="0" collapsed="false">
      <c r="A1114" s="15" t="s">
        <v>291</v>
      </c>
      <c r="B1114" s="15" t="s">
        <v>292</v>
      </c>
      <c r="C1114" s="15" t="s">
        <v>756</v>
      </c>
      <c r="D1114" s="15" t="s">
        <v>858</v>
      </c>
      <c r="E1114" s="15"/>
      <c r="F1114" s="15" t="s">
        <v>825</v>
      </c>
      <c r="G1114" s="15" t="s">
        <v>112</v>
      </c>
      <c r="H1114" s="15"/>
    </row>
    <row r="1115" customFormat="false" ht="15" hidden="false" customHeight="true" outlineLevel="0" collapsed="false">
      <c r="A1115" s="15" t="s">
        <v>291</v>
      </c>
      <c r="B1115" s="15" t="s">
        <v>292</v>
      </c>
      <c r="C1115" s="15" t="s">
        <v>757</v>
      </c>
      <c r="D1115" s="15" t="s">
        <v>797</v>
      </c>
      <c r="E1115" s="15"/>
      <c r="F1115" s="15" t="s">
        <v>825</v>
      </c>
      <c r="G1115" s="15" t="s">
        <v>112</v>
      </c>
      <c r="H1115" s="15"/>
    </row>
    <row r="1116" customFormat="false" ht="15" hidden="false" customHeight="true" outlineLevel="0" collapsed="false">
      <c r="A1116" s="15" t="s">
        <v>291</v>
      </c>
      <c r="B1116" s="15" t="s">
        <v>292</v>
      </c>
      <c r="C1116" s="15" t="s">
        <v>759</v>
      </c>
      <c r="D1116" s="15" t="s">
        <v>798</v>
      </c>
      <c r="E1116" s="15"/>
      <c r="F1116" s="15" t="s">
        <v>825</v>
      </c>
      <c r="G1116" s="15" t="s">
        <v>112</v>
      </c>
      <c r="H1116" s="15"/>
    </row>
    <row r="1117" customFormat="false" ht="15" hidden="false" customHeight="true" outlineLevel="0" collapsed="false">
      <c r="A1117" s="15" t="s">
        <v>291</v>
      </c>
      <c r="B1117" s="15" t="s">
        <v>292</v>
      </c>
      <c r="C1117" s="15" t="s">
        <v>761</v>
      </c>
      <c r="D1117" s="15" t="s">
        <v>755</v>
      </c>
      <c r="E1117" s="15"/>
      <c r="F1117" s="15" t="s">
        <v>825</v>
      </c>
      <c r="G1117" s="15" t="s">
        <v>112</v>
      </c>
      <c r="H1117" s="15"/>
    </row>
    <row r="1118" customFormat="false" ht="15" hidden="false" customHeight="true" outlineLevel="0" collapsed="false">
      <c r="A1118" s="15" t="s">
        <v>291</v>
      </c>
      <c r="B1118" s="15" t="s">
        <v>292</v>
      </c>
      <c r="C1118" s="15" t="s">
        <v>762</v>
      </c>
      <c r="D1118" s="15" t="s">
        <v>755</v>
      </c>
      <c r="E1118" s="15"/>
      <c r="F1118" s="15" t="s">
        <v>825</v>
      </c>
      <c r="G1118" s="15" t="s">
        <v>112</v>
      </c>
      <c r="H1118" s="15"/>
    </row>
    <row r="1119" customFormat="false" ht="15" hidden="false" customHeight="true" outlineLevel="0" collapsed="false">
      <c r="A1119" s="15" t="s">
        <v>291</v>
      </c>
      <c r="B1119" s="15" t="s">
        <v>292</v>
      </c>
      <c r="C1119" s="15" t="s">
        <v>92</v>
      </c>
      <c r="D1119" s="15" t="s">
        <v>755</v>
      </c>
      <c r="E1119" s="15"/>
      <c r="F1119" s="15" t="s">
        <v>825</v>
      </c>
      <c r="G1119" s="15" t="s">
        <v>112</v>
      </c>
      <c r="H1119" s="15"/>
    </row>
    <row r="1120" customFormat="false" ht="15" hidden="false" customHeight="true" outlineLevel="0" collapsed="false">
      <c r="A1120" s="15" t="s">
        <v>291</v>
      </c>
      <c r="B1120" s="15" t="s">
        <v>292</v>
      </c>
      <c r="C1120" s="15" t="s">
        <v>763</v>
      </c>
      <c r="D1120" s="15" t="s">
        <v>755</v>
      </c>
      <c r="E1120" s="15"/>
      <c r="F1120" s="15" t="s">
        <v>825</v>
      </c>
      <c r="G1120" s="15" t="s">
        <v>112</v>
      </c>
      <c r="H1120" s="15"/>
    </row>
    <row r="1121" customFormat="false" ht="15" hidden="false" customHeight="true" outlineLevel="0" collapsed="false">
      <c r="A1121" s="15" t="s">
        <v>291</v>
      </c>
      <c r="B1121" s="15" t="s">
        <v>292</v>
      </c>
      <c r="C1121" s="15" t="s">
        <v>848</v>
      </c>
      <c r="D1121" s="15" t="s">
        <v>859</v>
      </c>
      <c r="E1121" s="15"/>
      <c r="F1121" s="15" t="s">
        <v>825</v>
      </c>
      <c r="G1121" s="15" t="s">
        <v>112</v>
      </c>
      <c r="H1121" s="15"/>
    </row>
    <row r="1122" customFormat="false" ht="15" hidden="false" customHeight="true" outlineLevel="0" collapsed="false">
      <c r="A1122" s="15" t="s">
        <v>291</v>
      </c>
      <c r="B1122" s="15" t="s">
        <v>292</v>
      </c>
      <c r="C1122" s="15" t="s">
        <v>747</v>
      </c>
      <c r="D1122" s="15" t="s">
        <v>801</v>
      </c>
      <c r="E1122" s="15"/>
      <c r="F1122" s="15" t="s">
        <v>825</v>
      </c>
      <c r="G1122" s="15" t="s">
        <v>112</v>
      </c>
      <c r="H1122" s="15"/>
    </row>
    <row r="1123" customFormat="false" ht="15" hidden="false" customHeight="true" outlineLevel="0" collapsed="false">
      <c r="A1123" s="15" t="s">
        <v>291</v>
      </c>
      <c r="B1123" s="15" t="s">
        <v>292</v>
      </c>
      <c r="C1123" s="15" t="s">
        <v>851</v>
      </c>
      <c r="D1123" s="15" t="s">
        <v>860</v>
      </c>
      <c r="E1123" s="15"/>
      <c r="F1123" s="15" t="s">
        <v>825</v>
      </c>
      <c r="G1123" s="15" t="s">
        <v>112</v>
      </c>
      <c r="H1123" s="15"/>
    </row>
    <row r="1124" customFormat="false" ht="15" hidden="false" customHeight="true" outlineLevel="0" collapsed="false">
      <c r="A1124" s="15" t="s">
        <v>291</v>
      </c>
      <c r="B1124" s="15" t="s">
        <v>292</v>
      </c>
      <c r="C1124" s="15" t="s">
        <v>853</v>
      </c>
      <c r="D1124" s="15" t="s">
        <v>861</v>
      </c>
      <c r="E1124" s="15"/>
      <c r="F1124" s="15" t="s">
        <v>825</v>
      </c>
      <c r="G1124" s="15" t="s">
        <v>112</v>
      </c>
      <c r="H1124" s="15"/>
    </row>
    <row r="1125" customFormat="false" ht="15" hidden="false" customHeight="true" outlineLevel="0" collapsed="false">
      <c r="A1125" s="15" t="s">
        <v>291</v>
      </c>
      <c r="B1125" s="15" t="s">
        <v>292</v>
      </c>
      <c r="C1125" s="15" t="s">
        <v>854</v>
      </c>
      <c r="D1125" s="15" t="s">
        <v>755</v>
      </c>
      <c r="E1125" s="15"/>
      <c r="F1125" s="15" t="s">
        <v>825</v>
      </c>
      <c r="G1125" s="15" t="s">
        <v>112</v>
      </c>
      <c r="H1125" s="15"/>
    </row>
    <row r="1126" customFormat="false" ht="15" hidden="false" customHeight="true" outlineLevel="0" collapsed="false">
      <c r="A1126" s="15" t="s">
        <v>291</v>
      </c>
      <c r="B1126" s="15" t="s">
        <v>292</v>
      </c>
      <c r="C1126" s="15" t="s">
        <v>855</v>
      </c>
      <c r="D1126" s="15" t="s">
        <v>862</v>
      </c>
      <c r="E1126" s="15"/>
      <c r="F1126" s="15" t="s">
        <v>825</v>
      </c>
      <c r="G1126" s="15" t="s">
        <v>112</v>
      </c>
      <c r="H1126" s="15"/>
    </row>
    <row r="1127" customFormat="false" ht="15" hidden="false" customHeight="true" outlineLevel="0" collapsed="false">
      <c r="A1127" s="15" t="s">
        <v>291</v>
      </c>
      <c r="B1127" s="15" t="s">
        <v>292</v>
      </c>
      <c r="C1127" s="15" t="s">
        <v>857</v>
      </c>
      <c r="D1127" s="15" t="s">
        <v>803</v>
      </c>
      <c r="E1127" s="15"/>
      <c r="F1127" s="15" t="s">
        <v>825</v>
      </c>
      <c r="G1127" s="15" t="s">
        <v>112</v>
      </c>
      <c r="H1127" s="15"/>
    </row>
    <row r="1128" customFormat="false" ht="15" hidden="false" customHeight="true" outlineLevel="0" collapsed="false">
      <c r="A1128" s="15" t="s">
        <v>264</v>
      </c>
      <c r="B1128" s="15" t="s">
        <v>265</v>
      </c>
      <c r="C1128" s="15" t="s">
        <v>769</v>
      </c>
      <c r="D1128" s="15" t="n">
        <v>5</v>
      </c>
      <c r="E1128" s="15" t="s">
        <v>721</v>
      </c>
      <c r="F1128" s="15" t="s">
        <v>824</v>
      </c>
      <c r="G1128" s="15" t="s">
        <v>112</v>
      </c>
      <c r="H1128" s="15"/>
    </row>
    <row r="1129" customFormat="false" ht="15" hidden="false" customHeight="true" outlineLevel="0" collapsed="false">
      <c r="A1129" s="15" t="s">
        <v>264</v>
      </c>
      <c r="B1129" s="15" t="s">
        <v>265</v>
      </c>
      <c r="C1129" s="15" t="s">
        <v>714</v>
      </c>
      <c r="D1129" s="15" t="n">
        <v>380</v>
      </c>
      <c r="E1129" s="15" t="s">
        <v>715</v>
      </c>
      <c r="F1129" s="15" t="s">
        <v>825</v>
      </c>
      <c r="G1129" s="15" t="s">
        <v>112</v>
      </c>
      <c r="H1129" s="15"/>
    </row>
    <row r="1130" customFormat="false" ht="15" hidden="false" customHeight="true" outlineLevel="0" collapsed="false">
      <c r="A1130" s="15" t="s">
        <v>264</v>
      </c>
      <c r="B1130" s="15" t="s">
        <v>265</v>
      </c>
      <c r="C1130" s="15" t="s">
        <v>718</v>
      </c>
      <c r="D1130" s="15" t="s">
        <v>113</v>
      </c>
      <c r="E1130" s="15"/>
      <c r="F1130" s="15" t="s">
        <v>825</v>
      </c>
      <c r="G1130" s="15" t="s">
        <v>112</v>
      </c>
      <c r="H1130" s="15"/>
    </row>
    <row r="1131" customFormat="false" ht="15" hidden="false" customHeight="true" outlineLevel="0" collapsed="false">
      <c r="A1131" s="15" t="s">
        <v>264</v>
      </c>
      <c r="B1131" s="15" t="s">
        <v>265</v>
      </c>
      <c r="C1131" s="15" t="s">
        <v>826</v>
      </c>
      <c r="D1131" s="15" t="s">
        <v>827</v>
      </c>
      <c r="E1131" s="15"/>
      <c r="F1131" s="15" t="s">
        <v>825</v>
      </c>
      <c r="G1131" s="15" t="s">
        <v>112</v>
      </c>
      <c r="H1131" s="15"/>
    </row>
    <row r="1132" customFormat="false" ht="15" hidden="false" customHeight="true" outlineLevel="0" collapsed="false">
      <c r="A1132" s="15" t="s">
        <v>264</v>
      </c>
      <c r="B1132" s="15" t="s">
        <v>265</v>
      </c>
      <c r="C1132" s="15" t="s">
        <v>719</v>
      </c>
      <c r="D1132" s="15" t="n">
        <v>20</v>
      </c>
      <c r="E1132" s="15" t="s">
        <v>720</v>
      </c>
      <c r="F1132" s="15" t="s">
        <v>825</v>
      </c>
      <c r="G1132" s="15" t="s">
        <v>112</v>
      </c>
      <c r="H1132" s="15"/>
    </row>
    <row r="1133" customFormat="false" ht="15" hidden="false" customHeight="true" outlineLevel="0" collapsed="false">
      <c r="A1133" s="15" t="s">
        <v>264</v>
      </c>
      <c r="B1133" s="15" t="s">
        <v>265</v>
      </c>
      <c r="C1133" s="15" t="s">
        <v>722</v>
      </c>
      <c r="D1133" s="15" t="n">
        <v>663</v>
      </c>
      <c r="E1133" s="15" t="s">
        <v>723</v>
      </c>
      <c r="F1133" s="15" t="s">
        <v>825</v>
      </c>
      <c r="G1133" s="15" t="s">
        <v>112</v>
      </c>
      <c r="H1133" s="15"/>
    </row>
    <row r="1134" customFormat="false" ht="15" hidden="false" customHeight="true" outlineLevel="0" collapsed="false">
      <c r="A1134" s="15" t="s">
        <v>264</v>
      </c>
      <c r="B1134" s="15" t="s">
        <v>265</v>
      </c>
      <c r="C1134" s="15" t="s">
        <v>724</v>
      </c>
      <c r="D1134" s="15" t="n">
        <v>150</v>
      </c>
      <c r="E1134" s="15" t="s">
        <v>723</v>
      </c>
      <c r="F1134" s="15" t="s">
        <v>825</v>
      </c>
      <c r="G1134" s="15" t="s">
        <v>112</v>
      </c>
      <c r="H1134" s="15"/>
    </row>
    <row r="1135" customFormat="false" ht="15" hidden="false" customHeight="true" outlineLevel="0" collapsed="false">
      <c r="A1135" s="15" t="s">
        <v>264</v>
      </c>
      <c r="B1135" s="15" t="s">
        <v>265</v>
      </c>
      <c r="C1135" s="15" t="s">
        <v>84</v>
      </c>
      <c r="D1135" s="15" t="n">
        <v>207</v>
      </c>
      <c r="E1135" s="15" t="s">
        <v>725</v>
      </c>
      <c r="F1135" s="15" t="s">
        <v>825</v>
      </c>
      <c r="G1135" s="15" t="s">
        <v>112</v>
      </c>
      <c r="H1135" s="15"/>
    </row>
    <row r="1136" customFormat="false" ht="15" hidden="false" customHeight="true" outlineLevel="0" collapsed="false">
      <c r="A1136" s="15" t="s">
        <v>264</v>
      </c>
      <c r="B1136" s="15" t="s">
        <v>265</v>
      </c>
      <c r="C1136" s="15" t="s">
        <v>726</v>
      </c>
      <c r="D1136" s="15" t="n">
        <v>4789</v>
      </c>
      <c r="E1136" s="15" t="s">
        <v>725</v>
      </c>
      <c r="F1136" s="15" t="s">
        <v>825</v>
      </c>
      <c r="G1136" s="15" t="s">
        <v>112</v>
      </c>
      <c r="H1136" s="15"/>
    </row>
    <row r="1137" customFormat="false" ht="15" hidden="false" customHeight="true" outlineLevel="0" collapsed="false">
      <c r="A1137" s="15" t="s">
        <v>264</v>
      </c>
      <c r="B1137" s="15" t="s">
        <v>265</v>
      </c>
      <c r="C1137" s="15" t="s">
        <v>727</v>
      </c>
      <c r="D1137" s="15" t="n">
        <v>1907</v>
      </c>
      <c r="E1137" s="15" t="s">
        <v>725</v>
      </c>
      <c r="F1137" s="15" t="s">
        <v>825</v>
      </c>
      <c r="G1137" s="15" t="s">
        <v>112</v>
      </c>
      <c r="H1137" s="15"/>
    </row>
    <row r="1138" customFormat="false" ht="15" hidden="false" customHeight="true" outlineLevel="0" collapsed="false">
      <c r="A1138" s="15" t="s">
        <v>264</v>
      </c>
      <c r="B1138" s="15" t="s">
        <v>265</v>
      </c>
      <c r="C1138" s="15" t="s">
        <v>728</v>
      </c>
      <c r="D1138" s="15" t="n">
        <v>1694</v>
      </c>
      <c r="E1138" s="15" t="s">
        <v>725</v>
      </c>
      <c r="F1138" s="15" t="s">
        <v>825</v>
      </c>
      <c r="G1138" s="15" t="s">
        <v>112</v>
      </c>
      <c r="H1138" s="15"/>
    </row>
    <row r="1139" customFormat="false" ht="15" hidden="false" customHeight="true" outlineLevel="0" collapsed="false">
      <c r="A1139" s="15" t="s">
        <v>264</v>
      </c>
      <c r="B1139" s="15" t="s">
        <v>265</v>
      </c>
      <c r="C1139" s="15" t="s">
        <v>729</v>
      </c>
      <c r="D1139" s="15" t="n">
        <v>2775</v>
      </c>
      <c r="E1139" s="15" t="s">
        <v>725</v>
      </c>
      <c r="F1139" s="15" t="s">
        <v>825</v>
      </c>
      <c r="G1139" s="15" t="s">
        <v>112</v>
      </c>
      <c r="H1139" s="15"/>
    </row>
    <row r="1140" customFormat="false" ht="15" hidden="false" customHeight="true" outlineLevel="0" collapsed="false">
      <c r="A1140" s="15" t="s">
        <v>264</v>
      </c>
      <c r="B1140" s="15" t="s">
        <v>265</v>
      </c>
      <c r="C1140" s="15" t="s">
        <v>730</v>
      </c>
      <c r="D1140" s="15" t="n">
        <v>10</v>
      </c>
      <c r="E1140" s="15" t="s">
        <v>731</v>
      </c>
      <c r="F1140" s="15" t="s">
        <v>825</v>
      </c>
      <c r="G1140" s="15" t="s">
        <v>112</v>
      </c>
      <c r="H1140" s="15"/>
    </row>
    <row r="1141" customFormat="false" ht="15" hidden="false" customHeight="true" outlineLevel="0" collapsed="false">
      <c r="A1141" s="15" t="s">
        <v>264</v>
      </c>
      <c r="B1141" s="15" t="s">
        <v>265</v>
      </c>
      <c r="C1141" s="15" t="s">
        <v>776</v>
      </c>
      <c r="D1141" s="15" t="s">
        <v>800</v>
      </c>
      <c r="E1141" s="15"/>
      <c r="F1141" s="15" t="s">
        <v>825</v>
      </c>
      <c r="G1141" s="15" t="s">
        <v>112</v>
      </c>
      <c r="H1141" s="15"/>
    </row>
    <row r="1142" customFormat="false" ht="15" hidden="false" customHeight="true" outlineLevel="0" collapsed="false">
      <c r="A1142" s="15" t="s">
        <v>264</v>
      </c>
      <c r="B1142" s="15" t="s">
        <v>265</v>
      </c>
      <c r="C1142" s="15" t="s">
        <v>780</v>
      </c>
      <c r="D1142" s="15" t="s">
        <v>781</v>
      </c>
      <c r="E1142" s="15"/>
      <c r="F1142" s="15" t="s">
        <v>825</v>
      </c>
      <c r="G1142" s="15" t="s">
        <v>112</v>
      </c>
      <c r="H1142" s="15"/>
    </row>
    <row r="1143" customFormat="false" ht="15" hidden="false" customHeight="true" outlineLevel="0" collapsed="false">
      <c r="A1143" s="15" t="s">
        <v>264</v>
      </c>
      <c r="B1143" s="15" t="s">
        <v>265</v>
      </c>
      <c r="C1143" s="15" t="s">
        <v>789</v>
      </c>
      <c r="D1143" s="15" t="s">
        <v>790</v>
      </c>
      <c r="E1143" s="15"/>
      <c r="F1143" s="15" t="s">
        <v>825</v>
      </c>
      <c r="G1143" s="15" t="s">
        <v>112</v>
      </c>
      <c r="H1143" s="15"/>
    </row>
    <row r="1144" customFormat="false" ht="15" hidden="false" customHeight="true" outlineLevel="0" collapsed="false">
      <c r="A1144" s="15" t="s">
        <v>264</v>
      </c>
      <c r="B1144" s="15" t="s">
        <v>265</v>
      </c>
      <c r="C1144" s="15" t="s">
        <v>784</v>
      </c>
      <c r="D1144" s="15" t="n">
        <v>11</v>
      </c>
      <c r="E1144" s="15" t="s">
        <v>738</v>
      </c>
      <c r="F1144" s="15" t="s">
        <v>828</v>
      </c>
      <c r="G1144" s="15" t="s">
        <v>112</v>
      </c>
      <c r="H1144" s="15"/>
    </row>
    <row r="1145" customFormat="false" ht="15" hidden="false" customHeight="true" outlineLevel="0" collapsed="false">
      <c r="A1145" s="15" t="s">
        <v>264</v>
      </c>
      <c r="B1145" s="15" t="s">
        <v>265</v>
      </c>
      <c r="C1145" s="15" t="s">
        <v>782</v>
      </c>
      <c r="D1145" s="15" t="n">
        <v>36</v>
      </c>
      <c r="E1145" s="15" t="s">
        <v>783</v>
      </c>
      <c r="F1145" s="15" t="s">
        <v>828</v>
      </c>
      <c r="G1145" s="15" t="s">
        <v>112</v>
      </c>
      <c r="H1145" s="15"/>
    </row>
    <row r="1146" customFormat="false" ht="26.25" hidden="false" customHeight="true" outlineLevel="0" collapsed="false">
      <c r="A1146" s="15" t="s">
        <v>264</v>
      </c>
      <c r="B1146" s="15" t="s">
        <v>265</v>
      </c>
      <c r="C1146" s="15" t="s">
        <v>98</v>
      </c>
      <c r="D1146" s="15" t="s">
        <v>732</v>
      </c>
      <c r="E1146" s="15"/>
      <c r="F1146" s="15" t="s">
        <v>829</v>
      </c>
      <c r="G1146" s="15" t="s">
        <v>112</v>
      </c>
      <c r="H1146" s="15"/>
    </row>
    <row r="1147" customFormat="false" ht="26.25" hidden="false" customHeight="true" outlineLevel="0" collapsed="false">
      <c r="A1147" s="15" t="s">
        <v>264</v>
      </c>
      <c r="B1147" s="15" t="s">
        <v>265</v>
      </c>
      <c r="C1147" s="15" t="s">
        <v>830</v>
      </c>
      <c r="D1147" s="15" t="s">
        <v>831</v>
      </c>
      <c r="E1147" s="15"/>
      <c r="F1147" s="15" t="s">
        <v>832</v>
      </c>
      <c r="G1147" s="15" t="s">
        <v>112</v>
      </c>
      <c r="H1147" s="15"/>
    </row>
    <row r="1148" customFormat="false" ht="15" hidden="false" customHeight="true" outlineLevel="0" collapsed="false">
      <c r="A1148" s="15" t="s">
        <v>264</v>
      </c>
      <c r="B1148" s="15" t="s">
        <v>265</v>
      </c>
      <c r="C1148" s="15" t="s">
        <v>833</v>
      </c>
      <c r="D1148" s="15" t="s">
        <v>834</v>
      </c>
      <c r="E1148" s="15"/>
      <c r="F1148" s="15" t="s">
        <v>832</v>
      </c>
      <c r="G1148" s="15" t="s">
        <v>112</v>
      </c>
      <c r="H1148" s="15"/>
    </row>
    <row r="1149" customFormat="false" ht="15" hidden="false" customHeight="true" outlineLevel="0" collapsed="false">
      <c r="A1149" s="15" t="s">
        <v>264</v>
      </c>
      <c r="B1149" s="15" t="s">
        <v>265</v>
      </c>
      <c r="C1149" s="15" t="s">
        <v>835</v>
      </c>
      <c r="D1149" s="15" t="s">
        <v>836</v>
      </c>
      <c r="E1149" s="15"/>
      <c r="F1149" s="15" t="s">
        <v>832</v>
      </c>
      <c r="G1149" s="15" t="s">
        <v>112</v>
      </c>
      <c r="H1149" s="15"/>
    </row>
    <row r="1150" customFormat="false" ht="15" hidden="false" customHeight="true" outlineLevel="0" collapsed="false">
      <c r="A1150" s="15" t="s">
        <v>264</v>
      </c>
      <c r="B1150" s="15" t="s">
        <v>265</v>
      </c>
      <c r="C1150" s="15" t="s">
        <v>837</v>
      </c>
      <c r="D1150" s="15" t="n">
        <v>10000</v>
      </c>
      <c r="E1150" s="15" t="s">
        <v>838</v>
      </c>
      <c r="F1150" s="15" t="s">
        <v>832</v>
      </c>
      <c r="G1150" s="15" t="s">
        <v>112</v>
      </c>
      <c r="H1150" s="15"/>
    </row>
    <row r="1151" customFormat="false" ht="26.25" hidden="false" customHeight="true" outlineLevel="0" collapsed="false">
      <c r="A1151" s="15" t="s">
        <v>264</v>
      </c>
      <c r="B1151" s="15" t="s">
        <v>265</v>
      </c>
      <c r="C1151" s="15" t="s">
        <v>839</v>
      </c>
      <c r="D1151" s="15" t="s">
        <v>840</v>
      </c>
      <c r="E1151" s="15"/>
      <c r="F1151" s="15" t="s">
        <v>832</v>
      </c>
      <c r="G1151" s="15" t="s">
        <v>112</v>
      </c>
      <c r="H1151" s="15"/>
    </row>
    <row r="1152" customFormat="false" ht="15" hidden="false" customHeight="true" outlineLevel="0" collapsed="false">
      <c r="A1152" s="15" t="s">
        <v>264</v>
      </c>
      <c r="B1152" s="15" t="s">
        <v>265</v>
      </c>
      <c r="C1152" s="15" t="s">
        <v>841</v>
      </c>
      <c r="D1152" s="15" t="s">
        <v>842</v>
      </c>
      <c r="E1152" s="15"/>
      <c r="F1152" s="15" t="s">
        <v>832</v>
      </c>
      <c r="G1152" s="15" t="s">
        <v>112</v>
      </c>
      <c r="H1152" s="15"/>
    </row>
    <row r="1153" customFormat="false" ht="15" hidden="false" customHeight="true" outlineLevel="0" collapsed="false">
      <c r="A1153" s="15" t="s">
        <v>264</v>
      </c>
      <c r="B1153" s="15" t="s">
        <v>265</v>
      </c>
      <c r="C1153" s="15" t="s">
        <v>843</v>
      </c>
      <c r="D1153" s="15" t="s">
        <v>844</v>
      </c>
      <c r="E1153" s="15"/>
      <c r="F1153" s="15" t="s">
        <v>825</v>
      </c>
      <c r="G1153" s="15" t="s">
        <v>112</v>
      </c>
      <c r="H1153" s="15"/>
    </row>
    <row r="1154" customFormat="false" ht="15" hidden="false" customHeight="true" outlineLevel="0" collapsed="false">
      <c r="A1154" s="15" t="s">
        <v>264</v>
      </c>
      <c r="B1154" s="15" t="s">
        <v>265</v>
      </c>
      <c r="C1154" s="15" t="s">
        <v>737</v>
      </c>
      <c r="D1154" s="15" t="n">
        <v>210</v>
      </c>
      <c r="E1154" s="15" t="s">
        <v>738</v>
      </c>
      <c r="F1154" s="15" t="s">
        <v>825</v>
      </c>
      <c r="G1154" s="15" t="s">
        <v>112</v>
      </c>
      <c r="H1154" s="15"/>
    </row>
    <row r="1155" customFormat="false" ht="26.25" hidden="false" customHeight="true" outlineLevel="0" collapsed="false">
      <c r="A1155" s="15" t="s">
        <v>264</v>
      </c>
      <c r="B1155" s="15" t="s">
        <v>265</v>
      </c>
      <c r="C1155" s="15" t="s">
        <v>739</v>
      </c>
      <c r="D1155" s="15" t="n">
        <v>180</v>
      </c>
      <c r="E1155" s="15" t="s">
        <v>738</v>
      </c>
      <c r="F1155" s="15" t="s">
        <v>825</v>
      </c>
      <c r="G1155" s="15" t="s">
        <v>819</v>
      </c>
      <c r="H1155" s="15" t="s">
        <v>863</v>
      </c>
    </row>
    <row r="1156" customFormat="false" ht="26.25" hidden="false" customHeight="true" outlineLevel="0" collapsed="false">
      <c r="A1156" s="15" t="s">
        <v>264</v>
      </c>
      <c r="B1156" s="15" t="s">
        <v>265</v>
      </c>
      <c r="C1156" s="15" t="s">
        <v>740</v>
      </c>
      <c r="D1156" s="15" t="n">
        <v>8</v>
      </c>
      <c r="E1156" s="15" t="s">
        <v>741</v>
      </c>
      <c r="F1156" s="15" t="s">
        <v>825</v>
      </c>
      <c r="G1156" s="15" t="s">
        <v>112</v>
      </c>
      <c r="H1156" s="15"/>
    </row>
    <row r="1157" customFormat="false" ht="15" hidden="false" customHeight="true" outlineLevel="0" collapsed="false">
      <c r="A1157" s="15" t="s">
        <v>264</v>
      </c>
      <c r="B1157" s="15" t="s">
        <v>265</v>
      </c>
      <c r="C1157" s="15" t="s">
        <v>742</v>
      </c>
      <c r="D1157" s="15" t="n">
        <v>11.7</v>
      </c>
      <c r="E1157" s="15" t="s">
        <v>741</v>
      </c>
      <c r="F1157" s="15" t="s">
        <v>825</v>
      </c>
      <c r="G1157" s="15" t="s">
        <v>112</v>
      </c>
      <c r="H1157" s="15"/>
    </row>
    <row r="1158" customFormat="false" ht="26.25" hidden="false" customHeight="true" outlineLevel="0" collapsed="false">
      <c r="A1158" s="15" t="s">
        <v>264</v>
      </c>
      <c r="B1158" s="15" t="s">
        <v>265</v>
      </c>
      <c r="C1158" s="15" t="s">
        <v>733</v>
      </c>
      <c r="D1158" s="15" t="s">
        <v>808</v>
      </c>
      <c r="E1158" s="15"/>
      <c r="F1158" s="15" t="s">
        <v>845</v>
      </c>
      <c r="G1158" s="15" t="s">
        <v>112</v>
      </c>
      <c r="H1158" s="15" t="s">
        <v>846</v>
      </c>
    </row>
    <row r="1159" customFormat="false" ht="15" hidden="false" customHeight="true" outlineLevel="0" collapsed="false">
      <c r="A1159" s="15" t="s">
        <v>264</v>
      </c>
      <c r="B1159" s="15" t="s">
        <v>265</v>
      </c>
      <c r="C1159" s="15" t="s">
        <v>785</v>
      </c>
      <c r="D1159" s="15" t="n">
        <v>409</v>
      </c>
      <c r="E1159" s="15" t="s">
        <v>786</v>
      </c>
      <c r="F1159" s="15" t="s">
        <v>828</v>
      </c>
      <c r="G1159" s="15" t="s">
        <v>112</v>
      </c>
      <c r="H1159" s="15"/>
    </row>
    <row r="1160" customFormat="false" ht="15" hidden="false" customHeight="true" outlineLevel="0" collapsed="false">
      <c r="A1160" s="15" t="s">
        <v>264</v>
      </c>
      <c r="B1160" s="15" t="s">
        <v>265</v>
      </c>
      <c r="C1160" s="15" t="s">
        <v>811</v>
      </c>
      <c r="D1160" s="15" t="n">
        <v>6.8</v>
      </c>
      <c r="E1160" s="15" t="s">
        <v>812</v>
      </c>
      <c r="F1160" s="15" t="s">
        <v>825</v>
      </c>
      <c r="G1160" s="15" t="s">
        <v>112</v>
      </c>
      <c r="H1160" s="15" t="s">
        <v>864</v>
      </c>
    </row>
    <row r="1161" customFormat="false" ht="15" hidden="false" customHeight="true" outlineLevel="0" collapsed="false">
      <c r="A1161" s="15" t="s">
        <v>264</v>
      </c>
      <c r="B1161" s="15" t="s">
        <v>265</v>
      </c>
      <c r="C1161" s="15" t="s">
        <v>86</v>
      </c>
      <c r="D1161" s="15" t="n">
        <v>6</v>
      </c>
      <c r="E1161" s="15" t="s">
        <v>721</v>
      </c>
      <c r="F1161" s="15" t="s">
        <v>825</v>
      </c>
      <c r="G1161" s="15" t="s">
        <v>112</v>
      </c>
      <c r="H1161" s="15"/>
    </row>
    <row r="1162" customFormat="false" ht="15" hidden="false" customHeight="true" outlineLevel="0" collapsed="false">
      <c r="A1162" s="15" t="s">
        <v>264</v>
      </c>
      <c r="B1162" s="15" t="s">
        <v>265</v>
      </c>
      <c r="C1162" s="15" t="s">
        <v>764</v>
      </c>
      <c r="D1162" s="15" t="s">
        <v>755</v>
      </c>
      <c r="E1162" s="15"/>
      <c r="F1162" s="15" t="s">
        <v>825</v>
      </c>
      <c r="G1162" s="15" t="s">
        <v>112</v>
      </c>
      <c r="H1162" s="15"/>
    </row>
    <row r="1163" customFormat="false" ht="15" hidden="false" customHeight="true" outlineLevel="0" collapsed="false">
      <c r="A1163" s="15" t="s">
        <v>264</v>
      </c>
      <c r="B1163" s="15" t="s">
        <v>265</v>
      </c>
      <c r="C1163" s="15" t="s">
        <v>749</v>
      </c>
      <c r="D1163" s="15" t="s">
        <v>806</v>
      </c>
      <c r="E1163" s="15"/>
      <c r="F1163" s="15" t="s">
        <v>825</v>
      </c>
      <c r="G1163" s="15" t="s">
        <v>112</v>
      </c>
      <c r="H1163" s="15"/>
    </row>
    <row r="1164" customFormat="false" ht="15" hidden="false" customHeight="true" outlineLevel="0" collapsed="false">
      <c r="A1164" s="15" t="s">
        <v>264</v>
      </c>
      <c r="B1164" s="15" t="s">
        <v>265</v>
      </c>
      <c r="C1164" s="15" t="s">
        <v>752</v>
      </c>
      <c r="D1164" s="15" t="s">
        <v>753</v>
      </c>
      <c r="E1164" s="15"/>
      <c r="F1164" s="15" t="s">
        <v>825</v>
      </c>
      <c r="G1164" s="15" t="s">
        <v>112</v>
      </c>
      <c r="H1164" s="15"/>
    </row>
    <row r="1165" customFormat="false" ht="15" hidden="false" customHeight="true" outlineLevel="0" collapsed="false">
      <c r="A1165" s="15" t="s">
        <v>264</v>
      </c>
      <c r="B1165" s="15" t="s">
        <v>265</v>
      </c>
      <c r="C1165" s="15" t="s">
        <v>754</v>
      </c>
      <c r="D1165" s="15" t="s">
        <v>755</v>
      </c>
      <c r="E1165" s="15"/>
      <c r="F1165" s="15" t="s">
        <v>825</v>
      </c>
      <c r="G1165" s="15" t="s">
        <v>112</v>
      </c>
      <c r="H1165" s="15"/>
    </row>
    <row r="1166" customFormat="false" ht="15" hidden="false" customHeight="true" outlineLevel="0" collapsed="false">
      <c r="A1166" s="15" t="s">
        <v>264</v>
      </c>
      <c r="B1166" s="15" t="s">
        <v>265</v>
      </c>
      <c r="C1166" s="15" t="s">
        <v>756</v>
      </c>
      <c r="D1166" s="15" t="s">
        <v>858</v>
      </c>
      <c r="E1166" s="15"/>
      <c r="F1166" s="15" t="s">
        <v>825</v>
      </c>
      <c r="G1166" s="15" t="s">
        <v>112</v>
      </c>
      <c r="H1166" s="15"/>
    </row>
    <row r="1167" customFormat="false" ht="15" hidden="false" customHeight="true" outlineLevel="0" collapsed="false">
      <c r="A1167" s="15" t="s">
        <v>264</v>
      </c>
      <c r="B1167" s="15" t="s">
        <v>265</v>
      </c>
      <c r="C1167" s="15" t="s">
        <v>757</v>
      </c>
      <c r="D1167" s="15" t="s">
        <v>797</v>
      </c>
      <c r="E1167" s="15"/>
      <c r="F1167" s="15" t="s">
        <v>825</v>
      </c>
      <c r="G1167" s="15" t="s">
        <v>112</v>
      </c>
      <c r="H1167" s="15"/>
    </row>
    <row r="1168" customFormat="false" ht="15" hidden="false" customHeight="true" outlineLevel="0" collapsed="false">
      <c r="A1168" s="15" t="s">
        <v>264</v>
      </c>
      <c r="B1168" s="15" t="s">
        <v>265</v>
      </c>
      <c r="C1168" s="15" t="s">
        <v>759</v>
      </c>
      <c r="D1168" s="15" t="s">
        <v>798</v>
      </c>
      <c r="E1168" s="15"/>
      <c r="F1168" s="15" t="s">
        <v>825</v>
      </c>
      <c r="G1168" s="15" t="s">
        <v>112</v>
      </c>
      <c r="H1168" s="15"/>
    </row>
    <row r="1169" customFormat="false" ht="15" hidden="false" customHeight="true" outlineLevel="0" collapsed="false">
      <c r="A1169" s="15" t="s">
        <v>264</v>
      </c>
      <c r="B1169" s="15" t="s">
        <v>265</v>
      </c>
      <c r="C1169" s="15" t="s">
        <v>761</v>
      </c>
      <c r="D1169" s="15" t="s">
        <v>755</v>
      </c>
      <c r="E1169" s="15"/>
      <c r="F1169" s="15" t="s">
        <v>825</v>
      </c>
      <c r="G1169" s="15" t="s">
        <v>112</v>
      </c>
      <c r="H1169" s="15"/>
    </row>
    <row r="1170" customFormat="false" ht="15" hidden="false" customHeight="true" outlineLevel="0" collapsed="false">
      <c r="A1170" s="15" t="s">
        <v>264</v>
      </c>
      <c r="B1170" s="15" t="s">
        <v>265</v>
      </c>
      <c r="C1170" s="15" t="s">
        <v>762</v>
      </c>
      <c r="D1170" s="15" t="s">
        <v>755</v>
      </c>
      <c r="E1170" s="15"/>
      <c r="F1170" s="15" t="s">
        <v>825</v>
      </c>
      <c r="G1170" s="15" t="s">
        <v>112</v>
      </c>
      <c r="H1170" s="15"/>
    </row>
    <row r="1171" customFormat="false" ht="15" hidden="false" customHeight="true" outlineLevel="0" collapsed="false">
      <c r="A1171" s="15" t="s">
        <v>264</v>
      </c>
      <c r="B1171" s="15" t="s">
        <v>265</v>
      </c>
      <c r="C1171" s="15" t="s">
        <v>92</v>
      </c>
      <c r="D1171" s="15" t="s">
        <v>755</v>
      </c>
      <c r="E1171" s="15"/>
      <c r="F1171" s="15" t="s">
        <v>825</v>
      </c>
      <c r="G1171" s="15" t="s">
        <v>112</v>
      </c>
      <c r="H1171" s="15"/>
    </row>
    <row r="1172" customFormat="false" ht="15" hidden="false" customHeight="true" outlineLevel="0" collapsed="false">
      <c r="A1172" s="15" t="s">
        <v>264</v>
      </c>
      <c r="B1172" s="15" t="s">
        <v>265</v>
      </c>
      <c r="C1172" s="15" t="s">
        <v>763</v>
      </c>
      <c r="D1172" s="15" t="s">
        <v>755</v>
      </c>
      <c r="E1172" s="15"/>
      <c r="F1172" s="15" t="s">
        <v>825</v>
      </c>
      <c r="G1172" s="15" t="s">
        <v>112</v>
      </c>
      <c r="H1172" s="15"/>
    </row>
    <row r="1173" customFormat="false" ht="15" hidden="false" customHeight="true" outlineLevel="0" collapsed="false">
      <c r="A1173" s="15" t="s">
        <v>264</v>
      </c>
      <c r="B1173" s="15" t="s">
        <v>265</v>
      </c>
      <c r="C1173" s="15" t="s">
        <v>848</v>
      </c>
      <c r="D1173" s="15" t="s">
        <v>859</v>
      </c>
      <c r="E1173" s="15"/>
      <c r="F1173" s="15" t="s">
        <v>825</v>
      </c>
      <c r="G1173" s="15" t="s">
        <v>112</v>
      </c>
      <c r="H1173" s="15"/>
    </row>
    <row r="1174" customFormat="false" ht="15" hidden="false" customHeight="true" outlineLevel="0" collapsed="false">
      <c r="A1174" s="15" t="s">
        <v>264</v>
      </c>
      <c r="B1174" s="15" t="s">
        <v>265</v>
      </c>
      <c r="C1174" s="15" t="s">
        <v>747</v>
      </c>
      <c r="D1174" s="15" t="s">
        <v>801</v>
      </c>
      <c r="E1174" s="15"/>
      <c r="F1174" s="15" t="s">
        <v>825</v>
      </c>
      <c r="G1174" s="15" t="s">
        <v>112</v>
      </c>
      <c r="H1174" s="15"/>
    </row>
    <row r="1175" customFormat="false" ht="15" hidden="false" customHeight="true" outlineLevel="0" collapsed="false">
      <c r="A1175" s="15" t="s">
        <v>264</v>
      </c>
      <c r="B1175" s="15" t="s">
        <v>265</v>
      </c>
      <c r="C1175" s="15" t="s">
        <v>851</v>
      </c>
      <c r="D1175" s="15" t="s">
        <v>860</v>
      </c>
      <c r="E1175" s="15"/>
      <c r="F1175" s="15" t="s">
        <v>825</v>
      </c>
      <c r="G1175" s="15" t="s">
        <v>112</v>
      </c>
      <c r="H1175" s="15"/>
    </row>
    <row r="1176" customFormat="false" ht="15" hidden="false" customHeight="true" outlineLevel="0" collapsed="false">
      <c r="A1176" s="15" t="s">
        <v>264</v>
      </c>
      <c r="B1176" s="15" t="s">
        <v>265</v>
      </c>
      <c r="C1176" s="15" t="s">
        <v>853</v>
      </c>
      <c r="D1176" s="15" t="s">
        <v>861</v>
      </c>
      <c r="E1176" s="15"/>
      <c r="F1176" s="15" t="s">
        <v>825</v>
      </c>
      <c r="G1176" s="15" t="s">
        <v>112</v>
      </c>
      <c r="H1176" s="15"/>
    </row>
    <row r="1177" customFormat="false" ht="15" hidden="false" customHeight="true" outlineLevel="0" collapsed="false">
      <c r="A1177" s="15" t="s">
        <v>264</v>
      </c>
      <c r="B1177" s="15" t="s">
        <v>265</v>
      </c>
      <c r="C1177" s="15" t="s">
        <v>854</v>
      </c>
      <c r="D1177" s="15" t="s">
        <v>755</v>
      </c>
      <c r="E1177" s="15"/>
      <c r="F1177" s="15" t="s">
        <v>825</v>
      </c>
      <c r="G1177" s="15" t="s">
        <v>112</v>
      </c>
      <c r="H1177" s="15"/>
    </row>
    <row r="1178" customFormat="false" ht="15" hidden="false" customHeight="true" outlineLevel="0" collapsed="false">
      <c r="A1178" s="15" t="s">
        <v>264</v>
      </c>
      <c r="B1178" s="15" t="s">
        <v>265</v>
      </c>
      <c r="C1178" s="15" t="s">
        <v>855</v>
      </c>
      <c r="D1178" s="15" t="s">
        <v>862</v>
      </c>
      <c r="E1178" s="15"/>
      <c r="F1178" s="15" t="s">
        <v>825</v>
      </c>
      <c r="G1178" s="15" t="s">
        <v>112</v>
      </c>
      <c r="H1178" s="15"/>
    </row>
    <row r="1179" customFormat="false" ht="15" hidden="false" customHeight="true" outlineLevel="0" collapsed="false">
      <c r="A1179" s="15" t="s">
        <v>264</v>
      </c>
      <c r="B1179" s="15" t="s">
        <v>265</v>
      </c>
      <c r="C1179" s="15" t="s">
        <v>857</v>
      </c>
      <c r="D1179" s="15" t="s">
        <v>803</v>
      </c>
      <c r="E1179" s="15"/>
      <c r="F1179" s="15" t="s">
        <v>825</v>
      </c>
      <c r="G1179" s="15" t="s">
        <v>112</v>
      </c>
      <c r="H1179" s="15"/>
    </row>
    <row r="1180" customFormat="false" ht="15" hidden="false" customHeight="true" outlineLevel="0" collapsed="false">
      <c r="A1180" s="15" t="s">
        <v>282</v>
      </c>
      <c r="B1180" s="15" t="s">
        <v>283</v>
      </c>
      <c r="C1180" s="15" t="s">
        <v>769</v>
      </c>
      <c r="D1180" s="15" t="n">
        <v>5</v>
      </c>
      <c r="E1180" s="15" t="s">
        <v>721</v>
      </c>
      <c r="F1180" s="15" t="s">
        <v>824</v>
      </c>
      <c r="G1180" s="15" t="s">
        <v>112</v>
      </c>
      <c r="H1180" s="15"/>
    </row>
    <row r="1181" customFormat="false" ht="15" hidden="false" customHeight="true" outlineLevel="0" collapsed="false">
      <c r="A1181" s="15" t="s">
        <v>282</v>
      </c>
      <c r="B1181" s="15" t="s">
        <v>283</v>
      </c>
      <c r="C1181" s="15" t="s">
        <v>714</v>
      </c>
      <c r="D1181" s="15" t="n">
        <v>380</v>
      </c>
      <c r="E1181" s="15" t="s">
        <v>715</v>
      </c>
      <c r="F1181" s="15" t="s">
        <v>825</v>
      </c>
      <c r="G1181" s="15" t="s">
        <v>112</v>
      </c>
      <c r="H1181" s="15"/>
    </row>
    <row r="1182" customFormat="false" ht="15" hidden="false" customHeight="true" outlineLevel="0" collapsed="false">
      <c r="A1182" s="15" t="s">
        <v>282</v>
      </c>
      <c r="B1182" s="15" t="s">
        <v>283</v>
      </c>
      <c r="C1182" s="15" t="s">
        <v>718</v>
      </c>
      <c r="D1182" s="15" t="s">
        <v>113</v>
      </c>
      <c r="E1182" s="15"/>
      <c r="F1182" s="15" t="s">
        <v>825</v>
      </c>
      <c r="G1182" s="15" t="s">
        <v>112</v>
      </c>
      <c r="H1182" s="15"/>
    </row>
    <row r="1183" customFormat="false" ht="15" hidden="false" customHeight="true" outlineLevel="0" collapsed="false">
      <c r="A1183" s="15" t="s">
        <v>282</v>
      </c>
      <c r="B1183" s="15" t="s">
        <v>283</v>
      </c>
      <c r="C1183" s="15" t="s">
        <v>826</v>
      </c>
      <c r="D1183" s="15" t="s">
        <v>827</v>
      </c>
      <c r="E1183" s="15"/>
      <c r="F1183" s="15" t="s">
        <v>825</v>
      </c>
      <c r="G1183" s="15" t="s">
        <v>112</v>
      </c>
      <c r="H1183" s="15"/>
    </row>
    <row r="1184" customFormat="false" ht="15" hidden="false" customHeight="true" outlineLevel="0" collapsed="false">
      <c r="A1184" s="15" t="s">
        <v>282</v>
      </c>
      <c r="B1184" s="15" t="s">
        <v>283</v>
      </c>
      <c r="C1184" s="15" t="s">
        <v>719</v>
      </c>
      <c r="D1184" s="15" t="n">
        <v>20</v>
      </c>
      <c r="E1184" s="15" t="s">
        <v>720</v>
      </c>
      <c r="F1184" s="15" t="s">
        <v>825</v>
      </c>
      <c r="G1184" s="15" t="s">
        <v>112</v>
      </c>
      <c r="H1184" s="15"/>
    </row>
    <row r="1185" customFormat="false" ht="15" hidden="false" customHeight="true" outlineLevel="0" collapsed="false">
      <c r="A1185" s="15" t="s">
        <v>282</v>
      </c>
      <c r="B1185" s="15" t="s">
        <v>283</v>
      </c>
      <c r="C1185" s="15" t="s">
        <v>722</v>
      </c>
      <c r="D1185" s="15" t="n">
        <v>663</v>
      </c>
      <c r="E1185" s="15" t="s">
        <v>723</v>
      </c>
      <c r="F1185" s="15" t="s">
        <v>825</v>
      </c>
      <c r="G1185" s="15" t="s">
        <v>112</v>
      </c>
      <c r="H1185" s="15"/>
    </row>
    <row r="1186" customFormat="false" ht="15" hidden="false" customHeight="true" outlineLevel="0" collapsed="false">
      <c r="A1186" s="15" t="s">
        <v>282</v>
      </c>
      <c r="B1186" s="15" t="s">
        <v>283</v>
      </c>
      <c r="C1186" s="15" t="s">
        <v>724</v>
      </c>
      <c r="D1186" s="15" t="n">
        <v>150</v>
      </c>
      <c r="E1186" s="15" t="s">
        <v>723</v>
      </c>
      <c r="F1186" s="15" t="s">
        <v>825</v>
      </c>
      <c r="G1186" s="15" t="s">
        <v>112</v>
      </c>
      <c r="H1186" s="15"/>
    </row>
    <row r="1187" customFormat="false" ht="15" hidden="false" customHeight="true" outlineLevel="0" collapsed="false">
      <c r="A1187" s="15" t="s">
        <v>282</v>
      </c>
      <c r="B1187" s="15" t="s">
        <v>283</v>
      </c>
      <c r="C1187" s="15" t="s">
        <v>84</v>
      </c>
      <c r="D1187" s="15" t="n">
        <v>207</v>
      </c>
      <c r="E1187" s="15" t="s">
        <v>725</v>
      </c>
      <c r="F1187" s="15" t="s">
        <v>825</v>
      </c>
      <c r="G1187" s="15" t="s">
        <v>112</v>
      </c>
      <c r="H1187" s="15"/>
    </row>
    <row r="1188" customFormat="false" ht="15" hidden="false" customHeight="true" outlineLevel="0" collapsed="false">
      <c r="A1188" s="15" t="s">
        <v>282</v>
      </c>
      <c r="B1188" s="15" t="s">
        <v>283</v>
      </c>
      <c r="C1188" s="15" t="s">
        <v>726</v>
      </c>
      <c r="D1188" s="15" t="n">
        <v>4789</v>
      </c>
      <c r="E1188" s="15" t="s">
        <v>725</v>
      </c>
      <c r="F1188" s="15" t="s">
        <v>825</v>
      </c>
      <c r="G1188" s="15" t="s">
        <v>112</v>
      </c>
      <c r="H1188" s="15"/>
    </row>
    <row r="1189" customFormat="false" ht="15" hidden="false" customHeight="true" outlineLevel="0" collapsed="false">
      <c r="A1189" s="15" t="s">
        <v>282</v>
      </c>
      <c r="B1189" s="15" t="s">
        <v>283</v>
      </c>
      <c r="C1189" s="15" t="s">
        <v>727</v>
      </c>
      <c r="D1189" s="15" t="n">
        <v>1907</v>
      </c>
      <c r="E1189" s="15" t="s">
        <v>725</v>
      </c>
      <c r="F1189" s="15" t="s">
        <v>825</v>
      </c>
      <c r="G1189" s="15" t="s">
        <v>112</v>
      </c>
      <c r="H1189" s="15"/>
    </row>
    <row r="1190" customFormat="false" ht="15" hidden="false" customHeight="true" outlineLevel="0" collapsed="false">
      <c r="A1190" s="15" t="s">
        <v>282</v>
      </c>
      <c r="B1190" s="15" t="s">
        <v>283</v>
      </c>
      <c r="C1190" s="15" t="s">
        <v>728</v>
      </c>
      <c r="D1190" s="15" t="n">
        <v>1694</v>
      </c>
      <c r="E1190" s="15" t="s">
        <v>725</v>
      </c>
      <c r="F1190" s="15" t="s">
        <v>825</v>
      </c>
      <c r="G1190" s="15" t="s">
        <v>112</v>
      </c>
      <c r="H1190" s="15"/>
    </row>
    <row r="1191" customFormat="false" ht="15" hidden="false" customHeight="true" outlineLevel="0" collapsed="false">
      <c r="A1191" s="15" t="s">
        <v>282</v>
      </c>
      <c r="B1191" s="15" t="s">
        <v>283</v>
      </c>
      <c r="C1191" s="15" t="s">
        <v>729</v>
      </c>
      <c r="D1191" s="15" t="n">
        <v>2775</v>
      </c>
      <c r="E1191" s="15" t="s">
        <v>725</v>
      </c>
      <c r="F1191" s="15" t="s">
        <v>825</v>
      </c>
      <c r="G1191" s="15" t="s">
        <v>112</v>
      </c>
      <c r="H1191" s="15"/>
    </row>
    <row r="1192" customFormat="false" ht="15" hidden="false" customHeight="true" outlineLevel="0" collapsed="false">
      <c r="A1192" s="15" t="s">
        <v>282</v>
      </c>
      <c r="B1192" s="15" t="s">
        <v>283</v>
      </c>
      <c r="C1192" s="15" t="s">
        <v>730</v>
      </c>
      <c r="D1192" s="15" t="n">
        <v>10</v>
      </c>
      <c r="E1192" s="15" t="s">
        <v>731</v>
      </c>
      <c r="F1192" s="15" t="s">
        <v>825</v>
      </c>
      <c r="G1192" s="15" t="s">
        <v>112</v>
      </c>
      <c r="H1192" s="15"/>
    </row>
    <row r="1193" customFormat="false" ht="15" hidden="false" customHeight="true" outlineLevel="0" collapsed="false">
      <c r="A1193" s="15" t="s">
        <v>282</v>
      </c>
      <c r="B1193" s="15" t="s">
        <v>283</v>
      </c>
      <c r="C1193" s="15" t="s">
        <v>776</v>
      </c>
      <c r="D1193" s="15" t="s">
        <v>800</v>
      </c>
      <c r="E1193" s="15"/>
      <c r="F1193" s="15" t="s">
        <v>825</v>
      </c>
      <c r="G1193" s="15" t="s">
        <v>112</v>
      </c>
      <c r="H1193" s="15"/>
    </row>
    <row r="1194" customFormat="false" ht="15" hidden="false" customHeight="true" outlineLevel="0" collapsed="false">
      <c r="A1194" s="15" t="s">
        <v>282</v>
      </c>
      <c r="B1194" s="15" t="s">
        <v>283</v>
      </c>
      <c r="C1194" s="15" t="s">
        <v>780</v>
      </c>
      <c r="D1194" s="15" t="s">
        <v>781</v>
      </c>
      <c r="E1194" s="15"/>
      <c r="F1194" s="15" t="s">
        <v>825</v>
      </c>
      <c r="G1194" s="15" t="s">
        <v>112</v>
      </c>
      <c r="H1194" s="15"/>
    </row>
    <row r="1195" customFormat="false" ht="15" hidden="false" customHeight="true" outlineLevel="0" collapsed="false">
      <c r="A1195" s="15" t="s">
        <v>282</v>
      </c>
      <c r="B1195" s="15" t="s">
        <v>283</v>
      </c>
      <c r="C1195" s="15" t="s">
        <v>789</v>
      </c>
      <c r="D1195" s="15" t="s">
        <v>790</v>
      </c>
      <c r="E1195" s="15"/>
      <c r="F1195" s="15" t="s">
        <v>825</v>
      </c>
      <c r="G1195" s="15" t="s">
        <v>112</v>
      </c>
      <c r="H1195" s="15"/>
    </row>
    <row r="1196" customFormat="false" ht="15" hidden="false" customHeight="true" outlineLevel="0" collapsed="false">
      <c r="A1196" s="15" t="s">
        <v>282</v>
      </c>
      <c r="B1196" s="15" t="s">
        <v>283</v>
      </c>
      <c r="C1196" s="15" t="s">
        <v>784</v>
      </c>
      <c r="D1196" s="15" t="n">
        <v>11</v>
      </c>
      <c r="E1196" s="15" t="s">
        <v>738</v>
      </c>
      <c r="F1196" s="15" t="s">
        <v>828</v>
      </c>
      <c r="G1196" s="15" t="s">
        <v>112</v>
      </c>
      <c r="H1196" s="15"/>
    </row>
    <row r="1197" customFormat="false" ht="15" hidden="false" customHeight="true" outlineLevel="0" collapsed="false">
      <c r="A1197" s="15" t="s">
        <v>282</v>
      </c>
      <c r="B1197" s="15" t="s">
        <v>283</v>
      </c>
      <c r="C1197" s="15" t="s">
        <v>782</v>
      </c>
      <c r="D1197" s="15" t="n">
        <v>36</v>
      </c>
      <c r="E1197" s="15" t="s">
        <v>783</v>
      </c>
      <c r="F1197" s="15" t="s">
        <v>828</v>
      </c>
      <c r="G1197" s="15" t="s">
        <v>112</v>
      </c>
      <c r="H1197" s="15"/>
    </row>
    <row r="1198" customFormat="false" ht="26.25" hidden="false" customHeight="true" outlineLevel="0" collapsed="false">
      <c r="A1198" s="15" t="s">
        <v>282</v>
      </c>
      <c r="B1198" s="15" t="s">
        <v>283</v>
      </c>
      <c r="C1198" s="15" t="s">
        <v>98</v>
      </c>
      <c r="D1198" s="15" t="s">
        <v>732</v>
      </c>
      <c r="E1198" s="15"/>
      <c r="F1198" s="15" t="s">
        <v>829</v>
      </c>
      <c r="G1198" s="15" t="s">
        <v>112</v>
      </c>
      <c r="H1198" s="15"/>
    </row>
    <row r="1199" customFormat="false" ht="26.25" hidden="false" customHeight="true" outlineLevel="0" collapsed="false">
      <c r="A1199" s="15" t="s">
        <v>282</v>
      </c>
      <c r="B1199" s="15" t="s">
        <v>283</v>
      </c>
      <c r="C1199" s="15" t="s">
        <v>830</v>
      </c>
      <c r="D1199" s="15" t="s">
        <v>831</v>
      </c>
      <c r="E1199" s="15"/>
      <c r="F1199" s="15" t="s">
        <v>832</v>
      </c>
      <c r="G1199" s="15" t="s">
        <v>112</v>
      </c>
      <c r="H1199" s="15"/>
    </row>
    <row r="1200" customFormat="false" ht="15" hidden="false" customHeight="true" outlineLevel="0" collapsed="false">
      <c r="A1200" s="15" t="s">
        <v>282</v>
      </c>
      <c r="B1200" s="15" t="s">
        <v>283</v>
      </c>
      <c r="C1200" s="15" t="s">
        <v>833</v>
      </c>
      <c r="D1200" s="15" t="s">
        <v>834</v>
      </c>
      <c r="E1200" s="15"/>
      <c r="F1200" s="15" t="s">
        <v>832</v>
      </c>
      <c r="G1200" s="15" t="s">
        <v>112</v>
      </c>
      <c r="H1200" s="15"/>
    </row>
    <row r="1201" customFormat="false" ht="15" hidden="false" customHeight="true" outlineLevel="0" collapsed="false">
      <c r="A1201" s="15" t="s">
        <v>282</v>
      </c>
      <c r="B1201" s="15" t="s">
        <v>283</v>
      </c>
      <c r="C1201" s="15" t="s">
        <v>835</v>
      </c>
      <c r="D1201" s="15" t="s">
        <v>836</v>
      </c>
      <c r="E1201" s="15"/>
      <c r="F1201" s="15" t="s">
        <v>832</v>
      </c>
      <c r="G1201" s="15" t="s">
        <v>112</v>
      </c>
      <c r="H1201" s="15"/>
    </row>
    <row r="1202" customFormat="false" ht="15" hidden="false" customHeight="true" outlineLevel="0" collapsed="false">
      <c r="A1202" s="15" t="s">
        <v>282</v>
      </c>
      <c r="B1202" s="15" t="s">
        <v>283</v>
      </c>
      <c r="C1202" s="15" t="s">
        <v>837</v>
      </c>
      <c r="D1202" s="15" t="n">
        <v>10000</v>
      </c>
      <c r="E1202" s="15" t="s">
        <v>838</v>
      </c>
      <c r="F1202" s="15" t="s">
        <v>832</v>
      </c>
      <c r="G1202" s="15" t="s">
        <v>112</v>
      </c>
      <c r="H1202" s="15"/>
    </row>
    <row r="1203" customFormat="false" ht="26.25" hidden="false" customHeight="true" outlineLevel="0" collapsed="false">
      <c r="A1203" s="15" t="s">
        <v>282</v>
      </c>
      <c r="B1203" s="15" t="s">
        <v>283</v>
      </c>
      <c r="C1203" s="15" t="s">
        <v>839</v>
      </c>
      <c r="D1203" s="15" t="s">
        <v>840</v>
      </c>
      <c r="E1203" s="15"/>
      <c r="F1203" s="15" t="s">
        <v>832</v>
      </c>
      <c r="G1203" s="15" t="s">
        <v>112</v>
      </c>
      <c r="H1203" s="15"/>
    </row>
    <row r="1204" customFormat="false" ht="15" hidden="false" customHeight="true" outlineLevel="0" collapsed="false">
      <c r="A1204" s="15" t="s">
        <v>282</v>
      </c>
      <c r="B1204" s="15" t="s">
        <v>283</v>
      </c>
      <c r="C1204" s="15" t="s">
        <v>841</v>
      </c>
      <c r="D1204" s="15" t="s">
        <v>842</v>
      </c>
      <c r="E1204" s="15"/>
      <c r="F1204" s="15" t="s">
        <v>832</v>
      </c>
      <c r="G1204" s="15" t="s">
        <v>112</v>
      </c>
      <c r="H1204" s="15"/>
    </row>
    <row r="1205" customFormat="false" ht="15" hidden="false" customHeight="true" outlineLevel="0" collapsed="false">
      <c r="A1205" s="15" t="s">
        <v>282</v>
      </c>
      <c r="B1205" s="15" t="s">
        <v>283</v>
      </c>
      <c r="C1205" s="15" t="s">
        <v>843</v>
      </c>
      <c r="D1205" s="15" t="s">
        <v>844</v>
      </c>
      <c r="E1205" s="15"/>
      <c r="F1205" s="15" t="s">
        <v>825</v>
      </c>
      <c r="G1205" s="15" t="s">
        <v>112</v>
      </c>
      <c r="H1205" s="15"/>
    </row>
    <row r="1206" customFormat="false" ht="15" hidden="false" customHeight="true" outlineLevel="0" collapsed="false">
      <c r="A1206" s="15" t="s">
        <v>282</v>
      </c>
      <c r="B1206" s="15" t="s">
        <v>283</v>
      </c>
      <c r="C1206" s="15" t="s">
        <v>737</v>
      </c>
      <c r="D1206" s="15" t="n">
        <v>210</v>
      </c>
      <c r="E1206" s="15" t="s">
        <v>738</v>
      </c>
      <c r="F1206" s="15" t="s">
        <v>825</v>
      </c>
      <c r="G1206" s="15" t="s">
        <v>112</v>
      </c>
      <c r="H1206" s="15"/>
    </row>
    <row r="1207" customFormat="false" ht="26.25" hidden="false" customHeight="true" outlineLevel="0" collapsed="false">
      <c r="A1207" s="15" t="s">
        <v>282</v>
      </c>
      <c r="B1207" s="15" t="s">
        <v>283</v>
      </c>
      <c r="C1207" s="15" t="s">
        <v>739</v>
      </c>
      <c r="D1207" s="15" t="n">
        <v>180</v>
      </c>
      <c r="E1207" s="15" t="s">
        <v>738</v>
      </c>
      <c r="F1207" s="15" t="s">
        <v>825</v>
      </c>
      <c r="G1207" s="15" t="s">
        <v>819</v>
      </c>
      <c r="H1207" s="15" t="s">
        <v>863</v>
      </c>
    </row>
    <row r="1208" customFormat="false" ht="26.25" hidden="false" customHeight="true" outlineLevel="0" collapsed="false">
      <c r="A1208" s="15" t="s">
        <v>282</v>
      </c>
      <c r="B1208" s="15" t="s">
        <v>283</v>
      </c>
      <c r="C1208" s="15" t="s">
        <v>740</v>
      </c>
      <c r="D1208" s="15" t="n">
        <v>8</v>
      </c>
      <c r="E1208" s="15" t="s">
        <v>741</v>
      </c>
      <c r="F1208" s="15" t="s">
        <v>825</v>
      </c>
      <c r="G1208" s="15" t="s">
        <v>112</v>
      </c>
      <c r="H1208" s="15"/>
    </row>
    <row r="1209" customFormat="false" ht="15" hidden="false" customHeight="true" outlineLevel="0" collapsed="false">
      <c r="A1209" s="15" t="s">
        <v>282</v>
      </c>
      <c r="B1209" s="15" t="s">
        <v>283</v>
      </c>
      <c r="C1209" s="15" t="s">
        <v>742</v>
      </c>
      <c r="D1209" s="15" t="n">
        <v>11.7</v>
      </c>
      <c r="E1209" s="15" t="s">
        <v>741</v>
      </c>
      <c r="F1209" s="15" t="s">
        <v>825</v>
      </c>
      <c r="G1209" s="15" t="s">
        <v>112</v>
      </c>
      <c r="H1209" s="15"/>
    </row>
    <row r="1210" customFormat="false" ht="26.25" hidden="false" customHeight="true" outlineLevel="0" collapsed="false">
      <c r="A1210" s="15" t="s">
        <v>282</v>
      </c>
      <c r="B1210" s="15" t="s">
        <v>283</v>
      </c>
      <c r="C1210" s="15" t="s">
        <v>733</v>
      </c>
      <c r="D1210" s="15" t="s">
        <v>808</v>
      </c>
      <c r="E1210" s="15"/>
      <c r="F1210" s="15" t="s">
        <v>845</v>
      </c>
      <c r="G1210" s="15" t="s">
        <v>112</v>
      </c>
      <c r="H1210" s="15" t="s">
        <v>846</v>
      </c>
    </row>
    <row r="1211" customFormat="false" ht="15" hidden="false" customHeight="true" outlineLevel="0" collapsed="false">
      <c r="A1211" s="15" t="s">
        <v>282</v>
      </c>
      <c r="B1211" s="15" t="s">
        <v>283</v>
      </c>
      <c r="C1211" s="15" t="s">
        <v>785</v>
      </c>
      <c r="D1211" s="15" t="n">
        <v>409</v>
      </c>
      <c r="E1211" s="15" t="s">
        <v>786</v>
      </c>
      <c r="F1211" s="15" t="s">
        <v>828</v>
      </c>
      <c r="G1211" s="15" t="s">
        <v>112</v>
      </c>
      <c r="H1211" s="15"/>
    </row>
    <row r="1212" customFormat="false" ht="15" hidden="false" customHeight="true" outlineLevel="0" collapsed="false">
      <c r="A1212" s="15" t="s">
        <v>282</v>
      </c>
      <c r="B1212" s="15" t="s">
        <v>283</v>
      </c>
      <c r="C1212" s="15" t="s">
        <v>811</v>
      </c>
      <c r="D1212" s="15" t="n">
        <v>6.8</v>
      </c>
      <c r="E1212" s="15" t="s">
        <v>812</v>
      </c>
      <c r="F1212" s="15" t="s">
        <v>825</v>
      </c>
      <c r="G1212" s="15" t="s">
        <v>112</v>
      </c>
      <c r="H1212" s="15" t="s">
        <v>864</v>
      </c>
    </row>
    <row r="1213" customFormat="false" ht="15" hidden="false" customHeight="true" outlineLevel="0" collapsed="false">
      <c r="A1213" s="15" t="s">
        <v>282</v>
      </c>
      <c r="B1213" s="15" t="s">
        <v>283</v>
      </c>
      <c r="C1213" s="15" t="s">
        <v>86</v>
      </c>
      <c r="D1213" s="15" t="n">
        <v>6</v>
      </c>
      <c r="E1213" s="15" t="s">
        <v>721</v>
      </c>
      <c r="F1213" s="15" t="s">
        <v>825</v>
      </c>
      <c r="G1213" s="15" t="s">
        <v>112</v>
      </c>
      <c r="H1213" s="15"/>
    </row>
    <row r="1214" customFormat="false" ht="15" hidden="false" customHeight="true" outlineLevel="0" collapsed="false">
      <c r="A1214" s="15" t="s">
        <v>282</v>
      </c>
      <c r="B1214" s="15" t="s">
        <v>283</v>
      </c>
      <c r="C1214" s="15" t="s">
        <v>764</v>
      </c>
      <c r="D1214" s="15" t="s">
        <v>755</v>
      </c>
      <c r="E1214" s="15"/>
      <c r="F1214" s="15" t="s">
        <v>825</v>
      </c>
      <c r="G1214" s="15" t="s">
        <v>112</v>
      </c>
      <c r="H1214" s="15"/>
    </row>
    <row r="1215" customFormat="false" ht="15" hidden="false" customHeight="true" outlineLevel="0" collapsed="false">
      <c r="A1215" s="15" t="s">
        <v>282</v>
      </c>
      <c r="B1215" s="15" t="s">
        <v>283</v>
      </c>
      <c r="C1215" s="15" t="s">
        <v>749</v>
      </c>
      <c r="D1215" s="15" t="s">
        <v>806</v>
      </c>
      <c r="E1215" s="15"/>
      <c r="F1215" s="15" t="s">
        <v>825</v>
      </c>
      <c r="G1215" s="15" t="s">
        <v>112</v>
      </c>
      <c r="H1215" s="15"/>
    </row>
    <row r="1216" customFormat="false" ht="15" hidden="false" customHeight="true" outlineLevel="0" collapsed="false">
      <c r="A1216" s="15" t="s">
        <v>282</v>
      </c>
      <c r="B1216" s="15" t="s">
        <v>283</v>
      </c>
      <c r="C1216" s="15" t="s">
        <v>752</v>
      </c>
      <c r="D1216" s="15" t="s">
        <v>753</v>
      </c>
      <c r="E1216" s="15"/>
      <c r="F1216" s="15" t="s">
        <v>825</v>
      </c>
      <c r="G1216" s="15" t="s">
        <v>112</v>
      </c>
      <c r="H1216" s="15"/>
    </row>
    <row r="1217" customFormat="false" ht="15" hidden="false" customHeight="true" outlineLevel="0" collapsed="false">
      <c r="A1217" s="15" t="s">
        <v>282</v>
      </c>
      <c r="B1217" s="15" t="s">
        <v>283</v>
      </c>
      <c r="C1217" s="15" t="s">
        <v>754</v>
      </c>
      <c r="D1217" s="15" t="s">
        <v>755</v>
      </c>
      <c r="E1217" s="15"/>
      <c r="F1217" s="15" t="s">
        <v>825</v>
      </c>
      <c r="G1217" s="15" t="s">
        <v>112</v>
      </c>
      <c r="H1217" s="15"/>
    </row>
    <row r="1218" customFormat="false" ht="15" hidden="false" customHeight="true" outlineLevel="0" collapsed="false">
      <c r="A1218" s="15" t="s">
        <v>282</v>
      </c>
      <c r="B1218" s="15" t="s">
        <v>283</v>
      </c>
      <c r="C1218" s="15" t="s">
        <v>756</v>
      </c>
      <c r="D1218" s="15" t="s">
        <v>858</v>
      </c>
      <c r="E1218" s="15"/>
      <c r="F1218" s="15" t="s">
        <v>825</v>
      </c>
      <c r="G1218" s="15" t="s">
        <v>112</v>
      </c>
      <c r="H1218" s="15"/>
    </row>
    <row r="1219" customFormat="false" ht="15" hidden="false" customHeight="true" outlineLevel="0" collapsed="false">
      <c r="A1219" s="15" t="s">
        <v>282</v>
      </c>
      <c r="B1219" s="15" t="s">
        <v>283</v>
      </c>
      <c r="C1219" s="15" t="s">
        <v>757</v>
      </c>
      <c r="D1219" s="15" t="s">
        <v>797</v>
      </c>
      <c r="E1219" s="15"/>
      <c r="F1219" s="15" t="s">
        <v>825</v>
      </c>
      <c r="G1219" s="15" t="s">
        <v>112</v>
      </c>
      <c r="H1219" s="15"/>
    </row>
    <row r="1220" customFormat="false" ht="15" hidden="false" customHeight="true" outlineLevel="0" collapsed="false">
      <c r="A1220" s="15" t="s">
        <v>282</v>
      </c>
      <c r="B1220" s="15" t="s">
        <v>283</v>
      </c>
      <c r="C1220" s="15" t="s">
        <v>759</v>
      </c>
      <c r="D1220" s="15" t="s">
        <v>798</v>
      </c>
      <c r="E1220" s="15"/>
      <c r="F1220" s="15" t="s">
        <v>825</v>
      </c>
      <c r="G1220" s="15" t="s">
        <v>112</v>
      </c>
      <c r="H1220" s="15"/>
    </row>
    <row r="1221" customFormat="false" ht="15" hidden="false" customHeight="true" outlineLevel="0" collapsed="false">
      <c r="A1221" s="15" t="s">
        <v>282</v>
      </c>
      <c r="B1221" s="15" t="s">
        <v>283</v>
      </c>
      <c r="C1221" s="15" t="s">
        <v>761</v>
      </c>
      <c r="D1221" s="15" t="s">
        <v>755</v>
      </c>
      <c r="E1221" s="15"/>
      <c r="F1221" s="15" t="s">
        <v>825</v>
      </c>
      <c r="G1221" s="15" t="s">
        <v>112</v>
      </c>
      <c r="H1221" s="15"/>
    </row>
    <row r="1222" customFormat="false" ht="15" hidden="false" customHeight="true" outlineLevel="0" collapsed="false">
      <c r="A1222" s="15" t="s">
        <v>282</v>
      </c>
      <c r="B1222" s="15" t="s">
        <v>283</v>
      </c>
      <c r="C1222" s="15" t="s">
        <v>762</v>
      </c>
      <c r="D1222" s="15" t="s">
        <v>755</v>
      </c>
      <c r="E1222" s="15"/>
      <c r="F1222" s="15" t="s">
        <v>825</v>
      </c>
      <c r="G1222" s="15" t="s">
        <v>112</v>
      </c>
      <c r="H1222" s="15"/>
    </row>
    <row r="1223" customFormat="false" ht="15" hidden="false" customHeight="true" outlineLevel="0" collapsed="false">
      <c r="A1223" s="15" t="s">
        <v>282</v>
      </c>
      <c r="B1223" s="15" t="s">
        <v>283</v>
      </c>
      <c r="C1223" s="15" t="s">
        <v>92</v>
      </c>
      <c r="D1223" s="15" t="s">
        <v>755</v>
      </c>
      <c r="E1223" s="15"/>
      <c r="F1223" s="15" t="s">
        <v>825</v>
      </c>
      <c r="G1223" s="15" t="s">
        <v>112</v>
      </c>
      <c r="H1223" s="15"/>
    </row>
    <row r="1224" customFormat="false" ht="15" hidden="false" customHeight="true" outlineLevel="0" collapsed="false">
      <c r="A1224" s="15" t="s">
        <v>282</v>
      </c>
      <c r="B1224" s="15" t="s">
        <v>283</v>
      </c>
      <c r="C1224" s="15" t="s">
        <v>763</v>
      </c>
      <c r="D1224" s="15" t="s">
        <v>755</v>
      </c>
      <c r="E1224" s="15"/>
      <c r="F1224" s="15" t="s">
        <v>825</v>
      </c>
      <c r="G1224" s="15" t="s">
        <v>112</v>
      </c>
      <c r="H1224" s="15"/>
    </row>
    <row r="1225" customFormat="false" ht="15" hidden="false" customHeight="true" outlineLevel="0" collapsed="false">
      <c r="A1225" s="15" t="s">
        <v>282</v>
      </c>
      <c r="B1225" s="15" t="s">
        <v>283</v>
      </c>
      <c r="C1225" s="15" t="s">
        <v>848</v>
      </c>
      <c r="D1225" s="15" t="s">
        <v>859</v>
      </c>
      <c r="E1225" s="15"/>
      <c r="F1225" s="15" t="s">
        <v>825</v>
      </c>
      <c r="G1225" s="15" t="s">
        <v>112</v>
      </c>
      <c r="H1225" s="15"/>
    </row>
    <row r="1226" customFormat="false" ht="15" hidden="false" customHeight="true" outlineLevel="0" collapsed="false">
      <c r="A1226" s="15" t="s">
        <v>282</v>
      </c>
      <c r="B1226" s="15" t="s">
        <v>283</v>
      </c>
      <c r="C1226" s="15" t="s">
        <v>747</v>
      </c>
      <c r="D1226" s="15" t="s">
        <v>801</v>
      </c>
      <c r="E1226" s="15"/>
      <c r="F1226" s="15" t="s">
        <v>825</v>
      </c>
      <c r="G1226" s="15" t="s">
        <v>112</v>
      </c>
      <c r="H1226" s="15"/>
    </row>
    <row r="1227" customFormat="false" ht="15" hidden="false" customHeight="true" outlineLevel="0" collapsed="false">
      <c r="A1227" s="15" t="s">
        <v>282</v>
      </c>
      <c r="B1227" s="15" t="s">
        <v>283</v>
      </c>
      <c r="C1227" s="15" t="s">
        <v>851</v>
      </c>
      <c r="D1227" s="15" t="s">
        <v>860</v>
      </c>
      <c r="E1227" s="15"/>
      <c r="F1227" s="15" t="s">
        <v>825</v>
      </c>
      <c r="G1227" s="15" t="s">
        <v>112</v>
      </c>
      <c r="H1227" s="15"/>
    </row>
    <row r="1228" customFormat="false" ht="15" hidden="false" customHeight="true" outlineLevel="0" collapsed="false">
      <c r="A1228" s="15" t="s">
        <v>282</v>
      </c>
      <c r="B1228" s="15" t="s">
        <v>283</v>
      </c>
      <c r="C1228" s="15" t="s">
        <v>853</v>
      </c>
      <c r="D1228" s="15" t="s">
        <v>861</v>
      </c>
      <c r="E1228" s="15"/>
      <c r="F1228" s="15" t="s">
        <v>825</v>
      </c>
      <c r="G1228" s="15" t="s">
        <v>112</v>
      </c>
      <c r="H1228" s="15"/>
    </row>
    <row r="1229" customFormat="false" ht="15" hidden="false" customHeight="true" outlineLevel="0" collapsed="false">
      <c r="A1229" s="15" t="s">
        <v>282</v>
      </c>
      <c r="B1229" s="15" t="s">
        <v>283</v>
      </c>
      <c r="C1229" s="15" t="s">
        <v>854</v>
      </c>
      <c r="D1229" s="15" t="s">
        <v>755</v>
      </c>
      <c r="E1229" s="15"/>
      <c r="F1229" s="15" t="s">
        <v>825</v>
      </c>
      <c r="G1229" s="15" t="s">
        <v>112</v>
      </c>
      <c r="H1229" s="15"/>
    </row>
    <row r="1230" customFormat="false" ht="15" hidden="false" customHeight="true" outlineLevel="0" collapsed="false">
      <c r="A1230" s="15" t="s">
        <v>282</v>
      </c>
      <c r="B1230" s="15" t="s">
        <v>283</v>
      </c>
      <c r="C1230" s="15" t="s">
        <v>855</v>
      </c>
      <c r="D1230" s="15" t="s">
        <v>862</v>
      </c>
      <c r="E1230" s="15"/>
      <c r="F1230" s="15" t="s">
        <v>825</v>
      </c>
      <c r="G1230" s="15" t="s">
        <v>112</v>
      </c>
      <c r="H1230" s="15"/>
    </row>
    <row r="1231" customFormat="false" ht="15" hidden="false" customHeight="true" outlineLevel="0" collapsed="false">
      <c r="A1231" s="15" t="s">
        <v>282</v>
      </c>
      <c r="B1231" s="15" t="s">
        <v>283</v>
      </c>
      <c r="C1231" s="15" t="s">
        <v>857</v>
      </c>
      <c r="D1231" s="15" t="s">
        <v>803</v>
      </c>
      <c r="E1231" s="15"/>
      <c r="F1231" s="15" t="s">
        <v>825</v>
      </c>
      <c r="G1231" s="15" t="s">
        <v>112</v>
      </c>
      <c r="H1231" s="15"/>
    </row>
    <row r="1232" customFormat="false" ht="26.25" hidden="false" customHeight="true" outlineLevel="0" collapsed="false">
      <c r="A1232" s="15" t="s">
        <v>268</v>
      </c>
      <c r="B1232" s="15" t="s">
        <v>269</v>
      </c>
      <c r="C1232" s="15" t="s">
        <v>769</v>
      </c>
      <c r="D1232" s="15" t="n">
        <v>5</v>
      </c>
      <c r="E1232" s="15" t="s">
        <v>721</v>
      </c>
      <c r="F1232" s="15" t="s">
        <v>824</v>
      </c>
      <c r="G1232" s="15" t="s">
        <v>112</v>
      </c>
      <c r="H1232" s="15"/>
    </row>
    <row r="1233" customFormat="false" ht="26.25" hidden="false" customHeight="true" outlineLevel="0" collapsed="false">
      <c r="A1233" s="15" t="s">
        <v>268</v>
      </c>
      <c r="B1233" s="15" t="s">
        <v>269</v>
      </c>
      <c r="C1233" s="15" t="s">
        <v>714</v>
      </c>
      <c r="D1233" s="15" t="n">
        <v>380</v>
      </c>
      <c r="E1233" s="15" t="s">
        <v>715</v>
      </c>
      <c r="F1233" s="15" t="s">
        <v>825</v>
      </c>
      <c r="G1233" s="15" t="s">
        <v>112</v>
      </c>
      <c r="H1233" s="15"/>
    </row>
    <row r="1234" customFormat="false" ht="26.25" hidden="false" customHeight="true" outlineLevel="0" collapsed="false">
      <c r="A1234" s="15" t="s">
        <v>268</v>
      </c>
      <c r="B1234" s="15" t="s">
        <v>269</v>
      </c>
      <c r="C1234" s="15" t="s">
        <v>718</v>
      </c>
      <c r="D1234" s="15" t="s">
        <v>113</v>
      </c>
      <c r="E1234" s="15"/>
      <c r="F1234" s="15" t="s">
        <v>825</v>
      </c>
      <c r="G1234" s="15" t="s">
        <v>112</v>
      </c>
      <c r="H1234" s="15"/>
    </row>
    <row r="1235" customFormat="false" ht="26.25" hidden="false" customHeight="true" outlineLevel="0" collapsed="false">
      <c r="A1235" s="15" t="s">
        <v>268</v>
      </c>
      <c r="B1235" s="15" t="s">
        <v>269</v>
      </c>
      <c r="C1235" s="15" t="s">
        <v>826</v>
      </c>
      <c r="D1235" s="15" t="s">
        <v>827</v>
      </c>
      <c r="E1235" s="15"/>
      <c r="F1235" s="15" t="s">
        <v>825</v>
      </c>
      <c r="G1235" s="15" t="s">
        <v>112</v>
      </c>
      <c r="H1235" s="15"/>
    </row>
    <row r="1236" customFormat="false" ht="26.25" hidden="false" customHeight="true" outlineLevel="0" collapsed="false">
      <c r="A1236" s="15" t="s">
        <v>268</v>
      </c>
      <c r="B1236" s="15" t="s">
        <v>269</v>
      </c>
      <c r="C1236" s="15" t="s">
        <v>719</v>
      </c>
      <c r="D1236" s="15" t="n">
        <v>20</v>
      </c>
      <c r="E1236" s="15" t="s">
        <v>720</v>
      </c>
      <c r="F1236" s="15" t="s">
        <v>825</v>
      </c>
      <c r="G1236" s="15" t="s">
        <v>112</v>
      </c>
      <c r="H1236" s="15"/>
    </row>
    <row r="1237" customFormat="false" ht="26.25" hidden="false" customHeight="true" outlineLevel="0" collapsed="false">
      <c r="A1237" s="15" t="s">
        <v>268</v>
      </c>
      <c r="B1237" s="15" t="s">
        <v>269</v>
      </c>
      <c r="C1237" s="15" t="s">
        <v>722</v>
      </c>
      <c r="D1237" s="15" t="n">
        <v>663</v>
      </c>
      <c r="E1237" s="15" t="s">
        <v>723</v>
      </c>
      <c r="F1237" s="15" t="s">
        <v>825</v>
      </c>
      <c r="G1237" s="15" t="s">
        <v>112</v>
      </c>
      <c r="H1237" s="15"/>
    </row>
    <row r="1238" customFormat="false" ht="26.25" hidden="false" customHeight="true" outlineLevel="0" collapsed="false">
      <c r="A1238" s="15" t="s">
        <v>268</v>
      </c>
      <c r="B1238" s="15" t="s">
        <v>269</v>
      </c>
      <c r="C1238" s="15" t="s">
        <v>724</v>
      </c>
      <c r="D1238" s="15" t="n">
        <v>150</v>
      </c>
      <c r="E1238" s="15" t="s">
        <v>723</v>
      </c>
      <c r="F1238" s="15" t="s">
        <v>825</v>
      </c>
      <c r="G1238" s="15" t="s">
        <v>112</v>
      </c>
      <c r="H1238" s="15"/>
    </row>
    <row r="1239" customFormat="false" ht="26.25" hidden="false" customHeight="true" outlineLevel="0" collapsed="false">
      <c r="A1239" s="15" t="s">
        <v>268</v>
      </c>
      <c r="B1239" s="15" t="s">
        <v>269</v>
      </c>
      <c r="C1239" s="15" t="s">
        <v>84</v>
      </c>
      <c r="D1239" s="15" t="n">
        <v>207</v>
      </c>
      <c r="E1239" s="15" t="s">
        <v>725</v>
      </c>
      <c r="F1239" s="15" t="s">
        <v>825</v>
      </c>
      <c r="G1239" s="15" t="s">
        <v>112</v>
      </c>
      <c r="H1239" s="15"/>
    </row>
    <row r="1240" customFormat="false" ht="26.25" hidden="false" customHeight="true" outlineLevel="0" collapsed="false">
      <c r="A1240" s="15" t="s">
        <v>268</v>
      </c>
      <c r="B1240" s="15" t="s">
        <v>269</v>
      </c>
      <c r="C1240" s="15" t="s">
        <v>726</v>
      </c>
      <c r="D1240" s="15" t="n">
        <v>4789</v>
      </c>
      <c r="E1240" s="15" t="s">
        <v>725</v>
      </c>
      <c r="F1240" s="15" t="s">
        <v>825</v>
      </c>
      <c r="G1240" s="15" t="s">
        <v>112</v>
      </c>
      <c r="H1240" s="15"/>
    </row>
    <row r="1241" customFormat="false" ht="26.25" hidden="false" customHeight="true" outlineLevel="0" collapsed="false">
      <c r="A1241" s="15" t="s">
        <v>268</v>
      </c>
      <c r="B1241" s="15" t="s">
        <v>269</v>
      </c>
      <c r="C1241" s="15" t="s">
        <v>727</v>
      </c>
      <c r="D1241" s="15" t="n">
        <v>1907</v>
      </c>
      <c r="E1241" s="15" t="s">
        <v>725</v>
      </c>
      <c r="F1241" s="15" t="s">
        <v>825</v>
      </c>
      <c r="G1241" s="15" t="s">
        <v>112</v>
      </c>
      <c r="H1241" s="15"/>
    </row>
    <row r="1242" customFormat="false" ht="26.25" hidden="false" customHeight="true" outlineLevel="0" collapsed="false">
      <c r="A1242" s="15" t="s">
        <v>268</v>
      </c>
      <c r="B1242" s="15" t="s">
        <v>269</v>
      </c>
      <c r="C1242" s="15" t="s">
        <v>728</v>
      </c>
      <c r="D1242" s="15" t="n">
        <v>1694</v>
      </c>
      <c r="E1242" s="15" t="s">
        <v>725</v>
      </c>
      <c r="F1242" s="15" t="s">
        <v>825</v>
      </c>
      <c r="G1242" s="15" t="s">
        <v>112</v>
      </c>
      <c r="H1242" s="15"/>
    </row>
    <row r="1243" customFormat="false" ht="26.25" hidden="false" customHeight="true" outlineLevel="0" collapsed="false">
      <c r="A1243" s="15" t="s">
        <v>268</v>
      </c>
      <c r="B1243" s="15" t="s">
        <v>269</v>
      </c>
      <c r="C1243" s="15" t="s">
        <v>729</v>
      </c>
      <c r="D1243" s="15" t="n">
        <v>2775</v>
      </c>
      <c r="E1243" s="15" t="s">
        <v>725</v>
      </c>
      <c r="F1243" s="15" t="s">
        <v>825</v>
      </c>
      <c r="G1243" s="15" t="s">
        <v>112</v>
      </c>
      <c r="H1243" s="15"/>
    </row>
    <row r="1244" customFormat="false" ht="26.25" hidden="false" customHeight="true" outlineLevel="0" collapsed="false">
      <c r="A1244" s="15" t="s">
        <v>268</v>
      </c>
      <c r="B1244" s="15" t="s">
        <v>269</v>
      </c>
      <c r="C1244" s="15" t="s">
        <v>730</v>
      </c>
      <c r="D1244" s="15" t="n">
        <v>10</v>
      </c>
      <c r="E1244" s="15" t="s">
        <v>731</v>
      </c>
      <c r="F1244" s="15" t="s">
        <v>825</v>
      </c>
      <c r="G1244" s="15" t="s">
        <v>112</v>
      </c>
      <c r="H1244" s="15"/>
    </row>
    <row r="1245" customFormat="false" ht="26.25" hidden="false" customHeight="true" outlineLevel="0" collapsed="false">
      <c r="A1245" s="15" t="s">
        <v>268</v>
      </c>
      <c r="B1245" s="15" t="s">
        <v>269</v>
      </c>
      <c r="C1245" s="15" t="s">
        <v>776</v>
      </c>
      <c r="D1245" s="15" t="s">
        <v>800</v>
      </c>
      <c r="E1245" s="15"/>
      <c r="F1245" s="15" t="s">
        <v>825</v>
      </c>
      <c r="G1245" s="15" t="s">
        <v>112</v>
      </c>
      <c r="H1245" s="15"/>
    </row>
    <row r="1246" customFormat="false" ht="26.25" hidden="false" customHeight="true" outlineLevel="0" collapsed="false">
      <c r="A1246" s="15" t="s">
        <v>268</v>
      </c>
      <c r="B1246" s="15" t="s">
        <v>269</v>
      </c>
      <c r="C1246" s="15" t="s">
        <v>780</v>
      </c>
      <c r="D1246" s="15" t="s">
        <v>781</v>
      </c>
      <c r="E1246" s="15"/>
      <c r="F1246" s="15" t="s">
        <v>825</v>
      </c>
      <c r="G1246" s="15" t="s">
        <v>112</v>
      </c>
      <c r="H1246" s="15"/>
    </row>
    <row r="1247" customFormat="false" ht="26.25" hidden="false" customHeight="true" outlineLevel="0" collapsed="false">
      <c r="A1247" s="15" t="s">
        <v>268</v>
      </c>
      <c r="B1247" s="15" t="s">
        <v>269</v>
      </c>
      <c r="C1247" s="15" t="s">
        <v>789</v>
      </c>
      <c r="D1247" s="15" t="s">
        <v>790</v>
      </c>
      <c r="E1247" s="15"/>
      <c r="F1247" s="15" t="s">
        <v>825</v>
      </c>
      <c r="G1247" s="15" t="s">
        <v>112</v>
      </c>
      <c r="H1247" s="15"/>
    </row>
    <row r="1248" customFormat="false" ht="26.25" hidden="false" customHeight="true" outlineLevel="0" collapsed="false">
      <c r="A1248" s="15" t="s">
        <v>268</v>
      </c>
      <c r="B1248" s="15" t="s">
        <v>269</v>
      </c>
      <c r="C1248" s="15" t="s">
        <v>784</v>
      </c>
      <c r="D1248" s="15" t="n">
        <v>11</v>
      </c>
      <c r="E1248" s="15" t="s">
        <v>738</v>
      </c>
      <c r="F1248" s="15" t="s">
        <v>828</v>
      </c>
      <c r="G1248" s="15" t="s">
        <v>112</v>
      </c>
      <c r="H1248" s="15"/>
    </row>
    <row r="1249" customFormat="false" ht="26.25" hidden="false" customHeight="true" outlineLevel="0" collapsed="false">
      <c r="A1249" s="15" t="s">
        <v>268</v>
      </c>
      <c r="B1249" s="15" t="s">
        <v>269</v>
      </c>
      <c r="C1249" s="15" t="s">
        <v>782</v>
      </c>
      <c r="D1249" s="15" t="n">
        <v>36</v>
      </c>
      <c r="E1249" s="15" t="s">
        <v>783</v>
      </c>
      <c r="F1249" s="15" t="s">
        <v>828</v>
      </c>
      <c r="G1249" s="15" t="s">
        <v>112</v>
      </c>
      <c r="H1249" s="15"/>
    </row>
    <row r="1250" customFormat="false" ht="26.25" hidden="false" customHeight="true" outlineLevel="0" collapsed="false">
      <c r="A1250" s="15" t="s">
        <v>268</v>
      </c>
      <c r="B1250" s="15" t="s">
        <v>269</v>
      </c>
      <c r="C1250" s="15" t="s">
        <v>98</v>
      </c>
      <c r="D1250" s="15" t="s">
        <v>732</v>
      </c>
      <c r="E1250" s="15"/>
      <c r="F1250" s="15" t="s">
        <v>829</v>
      </c>
      <c r="G1250" s="15" t="s">
        <v>112</v>
      </c>
      <c r="H1250" s="15"/>
    </row>
    <row r="1251" customFormat="false" ht="26.25" hidden="false" customHeight="true" outlineLevel="0" collapsed="false">
      <c r="A1251" s="15" t="s">
        <v>268</v>
      </c>
      <c r="B1251" s="15" t="s">
        <v>269</v>
      </c>
      <c r="C1251" s="15" t="s">
        <v>830</v>
      </c>
      <c r="D1251" s="15" t="s">
        <v>831</v>
      </c>
      <c r="E1251" s="15"/>
      <c r="F1251" s="15" t="s">
        <v>832</v>
      </c>
      <c r="G1251" s="15" t="s">
        <v>112</v>
      </c>
      <c r="H1251" s="15"/>
    </row>
    <row r="1252" customFormat="false" ht="26.25" hidden="false" customHeight="true" outlineLevel="0" collapsed="false">
      <c r="A1252" s="15" t="s">
        <v>268</v>
      </c>
      <c r="B1252" s="15" t="s">
        <v>269</v>
      </c>
      <c r="C1252" s="15" t="s">
        <v>833</v>
      </c>
      <c r="D1252" s="15" t="s">
        <v>834</v>
      </c>
      <c r="E1252" s="15"/>
      <c r="F1252" s="15" t="s">
        <v>832</v>
      </c>
      <c r="G1252" s="15" t="s">
        <v>112</v>
      </c>
      <c r="H1252" s="15"/>
    </row>
    <row r="1253" customFormat="false" ht="26.25" hidden="false" customHeight="true" outlineLevel="0" collapsed="false">
      <c r="A1253" s="15" t="s">
        <v>268</v>
      </c>
      <c r="B1253" s="15" t="s">
        <v>269</v>
      </c>
      <c r="C1253" s="15" t="s">
        <v>835</v>
      </c>
      <c r="D1253" s="15" t="s">
        <v>836</v>
      </c>
      <c r="E1253" s="15"/>
      <c r="F1253" s="15" t="s">
        <v>832</v>
      </c>
      <c r="G1253" s="15" t="s">
        <v>112</v>
      </c>
      <c r="H1253" s="15"/>
    </row>
    <row r="1254" customFormat="false" ht="26.25" hidden="false" customHeight="true" outlineLevel="0" collapsed="false">
      <c r="A1254" s="15" t="s">
        <v>268</v>
      </c>
      <c r="B1254" s="15" t="s">
        <v>269</v>
      </c>
      <c r="C1254" s="15" t="s">
        <v>837</v>
      </c>
      <c r="D1254" s="15" t="n">
        <v>10000</v>
      </c>
      <c r="E1254" s="15" t="s">
        <v>838</v>
      </c>
      <c r="F1254" s="15" t="s">
        <v>832</v>
      </c>
      <c r="G1254" s="15" t="s">
        <v>112</v>
      </c>
      <c r="H1254" s="15"/>
    </row>
    <row r="1255" customFormat="false" ht="26.25" hidden="false" customHeight="true" outlineLevel="0" collapsed="false">
      <c r="A1255" s="15" t="s">
        <v>268</v>
      </c>
      <c r="B1255" s="15" t="s">
        <v>269</v>
      </c>
      <c r="C1255" s="15" t="s">
        <v>839</v>
      </c>
      <c r="D1255" s="15" t="s">
        <v>840</v>
      </c>
      <c r="E1255" s="15"/>
      <c r="F1255" s="15" t="s">
        <v>832</v>
      </c>
      <c r="G1255" s="15" t="s">
        <v>112</v>
      </c>
      <c r="H1255" s="15"/>
    </row>
    <row r="1256" customFormat="false" ht="26.25" hidden="false" customHeight="true" outlineLevel="0" collapsed="false">
      <c r="A1256" s="15" t="s">
        <v>268</v>
      </c>
      <c r="B1256" s="15" t="s">
        <v>269</v>
      </c>
      <c r="C1256" s="15" t="s">
        <v>841</v>
      </c>
      <c r="D1256" s="15" t="s">
        <v>842</v>
      </c>
      <c r="E1256" s="15"/>
      <c r="F1256" s="15" t="s">
        <v>832</v>
      </c>
      <c r="G1256" s="15" t="s">
        <v>112</v>
      </c>
      <c r="H1256" s="15"/>
    </row>
    <row r="1257" customFormat="false" ht="26.25" hidden="false" customHeight="true" outlineLevel="0" collapsed="false">
      <c r="A1257" s="15" t="s">
        <v>268</v>
      </c>
      <c r="B1257" s="15" t="s">
        <v>269</v>
      </c>
      <c r="C1257" s="15" t="s">
        <v>843</v>
      </c>
      <c r="D1257" s="15" t="s">
        <v>844</v>
      </c>
      <c r="E1257" s="15"/>
      <c r="F1257" s="15" t="s">
        <v>825</v>
      </c>
      <c r="G1257" s="15" t="s">
        <v>112</v>
      </c>
      <c r="H1257" s="15"/>
    </row>
    <row r="1258" customFormat="false" ht="26.25" hidden="false" customHeight="true" outlineLevel="0" collapsed="false">
      <c r="A1258" s="15" t="s">
        <v>268</v>
      </c>
      <c r="B1258" s="15" t="s">
        <v>269</v>
      </c>
      <c r="C1258" s="15" t="s">
        <v>737</v>
      </c>
      <c r="D1258" s="15" t="n">
        <v>170</v>
      </c>
      <c r="E1258" s="15" t="s">
        <v>738</v>
      </c>
      <c r="F1258" s="15" t="s">
        <v>825</v>
      </c>
      <c r="G1258" s="15" t="s">
        <v>112</v>
      </c>
      <c r="H1258" s="15"/>
    </row>
    <row r="1259" customFormat="false" ht="26.25" hidden="false" customHeight="true" outlineLevel="0" collapsed="false">
      <c r="A1259" s="15" t="s">
        <v>268</v>
      </c>
      <c r="B1259" s="15" t="s">
        <v>269</v>
      </c>
      <c r="C1259" s="15" t="s">
        <v>739</v>
      </c>
      <c r="D1259" s="15" t="n">
        <v>140</v>
      </c>
      <c r="E1259" s="15" t="s">
        <v>738</v>
      </c>
      <c r="F1259" s="15" t="s">
        <v>825</v>
      </c>
      <c r="G1259" s="15" t="s">
        <v>112</v>
      </c>
      <c r="H1259" s="15"/>
    </row>
    <row r="1260" customFormat="false" ht="26.25" hidden="false" customHeight="true" outlineLevel="0" collapsed="false">
      <c r="A1260" s="15" t="s">
        <v>268</v>
      </c>
      <c r="B1260" s="15" t="s">
        <v>269</v>
      </c>
      <c r="C1260" s="15" t="s">
        <v>740</v>
      </c>
      <c r="D1260" s="15" t="n">
        <v>6</v>
      </c>
      <c r="E1260" s="15" t="s">
        <v>741</v>
      </c>
      <c r="F1260" s="15" t="s">
        <v>825</v>
      </c>
      <c r="G1260" s="15" t="s">
        <v>112</v>
      </c>
      <c r="H1260" s="15"/>
    </row>
    <row r="1261" customFormat="false" ht="26.25" hidden="false" customHeight="true" outlineLevel="0" collapsed="false">
      <c r="A1261" s="15" t="s">
        <v>268</v>
      </c>
      <c r="B1261" s="15" t="s">
        <v>269</v>
      </c>
      <c r="C1261" s="15" t="s">
        <v>742</v>
      </c>
      <c r="D1261" s="15" t="n">
        <v>8.7</v>
      </c>
      <c r="E1261" s="15" t="s">
        <v>741</v>
      </c>
      <c r="F1261" s="15" t="s">
        <v>825</v>
      </c>
      <c r="G1261" s="15" t="s">
        <v>112</v>
      </c>
      <c r="H1261" s="15"/>
    </row>
    <row r="1262" customFormat="false" ht="26.25" hidden="false" customHeight="true" outlineLevel="0" collapsed="false">
      <c r="A1262" s="15" t="s">
        <v>268</v>
      </c>
      <c r="B1262" s="15" t="s">
        <v>269</v>
      </c>
      <c r="C1262" s="15" t="s">
        <v>733</v>
      </c>
      <c r="D1262" s="15" t="s">
        <v>734</v>
      </c>
      <c r="E1262" s="15"/>
      <c r="F1262" s="15" t="s">
        <v>845</v>
      </c>
      <c r="G1262" s="15" t="s">
        <v>112</v>
      </c>
      <c r="H1262" s="15" t="s">
        <v>846</v>
      </c>
    </row>
    <row r="1263" customFormat="false" ht="26.25" hidden="false" customHeight="true" outlineLevel="0" collapsed="false">
      <c r="A1263" s="15" t="s">
        <v>268</v>
      </c>
      <c r="B1263" s="15" t="s">
        <v>269</v>
      </c>
      <c r="C1263" s="15" t="s">
        <v>785</v>
      </c>
      <c r="D1263" s="15" t="n">
        <v>307</v>
      </c>
      <c r="E1263" s="15" t="s">
        <v>786</v>
      </c>
      <c r="F1263" s="15" t="s">
        <v>828</v>
      </c>
      <c r="G1263" s="15" t="s">
        <v>112</v>
      </c>
      <c r="H1263" s="15"/>
    </row>
    <row r="1264" customFormat="false" ht="26.25" hidden="false" customHeight="true" outlineLevel="0" collapsed="false">
      <c r="A1264" s="15" t="s">
        <v>268</v>
      </c>
      <c r="B1264" s="15" t="s">
        <v>269</v>
      </c>
      <c r="C1264" s="15" t="s">
        <v>86</v>
      </c>
      <c r="D1264" s="15" t="n">
        <v>7</v>
      </c>
      <c r="E1264" s="15" t="s">
        <v>721</v>
      </c>
      <c r="F1264" s="15" t="s">
        <v>825</v>
      </c>
      <c r="G1264" s="15" t="s">
        <v>112</v>
      </c>
      <c r="H1264" s="15"/>
    </row>
    <row r="1265" customFormat="false" ht="26.25" hidden="false" customHeight="true" outlineLevel="0" collapsed="false">
      <c r="A1265" s="15" t="s">
        <v>268</v>
      </c>
      <c r="B1265" s="15" t="s">
        <v>269</v>
      </c>
      <c r="C1265" s="15" t="s">
        <v>764</v>
      </c>
      <c r="D1265" s="15" t="s">
        <v>803</v>
      </c>
      <c r="E1265" s="15"/>
      <c r="F1265" s="15" t="s">
        <v>825</v>
      </c>
      <c r="G1265" s="15" t="s">
        <v>112</v>
      </c>
      <c r="H1265" s="15"/>
    </row>
    <row r="1266" customFormat="false" ht="26.25" hidden="false" customHeight="true" outlineLevel="0" collapsed="false">
      <c r="A1266" s="15" t="s">
        <v>268</v>
      </c>
      <c r="B1266" s="15" t="s">
        <v>269</v>
      </c>
      <c r="C1266" s="15" t="s">
        <v>749</v>
      </c>
      <c r="D1266" s="15" t="s">
        <v>806</v>
      </c>
      <c r="E1266" s="15"/>
      <c r="F1266" s="15" t="s">
        <v>825</v>
      </c>
      <c r="G1266" s="15" t="s">
        <v>112</v>
      </c>
      <c r="H1266" s="15"/>
    </row>
    <row r="1267" customFormat="false" ht="26.25" hidden="false" customHeight="true" outlineLevel="0" collapsed="false">
      <c r="A1267" s="15" t="s">
        <v>268</v>
      </c>
      <c r="B1267" s="15" t="s">
        <v>269</v>
      </c>
      <c r="C1267" s="15" t="s">
        <v>752</v>
      </c>
      <c r="D1267" s="15" t="s">
        <v>865</v>
      </c>
      <c r="E1267" s="15"/>
      <c r="F1267" s="15" t="s">
        <v>825</v>
      </c>
      <c r="G1267" s="15" t="s">
        <v>112</v>
      </c>
      <c r="H1267" s="15"/>
    </row>
    <row r="1268" customFormat="false" ht="26.25" hidden="false" customHeight="true" outlineLevel="0" collapsed="false">
      <c r="A1268" s="15" t="s">
        <v>268</v>
      </c>
      <c r="B1268" s="15" t="s">
        <v>269</v>
      </c>
      <c r="C1268" s="15" t="s">
        <v>754</v>
      </c>
      <c r="D1268" s="15" t="s">
        <v>803</v>
      </c>
      <c r="E1268" s="15"/>
      <c r="F1268" s="15" t="s">
        <v>825</v>
      </c>
      <c r="G1268" s="15" t="s">
        <v>112</v>
      </c>
      <c r="H1268" s="15"/>
    </row>
    <row r="1269" customFormat="false" ht="26.25" hidden="false" customHeight="true" outlineLevel="0" collapsed="false">
      <c r="A1269" s="15" t="s">
        <v>268</v>
      </c>
      <c r="B1269" s="15" t="s">
        <v>269</v>
      </c>
      <c r="C1269" s="15" t="s">
        <v>756</v>
      </c>
      <c r="D1269" s="15" t="s">
        <v>858</v>
      </c>
      <c r="E1269" s="15"/>
      <c r="F1269" s="15" t="s">
        <v>825</v>
      </c>
      <c r="G1269" s="15" t="s">
        <v>112</v>
      </c>
      <c r="H1269" s="15"/>
    </row>
    <row r="1270" customFormat="false" ht="26.25" hidden="false" customHeight="true" outlineLevel="0" collapsed="false">
      <c r="A1270" s="15" t="s">
        <v>268</v>
      </c>
      <c r="B1270" s="15" t="s">
        <v>269</v>
      </c>
      <c r="C1270" s="15" t="s">
        <v>757</v>
      </c>
      <c r="D1270" s="15" t="s">
        <v>797</v>
      </c>
      <c r="E1270" s="15"/>
      <c r="F1270" s="15" t="s">
        <v>825</v>
      </c>
      <c r="G1270" s="15" t="s">
        <v>112</v>
      </c>
      <c r="H1270" s="15"/>
    </row>
    <row r="1271" customFormat="false" ht="26.25" hidden="false" customHeight="true" outlineLevel="0" collapsed="false">
      <c r="A1271" s="15" t="s">
        <v>268</v>
      </c>
      <c r="B1271" s="15" t="s">
        <v>269</v>
      </c>
      <c r="C1271" s="15" t="s">
        <v>759</v>
      </c>
      <c r="D1271" s="15" t="s">
        <v>798</v>
      </c>
      <c r="E1271" s="15"/>
      <c r="F1271" s="15" t="s">
        <v>825</v>
      </c>
      <c r="G1271" s="15" t="s">
        <v>112</v>
      </c>
      <c r="H1271" s="15"/>
    </row>
    <row r="1272" customFormat="false" ht="26.25" hidden="false" customHeight="true" outlineLevel="0" collapsed="false">
      <c r="A1272" s="15" t="s">
        <v>268</v>
      </c>
      <c r="B1272" s="15" t="s">
        <v>269</v>
      </c>
      <c r="C1272" s="15" t="s">
        <v>761</v>
      </c>
      <c r="D1272" s="15" t="s">
        <v>755</v>
      </c>
      <c r="E1272" s="15"/>
      <c r="F1272" s="15" t="s">
        <v>825</v>
      </c>
      <c r="G1272" s="15" t="s">
        <v>112</v>
      </c>
      <c r="H1272" s="15"/>
    </row>
    <row r="1273" customFormat="false" ht="26.25" hidden="false" customHeight="true" outlineLevel="0" collapsed="false">
      <c r="A1273" s="15" t="s">
        <v>268</v>
      </c>
      <c r="B1273" s="15" t="s">
        <v>269</v>
      </c>
      <c r="C1273" s="15" t="s">
        <v>762</v>
      </c>
      <c r="D1273" s="15" t="s">
        <v>803</v>
      </c>
      <c r="E1273" s="15"/>
      <c r="F1273" s="15" t="s">
        <v>825</v>
      </c>
      <c r="G1273" s="15" t="s">
        <v>112</v>
      </c>
      <c r="H1273" s="15"/>
    </row>
    <row r="1274" customFormat="false" ht="26.25" hidden="false" customHeight="true" outlineLevel="0" collapsed="false">
      <c r="A1274" s="15" t="s">
        <v>268</v>
      </c>
      <c r="B1274" s="15" t="s">
        <v>269</v>
      </c>
      <c r="C1274" s="15" t="s">
        <v>92</v>
      </c>
      <c r="D1274" s="15" t="s">
        <v>803</v>
      </c>
      <c r="E1274" s="15"/>
      <c r="F1274" s="15" t="s">
        <v>825</v>
      </c>
      <c r="G1274" s="15" t="s">
        <v>112</v>
      </c>
      <c r="H1274" s="15"/>
    </row>
    <row r="1275" customFormat="false" ht="26.25" hidden="false" customHeight="true" outlineLevel="0" collapsed="false">
      <c r="A1275" s="15" t="s">
        <v>268</v>
      </c>
      <c r="B1275" s="15" t="s">
        <v>269</v>
      </c>
      <c r="C1275" s="15" t="s">
        <v>763</v>
      </c>
      <c r="D1275" s="15" t="s">
        <v>807</v>
      </c>
      <c r="E1275" s="15"/>
      <c r="F1275" s="15" t="s">
        <v>825</v>
      </c>
      <c r="G1275" s="15" t="s">
        <v>112</v>
      </c>
      <c r="H1275" s="15"/>
    </row>
    <row r="1276" customFormat="false" ht="26.25" hidden="false" customHeight="true" outlineLevel="0" collapsed="false">
      <c r="A1276" s="15" t="s">
        <v>268</v>
      </c>
      <c r="B1276" s="15" t="s">
        <v>269</v>
      </c>
      <c r="C1276" s="15" t="s">
        <v>848</v>
      </c>
      <c r="D1276" s="15" t="s">
        <v>859</v>
      </c>
      <c r="E1276" s="15"/>
      <c r="F1276" s="15" t="s">
        <v>825</v>
      </c>
      <c r="G1276" s="15" t="s">
        <v>112</v>
      </c>
      <c r="H1276" s="15"/>
    </row>
    <row r="1277" customFormat="false" ht="26.25" hidden="false" customHeight="true" outlineLevel="0" collapsed="false">
      <c r="A1277" s="15" t="s">
        <v>268</v>
      </c>
      <c r="B1277" s="15" t="s">
        <v>269</v>
      </c>
      <c r="C1277" s="15" t="s">
        <v>747</v>
      </c>
      <c r="D1277" s="15" t="s">
        <v>801</v>
      </c>
      <c r="E1277" s="15"/>
      <c r="F1277" s="15" t="s">
        <v>825</v>
      </c>
      <c r="G1277" s="15" t="s">
        <v>112</v>
      </c>
      <c r="H1277" s="15"/>
    </row>
    <row r="1278" customFormat="false" ht="26.25" hidden="false" customHeight="true" outlineLevel="0" collapsed="false">
      <c r="A1278" s="15" t="s">
        <v>268</v>
      </c>
      <c r="B1278" s="15" t="s">
        <v>269</v>
      </c>
      <c r="C1278" s="15" t="s">
        <v>851</v>
      </c>
      <c r="D1278" s="15" t="s">
        <v>860</v>
      </c>
      <c r="E1278" s="15"/>
      <c r="F1278" s="15" t="s">
        <v>825</v>
      </c>
      <c r="G1278" s="15" t="s">
        <v>112</v>
      </c>
      <c r="H1278" s="15"/>
    </row>
    <row r="1279" customFormat="false" ht="26.25" hidden="false" customHeight="true" outlineLevel="0" collapsed="false">
      <c r="A1279" s="15" t="s">
        <v>268</v>
      </c>
      <c r="B1279" s="15" t="s">
        <v>269</v>
      </c>
      <c r="C1279" s="15" t="s">
        <v>853</v>
      </c>
      <c r="D1279" s="15" t="s">
        <v>866</v>
      </c>
      <c r="E1279" s="15"/>
      <c r="F1279" s="15" t="s">
        <v>825</v>
      </c>
      <c r="G1279" s="15" t="s">
        <v>112</v>
      </c>
      <c r="H1279" s="15"/>
    </row>
    <row r="1280" customFormat="false" ht="26.25" hidden="false" customHeight="true" outlineLevel="0" collapsed="false">
      <c r="A1280" s="15" t="s">
        <v>268</v>
      </c>
      <c r="B1280" s="15" t="s">
        <v>269</v>
      </c>
      <c r="C1280" s="15" t="s">
        <v>854</v>
      </c>
      <c r="D1280" s="15" t="s">
        <v>803</v>
      </c>
      <c r="E1280" s="15"/>
      <c r="F1280" s="15" t="s">
        <v>825</v>
      </c>
      <c r="G1280" s="15" t="s">
        <v>112</v>
      </c>
      <c r="H1280" s="15"/>
    </row>
    <row r="1281" customFormat="false" ht="26.25" hidden="false" customHeight="true" outlineLevel="0" collapsed="false">
      <c r="A1281" s="15" t="s">
        <v>268</v>
      </c>
      <c r="B1281" s="15" t="s">
        <v>269</v>
      </c>
      <c r="C1281" s="15" t="s">
        <v>855</v>
      </c>
      <c r="D1281" s="15" t="s">
        <v>862</v>
      </c>
      <c r="E1281" s="15"/>
      <c r="F1281" s="15" t="s">
        <v>825</v>
      </c>
      <c r="G1281" s="15" t="s">
        <v>112</v>
      </c>
      <c r="H1281" s="15"/>
    </row>
    <row r="1282" customFormat="false" ht="26.25" hidden="false" customHeight="true" outlineLevel="0" collapsed="false">
      <c r="A1282" s="15" t="s">
        <v>268</v>
      </c>
      <c r="B1282" s="15" t="s">
        <v>269</v>
      </c>
      <c r="C1282" s="15" t="s">
        <v>857</v>
      </c>
      <c r="D1282" s="15" t="s">
        <v>803</v>
      </c>
      <c r="E1282" s="15"/>
      <c r="F1282" s="15" t="s">
        <v>825</v>
      </c>
      <c r="G1282" s="15" t="s">
        <v>112</v>
      </c>
      <c r="H1282" s="15"/>
    </row>
    <row r="1283" customFormat="false" ht="26.25" hidden="false" customHeight="true" outlineLevel="0" collapsed="false">
      <c r="A1283" s="15" t="s">
        <v>296</v>
      </c>
      <c r="B1283" s="15" t="s">
        <v>297</v>
      </c>
      <c r="C1283" s="15" t="s">
        <v>769</v>
      </c>
      <c r="D1283" s="15" t="n">
        <v>5</v>
      </c>
      <c r="E1283" s="15" t="s">
        <v>721</v>
      </c>
      <c r="F1283" s="15" t="s">
        <v>824</v>
      </c>
      <c r="G1283" s="15" t="s">
        <v>112</v>
      </c>
      <c r="H1283" s="15"/>
    </row>
    <row r="1284" customFormat="false" ht="26.25" hidden="false" customHeight="true" outlineLevel="0" collapsed="false">
      <c r="A1284" s="15" t="s">
        <v>296</v>
      </c>
      <c r="B1284" s="15" t="s">
        <v>297</v>
      </c>
      <c r="C1284" s="15" t="s">
        <v>714</v>
      </c>
      <c r="D1284" s="15" t="n">
        <v>380</v>
      </c>
      <c r="E1284" s="15" t="s">
        <v>715</v>
      </c>
      <c r="F1284" s="15" t="s">
        <v>825</v>
      </c>
      <c r="G1284" s="15" t="s">
        <v>112</v>
      </c>
      <c r="H1284" s="15"/>
    </row>
    <row r="1285" customFormat="false" ht="26.25" hidden="false" customHeight="true" outlineLevel="0" collapsed="false">
      <c r="A1285" s="15" t="s">
        <v>296</v>
      </c>
      <c r="B1285" s="15" t="s">
        <v>297</v>
      </c>
      <c r="C1285" s="15" t="s">
        <v>718</v>
      </c>
      <c r="D1285" s="15" t="s">
        <v>113</v>
      </c>
      <c r="E1285" s="15"/>
      <c r="F1285" s="15" t="s">
        <v>825</v>
      </c>
      <c r="G1285" s="15" t="s">
        <v>112</v>
      </c>
      <c r="H1285" s="15"/>
    </row>
    <row r="1286" customFormat="false" ht="26.25" hidden="false" customHeight="true" outlineLevel="0" collapsed="false">
      <c r="A1286" s="15" t="s">
        <v>296</v>
      </c>
      <c r="B1286" s="15" t="s">
        <v>297</v>
      </c>
      <c r="C1286" s="15" t="s">
        <v>826</v>
      </c>
      <c r="D1286" s="15" t="s">
        <v>827</v>
      </c>
      <c r="E1286" s="15"/>
      <c r="F1286" s="15" t="s">
        <v>825</v>
      </c>
      <c r="G1286" s="15" t="s">
        <v>112</v>
      </c>
      <c r="H1286" s="15"/>
    </row>
    <row r="1287" customFormat="false" ht="26.25" hidden="false" customHeight="true" outlineLevel="0" collapsed="false">
      <c r="A1287" s="15" t="s">
        <v>296</v>
      </c>
      <c r="B1287" s="15" t="s">
        <v>297</v>
      </c>
      <c r="C1287" s="15" t="s">
        <v>719</v>
      </c>
      <c r="D1287" s="15" t="n">
        <v>20</v>
      </c>
      <c r="E1287" s="15" t="s">
        <v>720</v>
      </c>
      <c r="F1287" s="15" t="s">
        <v>825</v>
      </c>
      <c r="G1287" s="15" t="s">
        <v>112</v>
      </c>
      <c r="H1287" s="15"/>
    </row>
    <row r="1288" customFormat="false" ht="26.25" hidden="false" customHeight="true" outlineLevel="0" collapsed="false">
      <c r="A1288" s="15" t="s">
        <v>296</v>
      </c>
      <c r="B1288" s="15" t="s">
        <v>297</v>
      </c>
      <c r="C1288" s="15" t="s">
        <v>722</v>
      </c>
      <c r="D1288" s="15" t="n">
        <v>663</v>
      </c>
      <c r="E1288" s="15" t="s">
        <v>723</v>
      </c>
      <c r="F1288" s="15" t="s">
        <v>825</v>
      </c>
      <c r="G1288" s="15" t="s">
        <v>112</v>
      </c>
      <c r="H1288" s="15"/>
    </row>
    <row r="1289" customFormat="false" ht="26.25" hidden="false" customHeight="true" outlineLevel="0" collapsed="false">
      <c r="A1289" s="15" t="s">
        <v>296</v>
      </c>
      <c r="B1289" s="15" t="s">
        <v>297</v>
      </c>
      <c r="C1289" s="15" t="s">
        <v>724</v>
      </c>
      <c r="D1289" s="15" t="n">
        <v>150</v>
      </c>
      <c r="E1289" s="15" t="s">
        <v>723</v>
      </c>
      <c r="F1289" s="15" t="s">
        <v>825</v>
      </c>
      <c r="G1289" s="15" t="s">
        <v>112</v>
      </c>
      <c r="H1289" s="15"/>
    </row>
    <row r="1290" customFormat="false" ht="26.25" hidden="false" customHeight="true" outlineLevel="0" collapsed="false">
      <c r="A1290" s="15" t="s">
        <v>296</v>
      </c>
      <c r="B1290" s="15" t="s">
        <v>297</v>
      </c>
      <c r="C1290" s="15" t="s">
        <v>84</v>
      </c>
      <c r="D1290" s="15" t="n">
        <v>207</v>
      </c>
      <c r="E1290" s="15" t="s">
        <v>725</v>
      </c>
      <c r="F1290" s="15" t="s">
        <v>825</v>
      </c>
      <c r="G1290" s="15" t="s">
        <v>112</v>
      </c>
      <c r="H1290" s="15"/>
    </row>
    <row r="1291" customFormat="false" ht="26.25" hidden="false" customHeight="true" outlineLevel="0" collapsed="false">
      <c r="A1291" s="15" t="s">
        <v>296</v>
      </c>
      <c r="B1291" s="15" t="s">
        <v>297</v>
      </c>
      <c r="C1291" s="15" t="s">
        <v>726</v>
      </c>
      <c r="D1291" s="15" t="n">
        <v>4789</v>
      </c>
      <c r="E1291" s="15" t="s">
        <v>725</v>
      </c>
      <c r="F1291" s="15" t="s">
        <v>825</v>
      </c>
      <c r="G1291" s="15" t="s">
        <v>112</v>
      </c>
      <c r="H1291" s="15"/>
    </row>
    <row r="1292" customFormat="false" ht="26.25" hidden="false" customHeight="true" outlineLevel="0" collapsed="false">
      <c r="A1292" s="15" t="s">
        <v>296</v>
      </c>
      <c r="B1292" s="15" t="s">
        <v>297</v>
      </c>
      <c r="C1292" s="15" t="s">
        <v>727</v>
      </c>
      <c r="D1292" s="15" t="n">
        <v>1907</v>
      </c>
      <c r="E1292" s="15" t="s">
        <v>725</v>
      </c>
      <c r="F1292" s="15" t="s">
        <v>825</v>
      </c>
      <c r="G1292" s="15" t="s">
        <v>112</v>
      </c>
      <c r="H1292" s="15"/>
    </row>
    <row r="1293" customFormat="false" ht="26.25" hidden="false" customHeight="true" outlineLevel="0" collapsed="false">
      <c r="A1293" s="15" t="s">
        <v>296</v>
      </c>
      <c r="B1293" s="15" t="s">
        <v>297</v>
      </c>
      <c r="C1293" s="15" t="s">
        <v>728</v>
      </c>
      <c r="D1293" s="15" t="n">
        <v>1694</v>
      </c>
      <c r="E1293" s="15" t="s">
        <v>725</v>
      </c>
      <c r="F1293" s="15" t="s">
        <v>825</v>
      </c>
      <c r="G1293" s="15" t="s">
        <v>112</v>
      </c>
      <c r="H1293" s="15"/>
    </row>
    <row r="1294" customFormat="false" ht="26.25" hidden="false" customHeight="true" outlineLevel="0" collapsed="false">
      <c r="A1294" s="15" t="s">
        <v>296</v>
      </c>
      <c r="B1294" s="15" t="s">
        <v>297</v>
      </c>
      <c r="C1294" s="15" t="s">
        <v>729</v>
      </c>
      <c r="D1294" s="15" t="n">
        <v>2775</v>
      </c>
      <c r="E1294" s="15" t="s">
        <v>725</v>
      </c>
      <c r="F1294" s="15" t="s">
        <v>825</v>
      </c>
      <c r="G1294" s="15" t="s">
        <v>112</v>
      </c>
      <c r="H1294" s="15"/>
    </row>
    <row r="1295" customFormat="false" ht="26.25" hidden="false" customHeight="true" outlineLevel="0" collapsed="false">
      <c r="A1295" s="15" t="s">
        <v>296</v>
      </c>
      <c r="B1295" s="15" t="s">
        <v>297</v>
      </c>
      <c r="C1295" s="15" t="s">
        <v>730</v>
      </c>
      <c r="D1295" s="15" t="n">
        <v>10</v>
      </c>
      <c r="E1295" s="15" t="s">
        <v>731</v>
      </c>
      <c r="F1295" s="15" t="s">
        <v>825</v>
      </c>
      <c r="G1295" s="15" t="s">
        <v>112</v>
      </c>
      <c r="H1295" s="15"/>
    </row>
    <row r="1296" customFormat="false" ht="26.25" hidden="false" customHeight="true" outlineLevel="0" collapsed="false">
      <c r="A1296" s="15" t="s">
        <v>296</v>
      </c>
      <c r="B1296" s="15" t="s">
        <v>297</v>
      </c>
      <c r="C1296" s="15" t="s">
        <v>776</v>
      </c>
      <c r="D1296" s="15" t="s">
        <v>800</v>
      </c>
      <c r="E1296" s="15"/>
      <c r="F1296" s="15" t="s">
        <v>825</v>
      </c>
      <c r="G1296" s="15" t="s">
        <v>112</v>
      </c>
      <c r="H1296" s="15"/>
    </row>
    <row r="1297" customFormat="false" ht="26.25" hidden="false" customHeight="true" outlineLevel="0" collapsed="false">
      <c r="A1297" s="15" t="s">
        <v>296</v>
      </c>
      <c r="B1297" s="15" t="s">
        <v>297</v>
      </c>
      <c r="C1297" s="15" t="s">
        <v>780</v>
      </c>
      <c r="D1297" s="15" t="s">
        <v>781</v>
      </c>
      <c r="E1297" s="15"/>
      <c r="F1297" s="15" t="s">
        <v>825</v>
      </c>
      <c r="G1297" s="15" t="s">
        <v>112</v>
      </c>
      <c r="H1297" s="15"/>
    </row>
    <row r="1298" customFormat="false" ht="26.25" hidden="false" customHeight="true" outlineLevel="0" collapsed="false">
      <c r="A1298" s="15" t="s">
        <v>296</v>
      </c>
      <c r="B1298" s="15" t="s">
        <v>297</v>
      </c>
      <c r="C1298" s="15" t="s">
        <v>789</v>
      </c>
      <c r="D1298" s="15" t="s">
        <v>790</v>
      </c>
      <c r="E1298" s="15"/>
      <c r="F1298" s="15" t="s">
        <v>825</v>
      </c>
      <c r="G1298" s="15" t="s">
        <v>112</v>
      </c>
      <c r="H1298" s="15"/>
    </row>
    <row r="1299" customFormat="false" ht="26.25" hidden="false" customHeight="true" outlineLevel="0" collapsed="false">
      <c r="A1299" s="15" t="s">
        <v>296</v>
      </c>
      <c r="B1299" s="15" t="s">
        <v>297</v>
      </c>
      <c r="C1299" s="15" t="s">
        <v>784</v>
      </c>
      <c r="D1299" s="15" t="n">
        <v>11</v>
      </c>
      <c r="E1299" s="15" t="s">
        <v>738</v>
      </c>
      <c r="F1299" s="15" t="s">
        <v>828</v>
      </c>
      <c r="G1299" s="15" t="s">
        <v>112</v>
      </c>
      <c r="H1299" s="15"/>
    </row>
    <row r="1300" customFormat="false" ht="26.25" hidden="false" customHeight="true" outlineLevel="0" collapsed="false">
      <c r="A1300" s="15" t="s">
        <v>296</v>
      </c>
      <c r="B1300" s="15" t="s">
        <v>297</v>
      </c>
      <c r="C1300" s="15" t="s">
        <v>782</v>
      </c>
      <c r="D1300" s="15" t="n">
        <v>36</v>
      </c>
      <c r="E1300" s="15" t="s">
        <v>783</v>
      </c>
      <c r="F1300" s="15" t="s">
        <v>828</v>
      </c>
      <c r="G1300" s="15" t="s">
        <v>112</v>
      </c>
      <c r="H1300" s="15"/>
    </row>
    <row r="1301" customFormat="false" ht="26.25" hidden="false" customHeight="true" outlineLevel="0" collapsed="false">
      <c r="A1301" s="15" t="s">
        <v>296</v>
      </c>
      <c r="B1301" s="15" t="s">
        <v>297</v>
      </c>
      <c r="C1301" s="15" t="s">
        <v>98</v>
      </c>
      <c r="D1301" s="15" t="s">
        <v>732</v>
      </c>
      <c r="E1301" s="15"/>
      <c r="F1301" s="15" t="s">
        <v>829</v>
      </c>
      <c r="G1301" s="15" t="s">
        <v>112</v>
      </c>
      <c r="H1301" s="15"/>
    </row>
    <row r="1302" customFormat="false" ht="26.25" hidden="false" customHeight="true" outlineLevel="0" collapsed="false">
      <c r="A1302" s="15" t="s">
        <v>296</v>
      </c>
      <c r="B1302" s="15" t="s">
        <v>297</v>
      </c>
      <c r="C1302" s="15" t="s">
        <v>830</v>
      </c>
      <c r="D1302" s="15" t="s">
        <v>831</v>
      </c>
      <c r="E1302" s="15"/>
      <c r="F1302" s="15" t="s">
        <v>832</v>
      </c>
      <c r="G1302" s="15" t="s">
        <v>112</v>
      </c>
      <c r="H1302" s="15"/>
    </row>
    <row r="1303" customFormat="false" ht="26.25" hidden="false" customHeight="true" outlineLevel="0" collapsed="false">
      <c r="A1303" s="15" t="s">
        <v>296</v>
      </c>
      <c r="B1303" s="15" t="s">
        <v>297</v>
      </c>
      <c r="C1303" s="15" t="s">
        <v>833</v>
      </c>
      <c r="D1303" s="15" t="s">
        <v>834</v>
      </c>
      <c r="E1303" s="15"/>
      <c r="F1303" s="15" t="s">
        <v>832</v>
      </c>
      <c r="G1303" s="15" t="s">
        <v>112</v>
      </c>
      <c r="H1303" s="15"/>
    </row>
    <row r="1304" customFormat="false" ht="26.25" hidden="false" customHeight="true" outlineLevel="0" collapsed="false">
      <c r="A1304" s="15" t="s">
        <v>296</v>
      </c>
      <c r="B1304" s="15" t="s">
        <v>297</v>
      </c>
      <c r="C1304" s="15" t="s">
        <v>835</v>
      </c>
      <c r="D1304" s="15" t="s">
        <v>836</v>
      </c>
      <c r="E1304" s="15"/>
      <c r="F1304" s="15" t="s">
        <v>832</v>
      </c>
      <c r="G1304" s="15" t="s">
        <v>112</v>
      </c>
      <c r="H1304" s="15"/>
    </row>
    <row r="1305" customFormat="false" ht="26.25" hidden="false" customHeight="true" outlineLevel="0" collapsed="false">
      <c r="A1305" s="15" t="s">
        <v>296</v>
      </c>
      <c r="B1305" s="15" t="s">
        <v>297</v>
      </c>
      <c r="C1305" s="15" t="s">
        <v>837</v>
      </c>
      <c r="D1305" s="15" t="n">
        <v>10000</v>
      </c>
      <c r="E1305" s="15" t="s">
        <v>838</v>
      </c>
      <c r="F1305" s="15" t="s">
        <v>832</v>
      </c>
      <c r="G1305" s="15" t="s">
        <v>112</v>
      </c>
      <c r="H1305" s="15"/>
    </row>
    <row r="1306" customFormat="false" ht="26.25" hidden="false" customHeight="true" outlineLevel="0" collapsed="false">
      <c r="A1306" s="15" t="s">
        <v>296</v>
      </c>
      <c r="B1306" s="15" t="s">
        <v>297</v>
      </c>
      <c r="C1306" s="15" t="s">
        <v>839</v>
      </c>
      <c r="D1306" s="15" t="s">
        <v>840</v>
      </c>
      <c r="E1306" s="15"/>
      <c r="F1306" s="15" t="s">
        <v>832</v>
      </c>
      <c r="G1306" s="15" t="s">
        <v>112</v>
      </c>
      <c r="H1306" s="15"/>
    </row>
    <row r="1307" customFormat="false" ht="26.25" hidden="false" customHeight="true" outlineLevel="0" collapsed="false">
      <c r="A1307" s="15" t="s">
        <v>296</v>
      </c>
      <c r="B1307" s="15" t="s">
        <v>297</v>
      </c>
      <c r="C1307" s="15" t="s">
        <v>841</v>
      </c>
      <c r="D1307" s="15" t="s">
        <v>842</v>
      </c>
      <c r="E1307" s="15"/>
      <c r="F1307" s="15" t="s">
        <v>832</v>
      </c>
      <c r="G1307" s="15" t="s">
        <v>112</v>
      </c>
      <c r="H1307" s="15"/>
    </row>
    <row r="1308" customFormat="false" ht="26.25" hidden="false" customHeight="true" outlineLevel="0" collapsed="false">
      <c r="A1308" s="15" t="s">
        <v>296</v>
      </c>
      <c r="B1308" s="15" t="s">
        <v>297</v>
      </c>
      <c r="C1308" s="15" t="s">
        <v>843</v>
      </c>
      <c r="D1308" s="15" t="s">
        <v>844</v>
      </c>
      <c r="E1308" s="15"/>
      <c r="F1308" s="15" t="s">
        <v>825</v>
      </c>
      <c r="G1308" s="15" t="s">
        <v>112</v>
      </c>
      <c r="H1308" s="15"/>
    </row>
    <row r="1309" customFormat="false" ht="26.25" hidden="false" customHeight="true" outlineLevel="0" collapsed="false">
      <c r="A1309" s="15" t="s">
        <v>296</v>
      </c>
      <c r="B1309" s="15" t="s">
        <v>297</v>
      </c>
      <c r="C1309" s="15" t="s">
        <v>737</v>
      </c>
      <c r="D1309" s="15" t="n">
        <v>170</v>
      </c>
      <c r="E1309" s="15" t="s">
        <v>738</v>
      </c>
      <c r="F1309" s="15" t="s">
        <v>825</v>
      </c>
      <c r="G1309" s="15" t="s">
        <v>112</v>
      </c>
      <c r="H1309" s="15"/>
    </row>
    <row r="1310" customFormat="false" ht="26.25" hidden="false" customHeight="true" outlineLevel="0" collapsed="false">
      <c r="A1310" s="15" t="s">
        <v>296</v>
      </c>
      <c r="B1310" s="15" t="s">
        <v>297</v>
      </c>
      <c r="C1310" s="15" t="s">
        <v>739</v>
      </c>
      <c r="D1310" s="15" t="n">
        <v>140</v>
      </c>
      <c r="E1310" s="15" t="s">
        <v>738</v>
      </c>
      <c r="F1310" s="15" t="s">
        <v>825</v>
      </c>
      <c r="G1310" s="15" t="s">
        <v>112</v>
      </c>
      <c r="H1310" s="15"/>
    </row>
    <row r="1311" customFormat="false" ht="26.25" hidden="false" customHeight="true" outlineLevel="0" collapsed="false">
      <c r="A1311" s="15" t="s">
        <v>296</v>
      </c>
      <c r="B1311" s="15" t="s">
        <v>297</v>
      </c>
      <c r="C1311" s="15" t="s">
        <v>740</v>
      </c>
      <c r="D1311" s="15" t="n">
        <v>6</v>
      </c>
      <c r="E1311" s="15" t="s">
        <v>741</v>
      </c>
      <c r="F1311" s="15" t="s">
        <v>825</v>
      </c>
      <c r="G1311" s="15" t="s">
        <v>112</v>
      </c>
      <c r="H1311" s="15"/>
    </row>
    <row r="1312" customFormat="false" ht="26.25" hidden="false" customHeight="true" outlineLevel="0" collapsed="false">
      <c r="A1312" s="15" t="s">
        <v>296</v>
      </c>
      <c r="B1312" s="15" t="s">
        <v>297</v>
      </c>
      <c r="C1312" s="15" t="s">
        <v>742</v>
      </c>
      <c r="D1312" s="15" t="n">
        <v>8.7</v>
      </c>
      <c r="E1312" s="15" t="s">
        <v>741</v>
      </c>
      <c r="F1312" s="15" t="s">
        <v>825</v>
      </c>
      <c r="G1312" s="15" t="s">
        <v>112</v>
      </c>
      <c r="H1312" s="15"/>
    </row>
    <row r="1313" customFormat="false" ht="26.25" hidden="false" customHeight="true" outlineLevel="0" collapsed="false">
      <c r="A1313" s="15" t="s">
        <v>296</v>
      </c>
      <c r="B1313" s="15" t="s">
        <v>297</v>
      </c>
      <c r="C1313" s="15" t="s">
        <v>733</v>
      </c>
      <c r="D1313" s="15" t="s">
        <v>734</v>
      </c>
      <c r="E1313" s="15"/>
      <c r="F1313" s="15" t="s">
        <v>845</v>
      </c>
      <c r="G1313" s="15" t="s">
        <v>112</v>
      </c>
      <c r="H1313" s="15" t="s">
        <v>846</v>
      </c>
    </row>
    <row r="1314" customFormat="false" ht="26.25" hidden="false" customHeight="true" outlineLevel="0" collapsed="false">
      <c r="A1314" s="15" t="s">
        <v>296</v>
      </c>
      <c r="B1314" s="15" t="s">
        <v>297</v>
      </c>
      <c r="C1314" s="15" t="s">
        <v>785</v>
      </c>
      <c r="D1314" s="15" t="n">
        <v>307</v>
      </c>
      <c r="E1314" s="15" t="s">
        <v>786</v>
      </c>
      <c r="F1314" s="15" t="s">
        <v>828</v>
      </c>
      <c r="G1314" s="15" t="s">
        <v>112</v>
      </c>
      <c r="H1314" s="15"/>
    </row>
    <row r="1315" customFormat="false" ht="26.25" hidden="false" customHeight="true" outlineLevel="0" collapsed="false">
      <c r="A1315" s="15" t="s">
        <v>296</v>
      </c>
      <c r="B1315" s="15" t="s">
        <v>297</v>
      </c>
      <c r="C1315" s="15" t="s">
        <v>86</v>
      </c>
      <c r="D1315" s="15" t="n">
        <v>7</v>
      </c>
      <c r="E1315" s="15" t="s">
        <v>721</v>
      </c>
      <c r="F1315" s="15" t="s">
        <v>825</v>
      </c>
      <c r="G1315" s="15" t="s">
        <v>112</v>
      </c>
      <c r="H1315" s="15"/>
    </row>
    <row r="1316" customFormat="false" ht="26.25" hidden="false" customHeight="true" outlineLevel="0" collapsed="false">
      <c r="A1316" s="15" t="s">
        <v>296</v>
      </c>
      <c r="B1316" s="15" t="s">
        <v>297</v>
      </c>
      <c r="C1316" s="15" t="s">
        <v>764</v>
      </c>
      <c r="D1316" s="15" t="s">
        <v>803</v>
      </c>
      <c r="E1316" s="15"/>
      <c r="F1316" s="15" t="s">
        <v>825</v>
      </c>
      <c r="G1316" s="15" t="s">
        <v>112</v>
      </c>
      <c r="H1316" s="15"/>
    </row>
    <row r="1317" customFormat="false" ht="26.25" hidden="false" customHeight="true" outlineLevel="0" collapsed="false">
      <c r="A1317" s="15" t="s">
        <v>296</v>
      </c>
      <c r="B1317" s="15" t="s">
        <v>297</v>
      </c>
      <c r="C1317" s="15" t="s">
        <v>749</v>
      </c>
      <c r="D1317" s="15" t="s">
        <v>806</v>
      </c>
      <c r="E1317" s="15"/>
      <c r="F1317" s="15" t="s">
        <v>825</v>
      </c>
      <c r="G1317" s="15" t="s">
        <v>112</v>
      </c>
      <c r="H1317" s="15"/>
    </row>
    <row r="1318" customFormat="false" ht="26.25" hidden="false" customHeight="true" outlineLevel="0" collapsed="false">
      <c r="A1318" s="15" t="s">
        <v>296</v>
      </c>
      <c r="B1318" s="15" t="s">
        <v>297</v>
      </c>
      <c r="C1318" s="15" t="s">
        <v>752</v>
      </c>
      <c r="D1318" s="15" t="s">
        <v>865</v>
      </c>
      <c r="E1318" s="15"/>
      <c r="F1318" s="15" t="s">
        <v>825</v>
      </c>
      <c r="G1318" s="15" t="s">
        <v>112</v>
      </c>
      <c r="H1318" s="15"/>
    </row>
    <row r="1319" customFormat="false" ht="26.25" hidden="false" customHeight="true" outlineLevel="0" collapsed="false">
      <c r="A1319" s="15" t="s">
        <v>296</v>
      </c>
      <c r="B1319" s="15" t="s">
        <v>297</v>
      </c>
      <c r="C1319" s="15" t="s">
        <v>754</v>
      </c>
      <c r="D1319" s="15" t="s">
        <v>803</v>
      </c>
      <c r="E1319" s="15"/>
      <c r="F1319" s="15" t="s">
        <v>825</v>
      </c>
      <c r="G1319" s="15" t="s">
        <v>112</v>
      </c>
      <c r="H1319" s="15"/>
    </row>
    <row r="1320" customFormat="false" ht="26.25" hidden="false" customHeight="true" outlineLevel="0" collapsed="false">
      <c r="A1320" s="15" t="s">
        <v>296</v>
      </c>
      <c r="B1320" s="15" t="s">
        <v>297</v>
      </c>
      <c r="C1320" s="15" t="s">
        <v>756</v>
      </c>
      <c r="D1320" s="15" t="s">
        <v>858</v>
      </c>
      <c r="E1320" s="15"/>
      <c r="F1320" s="15" t="s">
        <v>825</v>
      </c>
      <c r="G1320" s="15" t="s">
        <v>112</v>
      </c>
      <c r="H1320" s="15"/>
    </row>
    <row r="1321" customFormat="false" ht="26.25" hidden="false" customHeight="true" outlineLevel="0" collapsed="false">
      <c r="A1321" s="15" t="s">
        <v>296</v>
      </c>
      <c r="B1321" s="15" t="s">
        <v>297</v>
      </c>
      <c r="C1321" s="15" t="s">
        <v>757</v>
      </c>
      <c r="D1321" s="15" t="s">
        <v>797</v>
      </c>
      <c r="E1321" s="15"/>
      <c r="F1321" s="15" t="s">
        <v>825</v>
      </c>
      <c r="G1321" s="15" t="s">
        <v>112</v>
      </c>
      <c r="H1321" s="15"/>
    </row>
    <row r="1322" customFormat="false" ht="26.25" hidden="false" customHeight="true" outlineLevel="0" collapsed="false">
      <c r="A1322" s="15" t="s">
        <v>296</v>
      </c>
      <c r="B1322" s="15" t="s">
        <v>297</v>
      </c>
      <c r="C1322" s="15" t="s">
        <v>759</v>
      </c>
      <c r="D1322" s="15" t="s">
        <v>798</v>
      </c>
      <c r="E1322" s="15"/>
      <c r="F1322" s="15" t="s">
        <v>825</v>
      </c>
      <c r="G1322" s="15" t="s">
        <v>112</v>
      </c>
      <c r="H1322" s="15"/>
    </row>
    <row r="1323" customFormat="false" ht="26.25" hidden="false" customHeight="true" outlineLevel="0" collapsed="false">
      <c r="A1323" s="15" t="s">
        <v>296</v>
      </c>
      <c r="B1323" s="15" t="s">
        <v>297</v>
      </c>
      <c r="C1323" s="15" t="s">
        <v>761</v>
      </c>
      <c r="D1323" s="15" t="s">
        <v>755</v>
      </c>
      <c r="E1323" s="15"/>
      <c r="F1323" s="15" t="s">
        <v>825</v>
      </c>
      <c r="G1323" s="15" t="s">
        <v>112</v>
      </c>
      <c r="H1323" s="15"/>
    </row>
    <row r="1324" customFormat="false" ht="26.25" hidden="false" customHeight="true" outlineLevel="0" collapsed="false">
      <c r="A1324" s="15" t="s">
        <v>296</v>
      </c>
      <c r="B1324" s="15" t="s">
        <v>297</v>
      </c>
      <c r="C1324" s="15" t="s">
        <v>762</v>
      </c>
      <c r="D1324" s="15" t="s">
        <v>803</v>
      </c>
      <c r="E1324" s="15"/>
      <c r="F1324" s="15" t="s">
        <v>825</v>
      </c>
      <c r="G1324" s="15" t="s">
        <v>112</v>
      </c>
      <c r="H1324" s="15"/>
    </row>
    <row r="1325" customFormat="false" ht="26.25" hidden="false" customHeight="true" outlineLevel="0" collapsed="false">
      <c r="A1325" s="15" t="s">
        <v>296</v>
      </c>
      <c r="B1325" s="15" t="s">
        <v>297</v>
      </c>
      <c r="C1325" s="15" t="s">
        <v>92</v>
      </c>
      <c r="D1325" s="15" t="s">
        <v>803</v>
      </c>
      <c r="E1325" s="15"/>
      <c r="F1325" s="15" t="s">
        <v>825</v>
      </c>
      <c r="G1325" s="15" t="s">
        <v>112</v>
      </c>
      <c r="H1325" s="15"/>
    </row>
    <row r="1326" customFormat="false" ht="26.25" hidden="false" customHeight="true" outlineLevel="0" collapsed="false">
      <c r="A1326" s="15" t="s">
        <v>296</v>
      </c>
      <c r="B1326" s="15" t="s">
        <v>297</v>
      </c>
      <c r="C1326" s="15" t="s">
        <v>763</v>
      </c>
      <c r="D1326" s="15" t="s">
        <v>807</v>
      </c>
      <c r="E1326" s="15"/>
      <c r="F1326" s="15" t="s">
        <v>825</v>
      </c>
      <c r="G1326" s="15" t="s">
        <v>112</v>
      </c>
      <c r="H1326" s="15"/>
    </row>
    <row r="1327" customFormat="false" ht="26.25" hidden="false" customHeight="true" outlineLevel="0" collapsed="false">
      <c r="A1327" s="15" t="s">
        <v>296</v>
      </c>
      <c r="B1327" s="15" t="s">
        <v>297</v>
      </c>
      <c r="C1327" s="15" t="s">
        <v>848</v>
      </c>
      <c r="D1327" s="15" t="s">
        <v>859</v>
      </c>
      <c r="E1327" s="15"/>
      <c r="F1327" s="15" t="s">
        <v>825</v>
      </c>
      <c r="G1327" s="15" t="s">
        <v>112</v>
      </c>
      <c r="H1327" s="15"/>
    </row>
    <row r="1328" customFormat="false" ht="26.25" hidden="false" customHeight="true" outlineLevel="0" collapsed="false">
      <c r="A1328" s="15" t="s">
        <v>296</v>
      </c>
      <c r="B1328" s="15" t="s">
        <v>297</v>
      </c>
      <c r="C1328" s="15" t="s">
        <v>747</v>
      </c>
      <c r="D1328" s="15" t="s">
        <v>801</v>
      </c>
      <c r="E1328" s="15"/>
      <c r="F1328" s="15" t="s">
        <v>825</v>
      </c>
      <c r="G1328" s="15" t="s">
        <v>112</v>
      </c>
      <c r="H1328" s="15"/>
    </row>
    <row r="1329" customFormat="false" ht="26.25" hidden="false" customHeight="true" outlineLevel="0" collapsed="false">
      <c r="A1329" s="15" t="s">
        <v>296</v>
      </c>
      <c r="B1329" s="15" t="s">
        <v>297</v>
      </c>
      <c r="C1329" s="15" t="s">
        <v>851</v>
      </c>
      <c r="D1329" s="15" t="s">
        <v>860</v>
      </c>
      <c r="E1329" s="15"/>
      <c r="F1329" s="15" t="s">
        <v>825</v>
      </c>
      <c r="G1329" s="15" t="s">
        <v>112</v>
      </c>
      <c r="H1329" s="15"/>
    </row>
    <row r="1330" customFormat="false" ht="26.25" hidden="false" customHeight="true" outlineLevel="0" collapsed="false">
      <c r="A1330" s="15" t="s">
        <v>296</v>
      </c>
      <c r="B1330" s="15" t="s">
        <v>297</v>
      </c>
      <c r="C1330" s="15" t="s">
        <v>853</v>
      </c>
      <c r="D1330" s="15" t="s">
        <v>866</v>
      </c>
      <c r="E1330" s="15"/>
      <c r="F1330" s="15" t="s">
        <v>825</v>
      </c>
      <c r="G1330" s="15" t="s">
        <v>112</v>
      </c>
      <c r="H1330" s="15"/>
    </row>
    <row r="1331" customFormat="false" ht="26.25" hidden="false" customHeight="true" outlineLevel="0" collapsed="false">
      <c r="A1331" s="15" t="s">
        <v>296</v>
      </c>
      <c r="B1331" s="15" t="s">
        <v>297</v>
      </c>
      <c r="C1331" s="15" t="s">
        <v>854</v>
      </c>
      <c r="D1331" s="15" t="s">
        <v>803</v>
      </c>
      <c r="E1331" s="15"/>
      <c r="F1331" s="15" t="s">
        <v>825</v>
      </c>
      <c r="G1331" s="15" t="s">
        <v>112</v>
      </c>
      <c r="H1331" s="15"/>
    </row>
    <row r="1332" customFormat="false" ht="26.25" hidden="false" customHeight="true" outlineLevel="0" collapsed="false">
      <c r="A1332" s="15" t="s">
        <v>296</v>
      </c>
      <c r="B1332" s="15" t="s">
        <v>297</v>
      </c>
      <c r="C1332" s="15" t="s">
        <v>855</v>
      </c>
      <c r="D1332" s="15" t="s">
        <v>862</v>
      </c>
      <c r="E1332" s="15"/>
      <c r="F1332" s="15" t="s">
        <v>825</v>
      </c>
      <c r="G1332" s="15" t="s">
        <v>112</v>
      </c>
      <c r="H1332" s="15"/>
    </row>
    <row r="1333" customFormat="false" ht="26.25" hidden="false" customHeight="true" outlineLevel="0" collapsed="false">
      <c r="A1333" s="15" t="s">
        <v>296</v>
      </c>
      <c r="B1333" s="15" t="s">
        <v>297</v>
      </c>
      <c r="C1333" s="15" t="s">
        <v>857</v>
      </c>
      <c r="D1333" s="15" t="s">
        <v>803</v>
      </c>
      <c r="E1333" s="15"/>
      <c r="F1333" s="15" t="s">
        <v>825</v>
      </c>
      <c r="G1333" s="15" t="s">
        <v>112</v>
      </c>
      <c r="H1333" s="15"/>
    </row>
    <row r="1334" customFormat="false" ht="15" hidden="false" customHeight="true" outlineLevel="0" collapsed="false">
      <c r="A1334" s="15" t="s">
        <v>275</v>
      </c>
      <c r="B1334" s="15" t="s">
        <v>276</v>
      </c>
      <c r="C1334" s="15" t="s">
        <v>769</v>
      </c>
      <c r="D1334" s="15" t="n">
        <v>5</v>
      </c>
      <c r="E1334" s="15" t="s">
        <v>721</v>
      </c>
      <c r="F1334" s="15" t="s">
        <v>824</v>
      </c>
      <c r="G1334" s="15" t="s">
        <v>112</v>
      </c>
      <c r="H1334" s="15"/>
    </row>
    <row r="1335" customFormat="false" ht="15" hidden="false" customHeight="true" outlineLevel="0" collapsed="false">
      <c r="A1335" s="15" t="s">
        <v>275</v>
      </c>
      <c r="B1335" s="15" t="s">
        <v>276</v>
      </c>
      <c r="C1335" s="15" t="s">
        <v>714</v>
      </c>
      <c r="D1335" s="15" t="n">
        <v>380</v>
      </c>
      <c r="E1335" s="15" t="s">
        <v>715</v>
      </c>
      <c r="F1335" s="15" t="s">
        <v>825</v>
      </c>
      <c r="G1335" s="15" t="s">
        <v>112</v>
      </c>
      <c r="H1335" s="15"/>
    </row>
    <row r="1336" customFormat="false" ht="15" hidden="false" customHeight="true" outlineLevel="0" collapsed="false">
      <c r="A1336" s="15" t="s">
        <v>275</v>
      </c>
      <c r="B1336" s="15" t="s">
        <v>276</v>
      </c>
      <c r="C1336" s="15" t="s">
        <v>718</v>
      </c>
      <c r="D1336" s="15" t="s">
        <v>113</v>
      </c>
      <c r="E1336" s="15"/>
      <c r="F1336" s="15" t="s">
        <v>825</v>
      </c>
      <c r="G1336" s="15" t="s">
        <v>112</v>
      </c>
      <c r="H1336" s="15"/>
    </row>
    <row r="1337" customFormat="false" ht="15" hidden="false" customHeight="true" outlineLevel="0" collapsed="false">
      <c r="A1337" s="15" t="s">
        <v>275</v>
      </c>
      <c r="B1337" s="15" t="s">
        <v>276</v>
      </c>
      <c r="C1337" s="15" t="s">
        <v>826</v>
      </c>
      <c r="D1337" s="15" t="s">
        <v>827</v>
      </c>
      <c r="E1337" s="15"/>
      <c r="F1337" s="15" t="s">
        <v>825</v>
      </c>
      <c r="G1337" s="15" t="s">
        <v>112</v>
      </c>
      <c r="H1337" s="15"/>
    </row>
    <row r="1338" customFormat="false" ht="15" hidden="false" customHeight="true" outlineLevel="0" collapsed="false">
      <c r="A1338" s="15" t="s">
        <v>275</v>
      </c>
      <c r="B1338" s="15" t="s">
        <v>276</v>
      </c>
      <c r="C1338" s="15" t="s">
        <v>719</v>
      </c>
      <c r="D1338" s="15" t="n">
        <v>20</v>
      </c>
      <c r="E1338" s="15" t="s">
        <v>720</v>
      </c>
      <c r="F1338" s="15" t="s">
        <v>825</v>
      </c>
      <c r="G1338" s="15" t="s">
        <v>112</v>
      </c>
      <c r="H1338" s="15"/>
    </row>
    <row r="1339" customFormat="false" ht="15" hidden="false" customHeight="true" outlineLevel="0" collapsed="false">
      <c r="A1339" s="15" t="s">
        <v>275</v>
      </c>
      <c r="B1339" s="15" t="s">
        <v>276</v>
      </c>
      <c r="C1339" s="15" t="s">
        <v>722</v>
      </c>
      <c r="D1339" s="15" t="n">
        <v>663</v>
      </c>
      <c r="E1339" s="15" t="s">
        <v>723</v>
      </c>
      <c r="F1339" s="15" t="s">
        <v>825</v>
      </c>
      <c r="G1339" s="15" t="s">
        <v>112</v>
      </c>
      <c r="H1339" s="15"/>
    </row>
    <row r="1340" customFormat="false" ht="15" hidden="false" customHeight="true" outlineLevel="0" collapsed="false">
      <c r="A1340" s="15" t="s">
        <v>275</v>
      </c>
      <c r="B1340" s="15" t="s">
        <v>276</v>
      </c>
      <c r="C1340" s="15" t="s">
        <v>724</v>
      </c>
      <c r="D1340" s="15" t="n">
        <v>150</v>
      </c>
      <c r="E1340" s="15" t="s">
        <v>723</v>
      </c>
      <c r="F1340" s="15" t="s">
        <v>825</v>
      </c>
      <c r="G1340" s="15" t="s">
        <v>112</v>
      </c>
      <c r="H1340" s="15"/>
    </row>
    <row r="1341" customFormat="false" ht="15" hidden="false" customHeight="true" outlineLevel="0" collapsed="false">
      <c r="A1341" s="15" t="s">
        <v>275</v>
      </c>
      <c r="B1341" s="15" t="s">
        <v>276</v>
      </c>
      <c r="C1341" s="15" t="s">
        <v>84</v>
      </c>
      <c r="D1341" s="15" t="n">
        <v>207</v>
      </c>
      <c r="E1341" s="15" t="s">
        <v>725</v>
      </c>
      <c r="F1341" s="15" t="s">
        <v>825</v>
      </c>
      <c r="G1341" s="15" t="s">
        <v>112</v>
      </c>
      <c r="H1341" s="15"/>
    </row>
    <row r="1342" customFormat="false" ht="15" hidden="false" customHeight="true" outlineLevel="0" collapsed="false">
      <c r="A1342" s="15" t="s">
        <v>275</v>
      </c>
      <c r="B1342" s="15" t="s">
        <v>276</v>
      </c>
      <c r="C1342" s="15" t="s">
        <v>726</v>
      </c>
      <c r="D1342" s="15" t="n">
        <v>4789</v>
      </c>
      <c r="E1342" s="15" t="s">
        <v>725</v>
      </c>
      <c r="F1342" s="15" t="s">
        <v>825</v>
      </c>
      <c r="G1342" s="15" t="s">
        <v>112</v>
      </c>
      <c r="H1342" s="15"/>
    </row>
    <row r="1343" customFormat="false" ht="15" hidden="false" customHeight="true" outlineLevel="0" collapsed="false">
      <c r="A1343" s="15" t="s">
        <v>275</v>
      </c>
      <c r="B1343" s="15" t="s">
        <v>276</v>
      </c>
      <c r="C1343" s="15" t="s">
        <v>727</v>
      </c>
      <c r="D1343" s="15" t="n">
        <v>1907</v>
      </c>
      <c r="E1343" s="15" t="s">
        <v>725</v>
      </c>
      <c r="F1343" s="15" t="s">
        <v>825</v>
      </c>
      <c r="G1343" s="15" t="s">
        <v>112</v>
      </c>
      <c r="H1343" s="15"/>
    </row>
    <row r="1344" customFormat="false" ht="15" hidden="false" customHeight="true" outlineLevel="0" collapsed="false">
      <c r="A1344" s="15" t="s">
        <v>275</v>
      </c>
      <c r="B1344" s="15" t="s">
        <v>276</v>
      </c>
      <c r="C1344" s="15" t="s">
        <v>728</v>
      </c>
      <c r="D1344" s="15" t="n">
        <v>1694</v>
      </c>
      <c r="E1344" s="15" t="s">
        <v>725</v>
      </c>
      <c r="F1344" s="15" t="s">
        <v>825</v>
      </c>
      <c r="G1344" s="15" t="s">
        <v>112</v>
      </c>
      <c r="H1344" s="15"/>
    </row>
    <row r="1345" customFormat="false" ht="15" hidden="false" customHeight="true" outlineLevel="0" collapsed="false">
      <c r="A1345" s="15" t="s">
        <v>275</v>
      </c>
      <c r="B1345" s="15" t="s">
        <v>276</v>
      </c>
      <c r="C1345" s="15" t="s">
        <v>729</v>
      </c>
      <c r="D1345" s="15" t="n">
        <v>2775</v>
      </c>
      <c r="E1345" s="15" t="s">
        <v>725</v>
      </c>
      <c r="F1345" s="15" t="s">
        <v>825</v>
      </c>
      <c r="G1345" s="15" t="s">
        <v>112</v>
      </c>
      <c r="H1345" s="15"/>
    </row>
    <row r="1346" customFormat="false" ht="15" hidden="false" customHeight="true" outlineLevel="0" collapsed="false">
      <c r="A1346" s="15" t="s">
        <v>275</v>
      </c>
      <c r="B1346" s="15" t="s">
        <v>276</v>
      </c>
      <c r="C1346" s="15" t="s">
        <v>730</v>
      </c>
      <c r="D1346" s="15" t="n">
        <v>10</v>
      </c>
      <c r="E1346" s="15" t="s">
        <v>731</v>
      </c>
      <c r="F1346" s="15" t="s">
        <v>825</v>
      </c>
      <c r="G1346" s="15" t="s">
        <v>112</v>
      </c>
      <c r="H1346" s="15"/>
    </row>
    <row r="1347" customFormat="false" ht="15" hidden="false" customHeight="true" outlineLevel="0" collapsed="false">
      <c r="A1347" s="15" t="s">
        <v>275</v>
      </c>
      <c r="B1347" s="15" t="s">
        <v>276</v>
      </c>
      <c r="C1347" s="15" t="s">
        <v>776</v>
      </c>
      <c r="D1347" s="15" t="s">
        <v>800</v>
      </c>
      <c r="E1347" s="15"/>
      <c r="F1347" s="15" t="s">
        <v>825</v>
      </c>
      <c r="G1347" s="15" t="s">
        <v>112</v>
      </c>
      <c r="H1347" s="15"/>
    </row>
    <row r="1348" customFormat="false" ht="15" hidden="false" customHeight="true" outlineLevel="0" collapsed="false">
      <c r="A1348" s="15" t="s">
        <v>275</v>
      </c>
      <c r="B1348" s="15" t="s">
        <v>276</v>
      </c>
      <c r="C1348" s="15" t="s">
        <v>780</v>
      </c>
      <c r="D1348" s="15" t="s">
        <v>781</v>
      </c>
      <c r="E1348" s="15"/>
      <c r="F1348" s="15" t="s">
        <v>825</v>
      </c>
      <c r="G1348" s="15" t="s">
        <v>112</v>
      </c>
      <c r="H1348" s="15"/>
    </row>
    <row r="1349" customFormat="false" ht="15" hidden="false" customHeight="true" outlineLevel="0" collapsed="false">
      <c r="A1349" s="15" t="s">
        <v>275</v>
      </c>
      <c r="B1349" s="15" t="s">
        <v>276</v>
      </c>
      <c r="C1349" s="15" t="s">
        <v>789</v>
      </c>
      <c r="D1349" s="15" t="s">
        <v>790</v>
      </c>
      <c r="E1349" s="15"/>
      <c r="F1349" s="15" t="s">
        <v>825</v>
      </c>
      <c r="G1349" s="15" t="s">
        <v>112</v>
      </c>
      <c r="H1349" s="15"/>
    </row>
    <row r="1350" customFormat="false" ht="15" hidden="false" customHeight="true" outlineLevel="0" collapsed="false">
      <c r="A1350" s="15" t="s">
        <v>275</v>
      </c>
      <c r="B1350" s="15" t="s">
        <v>276</v>
      </c>
      <c r="C1350" s="15" t="s">
        <v>784</v>
      </c>
      <c r="D1350" s="15" t="n">
        <v>11</v>
      </c>
      <c r="E1350" s="15" t="s">
        <v>738</v>
      </c>
      <c r="F1350" s="15" t="s">
        <v>828</v>
      </c>
      <c r="G1350" s="15" t="s">
        <v>112</v>
      </c>
      <c r="H1350" s="15"/>
    </row>
    <row r="1351" customFormat="false" ht="15" hidden="false" customHeight="true" outlineLevel="0" collapsed="false">
      <c r="A1351" s="15" t="s">
        <v>275</v>
      </c>
      <c r="B1351" s="15" t="s">
        <v>276</v>
      </c>
      <c r="C1351" s="15" t="s">
        <v>782</v>
      </c>
      <c r="D1351" s="15" t="n">
        <v>36</v>
      </c>
      <c r="E1351" s="15" t="s">
        <v>783</v>
      </c>
      <c r="F1351" s="15" t="s">
        <v>828</v>
      </c>
      <c r="G1351" s="15" t="s">
        <v>112</v>
      </c>
      <c r="H1351" s="15"/>
    </row>
    <row r="1352" customFormat="false" ht="26.25" hidden="false" customHeight="true" outlineLevel="0" collapsed="false">
      <c r="A1352" s="15" t="s">
        <v>275</v>
      </c>
      <c r="B1352" s="15" t="s">
        <v>276</v>
      </c>
      <c r="C1352" s="15" t="s">
        <v>98</v>
      </c>
      <c r="D1352" s="15" t="s">
        <v>732</v>
      </c>
      <c r="E1352" s="15"/>
      <c r="F1352" s="15" t="s">
        <v>829</v>
      </c>
      <c r="G1352" s="15" t="s">
        <v>112</v>
      </c>
      <c r="H1352" s="15"/>
    </row>
    <row r="1353" customFormat="false" ht="26.25" hidden="false" customHeight="true" outlineLevel="0" collapsed="false">
      <c r="A1353" s="15" t="s">
        <v>275</v>
      </c>
      <c r="B1353" s="15" t="s">
        <v>276</v>
      </c>
      <c r="C1353" s="15" t="s">
        <v>830</v>
      </c>
      <c r="D1353" s="15" t="s">
        <v>831</v>
      </c>
      <c r="E1353" s="15"/>
      <c r="F1353" s="15" t="s">
        <v>832</v>
      </c>
      <c r="G1353" s="15" t="s">
        <v>112</v>
      </c>
      <c r="H1353" s="15"/>
    </row>
    <row r="1354" customFormat="false" ht="15" hidden="false" customHeight="true" outlineLevel="0" collapsed="false">
      <c r="A1354" s="15" t="s">
        <v>275</v>
      </c>
      <c r="B1354" s="15" t="s">
        <v>276</v>
      </c>
      <c r="C1354" s="15" t="s">
        <v>833</v>
      </c>
      <c r="D1354" s="15" t="s">
        <v>834</v>
      </c>
      <c r="E1354" s="15"/>
      <c r="F1354" s="15" t="s">
        <v>832</v>
      </c>
      <c r="G1354" s="15" t="s">
        <v>112</v>
      </c>
      <c r="H1354" s="15"/>
    </row>
    <row r="1355" customFormat="false" ht="15" hidden="false" customHeight="true" outlineLevel="0" collapsed="false">
      <c r="A1355" s="15" t="s">
        <v>275</v>
      </c>
      <c r="B1355" s="15" t="s">
        <v>276</v>
      </c>
      <c r="C1355" s="15" t="s">
        <v>835</v>
      </c>
      <c r="D1355" s="15" t="s">
        <v>836</v>
      </c>
      <c r="E1355" s="15"/>
      <c r="F1355" s="15" t="s">
        <v>832</v>
      </c>
      <c r="G1355" s="15" t="s">
        <v>112</v>
      </c>
      <c r="H1355" s="15"/>
    </row>
    <row r="1356" customFormat="false" ht="15" hidden="false" customHeight="true" outlineLevel="0" collapsed="false">
      <c r="A1356" s="15" t="s">
        <v>275</v>
      </c>
      <c r="B1356" s="15" t="s">
        <v>276</v>
      </c>
      <c r="C1356" s="15" t="s">
        <v>837</v>
      </c>
      <c r="D1356" s="15" t="n">
        <v>10000</v>
      </c>
      <c r="E1356" s="15" t="s">
        <v>838</v>
      </c>
      <c r="F1356" s="15" t="s">
        <v>832</v>
      </c>
      <c r="G1356" s="15" t="s">
        <v>112</v>
      </c>
      <c r="H1356" s="15"/>
    </row>
    <row r="1357" customFormat="false" ht="26.25" hidden="false" customHeight="true" outlineLevel="0" collapsed="false">
      <c r="A1357" s="15" t="s">
        <v>275</v>
      </c>
      <c r="B1357" s="15" t="s">
        <v>276</v>
      </c>
      <c r="C1357" s="15" t="s">
        <v>839</v>
      </c>
      <c r="D1357" s="15" t="s">
        <v>840</v>
      </c>
      <c r="E1357" s="15"/>
      <c r="F1357" s="15" t="s">
        <v>832</v>
      </c>
      <c r="G1357" s="15" t="s">
        <v>112</v>
      </c>
      <c r="H1357" s="15"/>
    </row>
    <row r="1358" customFormat="false" ht="15" hidden="false" customHeight="true" outlineLevel="0" collapsed="false">
      <c r="A1358" s="15" t="s">
        <v>275</v>
      </c>
      <c r="B1358" s="15" t="s">
        <v>276</v>
      </c>
      <c r="C1358" s="15" t="s">
        <v>841</v>
      </c>
      <c r="D1358" s="15" t="s">
        <v>842</v>
      </c>
      <c r="E1358" s="15"/>
      <c r="F1358" s="15" t="s">
        <v>832</v>
      </c>
      <c r="G1358" s="15" t="s">
        <v>112</v>
      </c>
      <c r="H1358" s="15"/>
    </row>
    <row r="1359" customFormat="false" ht="15" hidden="false" customHeight="true" outlineLevel="0" collapsed="false">
      <c r="A1359" s="15" t="s">
        <v>275</v>
      </c>
      <c r="B1359" s="15" t="s">
        <v>276</v>
      </c>
      <c r="C1359" s="15" t="s">
        <v>843</v>
      </c>
      <c r="D1359" s="15" t="s">
        <v>844</v>
      </c>
      <c r="E1359" s="15"/>
      <c r="F1359" s="15" t="s">
        <v>825</v>
      </c>
      <c r="G1359" s="15" t="s">
        <v>112</v>
      </c>
      <c r="H1359" s="15"/>
    </row>
    <row r="1360" customFormat="false" ht="15" hidden="false" customHeight="true" outlineLevel="0" collapsed="false">
      <c r="A1360" s="15" t="s">
        <v>275</v>
      </c>
      <c r="B1360" s="15" t="s">
        <v>276</v>
      </c>
      <c r="C1360" s="15" t="s">
        <v>737</v>
      </c>
      <c r="D1360" s="15" t="n">
        <v>210</v>
      </c>
      <c r="E1360" s="15" t="s">
        <v>738</v>
      </c>
      <c r="F1360" s="15" t="s">
        <v>825</v>
      </c>
      <c r="G1360" s="15" t="s">
        <v>112</v>
      </c>
      <c r="H1360" s="15"/>
    </row>
    <row r="1361" customFormat="false" ht="15" hidden="false" customHeight="true" outlineLevel="0" collapsed="false">
      <c r="A1361" s="15" t="s">
        <v>275</v>
      </c>
      <c r="B1361" s="15" t="s">
        <v>276</v>
      </c>
      <c r="C1361" s="15" t="s">
        <v>739</v>
      </c>
      <c r="D1361" s="15" t="n">
        <v>180</v>
      </c>
      <c r="E1361" s="15" t="s">
        <v>738</v>
      </c>
      <c r="F1361" s="15" t="s">
        <v>825</v>
      </c>
      <c r="G1361" s="15" t="s">
        <v>112</v>
      </c>
      <c r="H1361" s="15"/>
    </row>
    <row r="1362" customFormat="false" ht="26.25" hidden="false" customHeight="true" outlineLevel="0" collapsed="false">
      <c r="A1362" s="15" t="s">
        <v>275</v>
      </c>
      <c r="B1362" s="15" t="s">
        <v>276</v>
      </c>
      <c r="C1362" s="15" t="s">
        <v>740</v>
      </c>
      <c r="D1362" s="15" t="n">
        <v>8</v>
      </c>
      <c r="E1362" s="15" t="s">
        <v>741</v>
      </c>
      <c r="F1362" s="15" t="s">
        <v>825</v>
      </c>
      <c r="G1362" s="15" t="s">
        <v>112</v>
      </c>
      <c r="H1362" s="15"/>
    </row>
    <row r="1363" customFormat="false" ht="15" hidden="false" customHeight="true" outlineLevel="0" collapsed="false">
      <c r="A1363" s="15" t="s">
        <v>275</v>
      </c>
      <c r="B1363" s="15" t="s">
        <v>276</v>
      </c>
      <c r="C1363" s="15" t="s">
        <v>742</v>
      </c>
      <c r="D1363" s="15" t="n">
        <v>11.7</v>
      </c>
      <c r="E1363" s="15" t="s">
        <v>741</v>
      </c>
      <c r="F1363" s="15" t="s">
        <v>825</v>
      </c>
      <c r="G1363" s="15" t="s">
        <v>112</v>
      </c>
      <c r="H1363" s="15"/>
    </row>
    <row r="1364" customFormat="false" ht="26.25" hidden="false" customHeight="true" outlineLevel="0" collapsed="false">
      <c r="A1364" s="15" t="s">
        <v>275</v>
      </c>
      <c r="B1364" s="15" t="s">
        <v>276</v>
      </c>
      <c r="C1364" s="15" t="s">
        <v>733</v>
      </c>
      <c r="D1364" s="15" t="s">
        <v>808</v>
      </c>
      <c r="E1364" s="15"/>
      <c r="F1364" s="15" t="s">
        <v>845</v>
      </c>
      <c r="G1364" s="15" t="s">
        <v>112</v>
      </c>
      <c r="H1364" s="15" t="s">
        <v>846</v>
      </c>
    </row>
    <row r="1365" customFormat="false" ht="15" hidden="false" customHeight="true" outlineLevel="0" collapsed="false">
      <c r="A1365" s="15" t="s">
        <v>275</v>
      </c>
      <c r="B1365" s="15" t="s">
        <v>276</v>
      </c>
      <c r="C1365" s="15" t="s">
        <v>785</v>
      </c>
      <c r="D1365" s="15" t="n">
        <v>409</v>
      </c>
      <c r="E1365" s="15" t="s">
        <v>786</v>
      </c>
      <c r="F1365" s="15" t="s">
        <v>828</v>
      </c>
      <c r="G1365" s="15" t="s">
        <v>112</v>
      </c>
      <c r="H1365" s="15"/>
    </row>
    <row r="1366" customFormat="false" ht="15" hidden="false" customHeight="true" outlineLevel="0" collapsed="false">
      <c r="A1366" s="15" t="s">
        <v>275</v>
      </c>
      <c r="B1366" s="15" t="s">
        <v>276</v>
      </c>
      <c r="C1366" s="15" t="s">
        <v>811</v>
      </c>
      <c r="D1366" s="15" t="n">
        <v>6.8</v>
      </c>
      <c r="E1366" s="15" t="s">
        <v>812</v>
      </c>
      <c r="F1366" s="15" t="s">
        <v>825</v>
      </c>
      <c r="G1366" s="15" t="s">
        <v>112</v>
      </c>
      <c r="H1366" s="15" t="s">
        <v>864</v>
      </c>
    </row>
    <row r="1367" customFormat="false" ht="15" hidden="false" customHeight="true" outlineLevel="0" collapsed="false">
      <c r="A1367" s="15" t="s">
        <v>275</v>
      </c>
      <c r="B1367" s="15" t="s">
        <v>276</v>
      </c>
      <c r="C1367" s="15" t="s">
        <v>86</v>
      </c>
      <c r="D1367" s="15" t="n">
        <v>7</v>
      </c>
      <c r="E1367" s="15" t="s">
        <v>721</v>
      </c>
      <c r="F1367" s="15" t="s">
        <v>825</v>
      </c>
      <c r="G1367" s="15" t="s">
        <v>112</v>
      </c>
      <c r="H1367" s="15"/>
    </row>
    <row r="1368" customFormat="false" ht="15" hidden="false" customHeight="true" outlineLevel="0" collapsed="false">
      <c r="A1368" s="15" t="s">
        <v>275</v>
      </c>
      <c r="B1368" s="15" t="s">
        <v>276</v>
      </c>
      <c r="C1368" s="15" t="s">
        <v>764</v>
      </c>
      <c r="D1368" s="15" t="s">
        <v>803</v>
      </c>
      <c r="E1368" s="15"/>
      <c r="F1368" s="15" t="s">
        <v>825</v>
      </c>
      <c r="G1368" s="15" t="s">
        <v>112</v>
      </c>
      <c r="H1368" s="15"/>
    </row>
    <row r="1369" customFormat="false" ht="26.25" hidden="false" customHeight="true" outlineLevel="0" collapsed="false">
      <c r="A1369" s="15" t="s">
        <v>275</v>
      </c>
      <c r="B1369" s="15" t="s">
        <v>276</v>
      </c>
      <c r="C1369" s="15" t="s">
        <v>749</v>
      </c>
      <c r="D1369" s="15" t="s">
        <v>867</v>
      </c>
      <c r="E1369" s="15"/>
      <c r="F1369" s="15" t="s">
        <v>825</v>
      </c>
      <c r="G1369" s="15" t="s">
        <v>112</v>
      </c>
      <c r="H1369" s="15"/>
    </row>
    <row r="1370" customFormat="false" ht="15" hidden="false" customHeight="true" outlineLevel="0" collapsed="false">
      <c r="A1370" s="15" t="s">
        <v>275</v>
      </c>
      <c r="B1370" s="15" t="s">
        <v>276</v>
      </c>
      <c r="C1370" s="15" t="s">
        <v>752</v>
      </c>
      <c r="D1370" s="15" t="s">
        <v>865</v>
      </c>
      <c r="E1370" s="15"/>
      <c r="F1370" s="15" t="s">
        <v>825</v>
      </c>
      <c r="G1370" s="15" t="s">
        <v>112</v>
      </c>
      <c r="H1370" s="15"/>
    </row>
    <row r="1371" customFormat="false" ht="15" hidden="false" customHeight="true" outlineLevel="0" collapsed="false">
      <c r="A1371" s="15" t="s">
        <v>275</v>
      </c>
      <c r="B1371" s="15" t="s">
        <v>276</v>
      </c>
      <c r="C1371" s="15" t="s">
        <v>754</v>
      </c>
      <c r="D1371" s="15" t="s">
        <v>803</v>
      </c>
      <c r="E1371" s="15"/>
      <c r="F1371" s="15" t="s">
        <v>825</v>
      </c>
      <c r="G1371" s="15" t="s">
        <v>112</v>
      </c>
      <c r="H1371" s="15"/>
    </row>
    <row r="1372" customFormat="false" ht="15" hidden="false" customHeight="true" outlineLevel="0" collapsed="false">
      <c r="A1372" s="15" t="s">
        <v>275</v>
      </c>
      <c r="B1372" s="15" t="s">
        <v>276</v>
      </c>
      <c r="C1372" s="15" t="s">
        <v>756</v>
      </c>
      <c r="D1372" s="15" t="s">
        <v>858</v>
      </c>
      <c r="E1372" s="15"/>
      <c r="F1372" s="15" t="s">
        <v>825</v>
      </c>
      <c r="G1372" s="15" t="s">
        <v>112</v>
      </c>
      <c r="H1372" s="15"/>
    </row>
    <row r="1373" customFormat="false" ht="15" hidden="false" customHeight="true" outlineLevel="0" collapsed="false">
      <c r="A1373" s="15" t="s">
        <v>275</v>
      </c>
      <c r="B1373" s="15" t="s">
        <v>276</v>
      </c>
      <c r="C1373" s="15" t="s">
        <v>757</v>
      </c>
      <c r="D1373" s="15" t="s">
        <v>797</v>
      </c>
      <c r="E1373" s="15"/>
      <c r="F1373" s="15" t="s">
        <v>825</v>
      </c>
      <c r="G1373" s="15" t="s">
        <v>112</v>
      </c>
      <c r="H1373" s="15"/>
    </row>
    <row r="1374" customFormat="false" ht="15" hidden="false" customHeight="true" outlineLevel="0" collapsed="false">
      <c r="A1374" s="15" t="s">
        <v>275</v>
      </c>
      <c r="B1374" s="15" t="s">
        <v>276</v>
      </c>
      <c r="C1374" s="15" t="s">
        <v>759</v>
      </c>
      <c r="D1374" s="15" t="s">
        <v>798</v>
      </c>
      <c r="E1374" s="15"/>
      <c r="F1374" s="15" t="s">
        <v>825</v>
      </c>
      <c r="G1374" s="15" t="s">
        <v>112</v>
      </c>
      <c r="H1374" s="15"/>
    </row>
    <row r="1375" customFormat="false" ht="15" hidden="false" customHeight="true" outlineLevel="0" collapsed="false">
      <c r="A1375" s="15" t="s">
        <v>275</v>
      </c>
      <c r="B1375" s="15" t="s">
        <v>276</v>
      </c>
      <c r="C1375" s="15" t="s">
        <v>761</v>
      </c>
      <c r="D1375" s="15" t="s">
        <v>816</v>
      </c>
      <c r="E1375" s="15"/>
      <c r="F1375" s="15" t="s">
        <v>825</v>
      </c>
      <c r="G1375" s="15" t="s">
        <v>112</v>
      </c>
      <c r="H1375" s="15"/>
    </row>
    <row r="1376" customFormat="false" ht="15" hidden="false" customHeight="true" outlineLevel="0" collapsed="false">
      <c r="A1376" s="15" t="s">
        <v>275</v>
      </c>
      <c r="B1376" s="15" t="s">
        <v>276</v>
      </c>
      <c r="C1376" s="15" t="s">
        <v>762</v>
      </c>
      <c r="D1376" s="15" t="s">
        <v>803</v>
      </c>
      <c r="E1376" s="15"/>
      <c r="F1376" s="15" t="s">
        <v>825</v>
      </c>
      <c r="G1376" s="15" t="s">
        <v>112</v>
      </c>
      <c r="H1376" s="15"/>
    </row>
    <row r="1377" customFormat="false" ht="15" hidden="false" customHeight="true" outlineLevel="0" collapsed="false">
      <c r="A1377" s="15" t="s">
        <v>275</v>
      </c>
      <c r="B1377" s="15" t="s">
        <v>276</v>
      </c>
      <c r="C1377" s="15" t="s">
        <v>92</v>
      </c>
      <c r="D1377" s="15" t="s">
        <v>803</v>
      </c>
      <c r="E1377" s="15"/>
      <c r="F1377" s="15" t="s">
        <v>825</v>
      </c>
      <c r="G1377" s="15" t="s">
        <v>112</v>
      </c>
      <c r="H1377" s="15"/>
    </row>
    <row r="1378" customFormat="false" ht="15" hidden="false" customHeight="true" outlineLevel="0" collapsed="false">
      <c r="A1378" s="15" t="s">
        <v>275</v>
      </c>
      <c r="B1378" s="15" t="s">
        <v>276</v>
      </c>
      <c r="C1378" s="15" t="s">
        <v>763</v>
      </c>
      <c r="D1378" s="15" t="s">
        <v>807</v>
      </c>
      <c r="E1378" s="15"/>
      <c r="F1378" s="15" t="s">
        <v>825</v>
      </c>
      <c r="G1378" s="15" t="s">
        <v>112</v>
      </c>
      <c r="H1378" s="15"/>
    </row>
    <row r="1379" customFormat="false" ht="15" hidden="false" customHeight="true" outlineLevel="0" collapsed="false">
      <c r="A1379" s="15" t="s">
        <v>275</v>
      </c>
      <c r="B1379" s="15" t="s">
        <v>276</v>
      </c>
      <c r="C1379" s="15" t="s">
        <v>848</v>
      </c>
      <c r="D1379" s="15" t="s">
        <v>859</v>
      </c>
      <c r="E1379" s="15"/>
      <c r="F1379" s="15" t="s">
        <v>825</v>
      </c>
      <c r="G1379" s="15" t="s">
        <v>112</v>
      </c>
      <c r="H1379" s="15"/>
    </row>
    <row r="1380" customFormat="false" ht="15" hidden="false" customHeight="true" outlineLevel="0" collapsed="false">
      <c r="A1380" s="15" t="s">
        <v>275</v>
      </c>
      <c r="B1380" s="15" t="s">
        <v>276</v>
      </c>
      <c r="C1380" s="15" t="s">
        <v>747</v>
      </c>
      <c r="D1380" s="15" t="s">
        <v>801</v>
      </c>
      <c r="E1380" s="15"/>
      <c r="F1380" s="15" t="s">
        <v>825</v>
      </c>
      <c r="G1380" s="15" t="s">
        <v>112</v>
      </c>
      <c r="H1380" s="15"/>
    </row>
    <row r="1381" customFormat="false" ht="15" hidden="false" customHeight="true" outlineLevel="0" collapsed="false">
      <c r="A1381" s="15" t="s">
        <v>275</v>
      </c>
      <c r="B1381" s="15" t="s">
        <v>276</v>
      </c>
      <c r="C1381" s="15" t="s">
        <v>851</v>
      </c>
      <c r="D1381" s="15" t="s">
        <v>860</v>
      </c>
      <c r="E1381" s="15"/>
      <c r="F1381" s="15" t="s">
        <v>825</v>
      </c>
      <c r="G1381" s="15" t="s">
        <v>112</v>
      </c>
      <c r="H1381" s="15"/>
    </row>
    <row r="1382" customFormat="false" ht="15" hidden="false" customHeight="true" outlineLevel="0" collapsed="false">
      <c r="A1382" s="15" t="s">
        <v>275</v>
      </c>
      <c r="B1382" s="15" t="s">
        <v>276</v>
      </c>
      <c r="C1382" s="15" t="s">
        <v>853</v>
      </c>
      <c r="D1382" s="15" t="s">
        <v>866</v>
      </c>
      <c r="E1382" s="15"/>
      <c r="F1382" s="15" t="s">
        <v>825</v>
      </c>
      <c r="G1382" s="15" t="s">
        <v>112</v>
      </c>
      <c r="H1382" s="15"/>
    </row>
    <row r="1383" customFormat="false" ht="15" hidden="false" customHeight="true" outlineLevel="0" collapsed="false">
      <c r="A1383" s="15" t="s">
        <v>275</v>
      </c>
      <c r="B1383" s="15" t="s">
        <v>276</v>
      </c>
      <c r="C1383" s="15" t="s">
        <v>854</v>
      </c>
      <c r="D1383" s="15" t="s">
        <v>803</v>
      </c>
      <c r="E1383" s="15"/>
      <c r="F1383" s="15" t="s">
        <v>825</v>
      </c>
      <c r="G1383" s="15" t="s">
        <v>112</v>
      </c>
      <c r="H1383" s="15"/>
    </row>
    <row r="1384" customFormat="false" ht="15" hidden="false" customHeight="true" outlineLevel="0" collapsed="false">
      <c r="A1384" s="15" t="s">
        <v>275</v>
      </c>
      <c r="B1384" s="15" t="s">
        <v>276</v>
      </c>
      <c r="C1384" s="15" t="s">
        <v>855</v>
      </c>
      <c r="D1384" s="15" t="s">
        <v>862</v>
      </c>
      <c r="E1384" s="15"/>
      <c r="F1384" s="15" t="s">
        <v>825</v>
      </c>
      <c r="G1384" s="15" t="s">
        <v>112</v>
      </c>
      <c r="H1384" s="15"/>
    </row>
    <row r="1385" customFormat="false" ht="15" hidden="false" customHeight="true" outlineLevel="0" collapsed="false">
      <c r="A1385" s="15" t="s">
        <v>275</v>
      </c>
      <c r="B1385" s="15" t="s">
        <v>276</v>
      </c>
      <c r="C1385" s="15" t="s">
        <v>857</v>
      </c>
      <c r="D1385" s="15" t="s">
        <v>803</v>
      </c>
      <c r="E1385" s="15"/>
      <c r="F1385" s="15" t="s">
        <v>825</v>
      </c>
      <c r="G1385" s="15" t="s">
        <v>112</v>
      </c>
      <c r="H1385" s="15"/>
    </row>
    <row r="1386" customFormat="false" ht="26.25" hidden="false" customHeight="true" outlineLevel="0" collapsed="false">
      <c r="A1386" s="15" t="s">
        <v>289</v>
      </c>
      <c r="B1386" s="15" t="s">
        <v>249</v>
      </c>
      <c r="C1386" s="15" t="s">
        <v>769</v>
      </c>
      <c r="D1386" s="15" t="n">
        <v>5</v>
      </c>
      <c r="E1386" s="15" t="s">
        <v>721</v>
      </c>
      <c r="F1386" s="15" t="s">
        <v>824</v>
      </c>
      <c r="G1386" s="15" t="s">
        <v>112</v>
      </c>
      <c r="H1386" s="15"/>
    </row>
    <row r="1387" customFormat="false" ht="26.25" hidden="false" customHeight="true" outlineLevel="0" collapsed="false">
      <c r="A1387" s="15" t="s">
        <v>289</v>
      </c>
      <c r="B1387" s="15" t="s">
        <v>249</v>
      </c>
      <c r="C1387" s="15" t="s">
        <v>714</v>
      </c>
      <c r="D1387" s="15" t="n">
        <v>380</v>
      </c>
      <c r="E1387" s="15" t="s">
        <v>715</v>
      </c>
      <c r="F1387" s="15" t="s">
        <v>825</v>
      </c>
      <c r="G1387" s="15" t="s">
        <v>112</v>
      </c>
      <c r="H1387" s="15"/>
    </row>
    <row r="1388" customFormat="false" ht="26.25" hidden="false" customHeight="true" outlineLevel="0" collapsed="false">
      <c r="A1388" s="15" t="s">
        <v>289</v>
      </c>
      <c r="B1388" s="15" t="s">
        <v>249</v>
      </c>
      <c r="C1388" s="15" t="s">
        <v>718</v>
      </c>
      <c r="D1388" s="15" t="s">
        <v>113</v>
      </c>
      <c r="E1388" s="15"/>
      <c r="F1388" s="15" t="s">
        <v>825</v>
      </c>
      <c r="G1388" s="15" t="s">
        <v>112</v>
      </c>
      <c r="H1388" s="15"/>
    </row>
    <row r="1389" customFormat="false" ht="26.25" hidden="false" customHeight="true" outlineLevel="0" collapsed="false">
      <c r="A1389" s="15" t="s">
        <v>289</v>
      </c>
      <c r="B1389" s="15" t="s">
        <v>249</v>
      </c>
      <c r="C1389" s="15" t="s">
        <v>826</v>
      </c>
      <c r="D1389" s="15" t="s">
        <v>827</v>
      </c>
      <c r="E1389" s="15"/>
      <c r="F1389" s="15" t="s">
        <v>825</v>
      </c>
      <c r="G1389" s="15" t="s">
        <v>112</v>
      </c>
      <c r="H1389" s="15"/>
    </row>
    <row r="1390" customFormat="false" ht="26.25" hidden="false" customHeight="true" outlineLevel="0" collapsed="false">
      <c r="A1390" s="15" t="s">
        <v>289</v>
      </c>
      <c r="B1390" s="15" t="s">
        <v>249</v>
      </c>
      <c r="C1390" s="15" t="s">
        <v>719</v>
      </c>
      <c r="D1390" s="15" t="n">
        <v>20</v>
      </c>
      <c r="E1390" s="15" t="s">
        <v>720</v>
      </c>
      <c r="F1390" s="15" t="s">
        <v>825</v>
      </c>
      <c r="G1390" s="15" t="s">
        <v>112</v>
      </c>
      <c r="H1390" s="15"/>
    </row>
    <row r="1391" customFormat="false" ht="26.25" hidden="false" customHeight="true" outlineLevel="0" collapsed="false">
      <c r="A1391" s="15" t="s">
        <v>289</v>
      </c>
      <c r="B1391" s="15" t="s">
        <v>249</v>
      </c>
      <c r="C1391" s="15" t="s">
        <v>722</v>
      </c>
      <c r="D1391" s="15" t="n">
        <v>663</v>
      </c>
      <c r="E1391" s="15" t="s">
        <v>723</v>
      </c>
      <c r="F1391" s="15" t="s">
        <v>825</v>
      </c>
      <c r="G1391" s="15" t="s">
        <v>112</v>
      </c>
      <c r="H1391" s="15"/>
    </row>
    <row r="1392" customFormat="false" ht="26.25" hidden="false" customHeight="true" outlineLevel="0" collapsed="false">
      <c r="A1392" s="15" t="s">
        <v>289</v>
      </c>
      <c r="B1392" s="15" t="s">
        <v>249</v>
      </c>
      <c r="C1392" s="15" t="s">
        <v>724</v>
      </c>
      <c r="D1392" s="15" t="n">
        <v>150</v>
      </c>
      <c r="E1392" s="15" t="s">
        <v>723</v>
      </c>
      <c r="F1392" s="15" t="s">
        <v>825</v>
      </c>
      <c r="G1392" s="15" t="s">
        <v>112</v>
      </c>
      <c r="H1392" s="15"/>
    </row>
    <row r="1393" customFormat="false" ht="26.25" hidden="false" customHeight="true" outlineLevel="0" collapsed="false">
      <c r="A1393" s="15" t="s">
        <v>289</v>
      </c>
      <c r="B1393" s="15" t="s">
        <v>249</v>
      </c>
      <c r="C1393" s="15" t="s">
        <v>84</v>
      </c>
      <c r="D1393" s="15" t="n">
        <v>207</v>
      </c>
      <c r="E1393" s="15" t="s">
        <v>725</v>
      </c>
      <c r="F1393" s="15" t="s">
        <v>825</v>
      </c>
      <c r="G1393" s="15" t="s">
        <v>112</v>
      </c>
      <c r="H1393" s="15"/>
    </row>
    <row r="1394" customFormat="false" ht="26.25" hidden="false" customHeight="true" outlineLevel="0" collapsed="false">
      <c r="A1394" s="15" t="s">
        <v>289</v>
      </c>
      <c r="B1394" s="15" t="s">
        <v>249</v>
      </c>
      <c r="C1394" s="15" t="s">
        <v>726</v>
      </c>
      <c r="D1394" s="15" t="n">
        <v>4789</v>
      </c>
      <c r="E1394" s="15" t="s">
        <v>725</v>
      </c>
      <c r="F1394" s="15" t="s">
        <v>825</v>
      </c>
      <c r="G1394" s="15" t="s">
        <v>112</v>
      </c>
      <c r="H1394" s="15"/>
    </row>
    <row r="1395" customFormat="false" ht="26.25" hidden="false" customHeight="true" outlineLevel="0" collapsed="false">
      <c r="A1395" s="15" t="s">
        <v>289</v>
      </c>
      <c r="B1395" s="15" t="s">
        <v>249</v>
      </c>
      <c r="C1395" s="15" t="s">
        <v>727</v>
      </c>
      <c r="D1395" s="15" t="n">
        <v>1907</v>
      </c>
      <c r="E1395" s="15" t="s">
        <v>725</v>
      </c>
      <c r="F1395" s="15" t="s">
        <v>825</v>
      </c>
      <c r="G1395" s="15" t="s">
        <v>112</v>
      </c>
      <c r="H1395" s="15"/>
    </row>
    <row r="1396" customFormat="false" ht="26.25" hidden="false" customHeight="true" outlineLevel="0" collapsed="false">
      <c r="A1396" s="15" t="s">
        <v>289</v>
      </c>
      <c r="B1396" s="15" t="s">
        <v>249</v>
      </c>
      <c r="C1396" s="15" t="s">
        <v>728</v>
      </c>
      <c r="D1396" s="15" t="n">
        <v>1694</v>
      </c>
      <c r="E1396" s="15" t="s">
        <v>725</v>
      </c>
      <c r="F1396" s="15" t="s">
        <v>825</v>
      </c>
      <c r="G1396" s="15" t="s">
        <v>112</v>
      </c>
      <c r="H1396" s="15"/>
    </row>
    <row r="1397" customFormat="false" ht="26.25" hidden="false" customHeight="true" outlineLevel="0" collapsed="false">
      <c r="A1397" s="15" t="s">
        <v>289</v>
      </c>
      <c r="B1397" s="15" t="s">
        <v>249</v>
      </c>
      <c r="C1397" s="15" t="s">
        <v>729</v>
      </c>
      <c r="D1397" s="15" t="n">
        <v>2775</v>
      </c>
      <c r="E1397" s="15" t="s">
        <v>725</v>
      </c>
      <c r="F1397" s="15" t="s">
        <v>825</v>
      </c>
      <c r="G1397" s="15" t="s">
        <v>112</v>
      </c>
      <c r="H1397" s="15"/>
    </row>
    <row r="1398" customFormat="false" ht="26.25" hidden="false" customHeight="true" outlineLevel="0" collapsed="false">
      <c r="A1398" s="15" t="s">
        <v>289</v>
      </c>
      <c r="B1398" s="15" t="s">
        <v>249</v>
      </c>
      <c r="C1398" s="15" t="s">
        <v>730</v>
      </c>
      <c r="D1398" s="15" t="n">
        <v>10</v>
      </c>
      <c r="E1398" s="15" t="s">
        <v>731</v>
      </c>
      <c r="F1398" s="15" t="s">
        <v>825</v>
      </c>
      <c r="G1398" s="15" t="s">
        <v>112</v>
      </c>
      <c r="H1398" s="15"/>
    </row>
    <row r="1399" customFormat="false" ht="26.25" hidden="false" customHeight="true" outlineLevel="0" collapsed="false">
      <c r="A1399" s="15" t="s">
        <v>289</v>
      </c>
      <c r="B1399" s="15" t="s">
        <v>249</v>
      </c>
      <c r="C1399" s="15" t="s">
        <v>776</v>
      </c>
      <c r="D1399" s="15" t="s">
        <v>800</v>
      </c>
      <c r="E1399" s="15"/>
      <c r="F1399" s="15" t="s">
        <v>825</v>
      </c>
      <c r="G1399" s="15" t="s">
        <v>112</v>
      </c>
      <c r="H1399" s="15"/>
    </row>
    <row r="1400" customFormat="false" ht="26.25" hidden="false" customHeight="true" outlineLevel="0" collapsed="false">
      <c r="A1400" s="15" t="s">
        <v>289</v>
      </c>
      <c r="B1400" s="15" t="s">
        <v>249</v>
      </c>
      <c r="C1400" s="15" t="s">
        <v>780</v>
      </c>
      <c r="D1400" s="15" t="s">
        <v>781</v>
      </c>
      <c r="E1400" s="15"/>
      <c r="F1400" s="15" t="s">
        <v>825</v>
      </c>
      <c r="G1400" s="15" t="s">
        <v>112</v>
      </c>
      <c r="H1400" s="15"/>
    </row>
    <row r="1401" customFormat="false" ht="26.25" hidden="false" customHeight="true" outlineLevel="0" collapsed="false">
      <c r="A1401" s="15" t="s">
        <v>289</v>
      </c>
      <c r="B1401" s="15" t="s">
        <v>249</v>
      </c>
      <c r="C1401" s="15" t="s">
        <v>789</v>
      </c>
      <c r="D1401" s="15" t="s">
        <v>790</v>
      </c>
      <c r="E1401" s="15"/>
      <c r="F1401" s="15" t="s">
        <v>825</v>
      </c>
      <c r="G1401" s="15" t="s">
        <v>112</v>
      </c>
      <c r="H1401" s="15"/>
    </row>
    <row r="1402" customFormat="false" ht="26.25" hidden="false" customHeight="true" outlineLevel="0" collapsed="false">
      <c r="A1402" s="15" t="s">
        <v>289</v>
      </c>
      <c r="B1402" s="15" t="s">
        <v>249</v>
      </c>
      <c r="C1402" s="15" t="s">
        <v>784</v>
      </c>
      <c r="D1402" s="15" t="n">
        <v>11</v>
      </c>
      <c r="E1402" s="15" t="s">
        <v>738</v>
      </c>
      <c r="F1402" s="15" t="s">
        <v>828</v>
      </c>
      <c r="G1402" s="15" t="s">
        <v>112</v>
      </c>
      <c r="H1402" s="15"/>
    </row>
    <row r="1403" customFormat="false" ht="26.25" hidden="false" customHeight="true" outlineLevel="0" collapsed="false">
      <c r="A1403" s="15" t="s">
        <v>289</v>
      </c>
      <c r="B1403" s="15" t="s">
        <v>249</v>
      </c>
      <c r="C1403" s="15" t="s">
        <v>782</v>
      </c>
      <c r="D1403" s="15" t="n">
        <v>36</v>
      </c>
      <c r="E1403" s="15" t="s">
        <v>783</v>
      </c>
      <c r="F1403" s="15" t="s">
        <v>828</v>
      </c>
      <c r="G1403" s="15" t="s">
        <v>112</v>
      </c>
      <c r="H1403" s="15"/>
    </row>
    <row r="1404" customFormat="false" ht="26.25" hidden="false" customHeight="true" outlineLevel="0" collapsed="false">
      <c r="A1404" s="15" t="s">
        <v>289</v>
      </c>
      <c r="B1404" s="15" t="s">
        <v>249</v>
      </c>
      <c r="C1404" s="15" t="s">
        <v>98</v>
      </c>
      <c r="D1404" s="15" t="s">
        <v>732</v>
      </c>
      <c r="E1404" s="15"/>
      <c r="F1404" s="15" t="s">
        <v>829</v>
      </c>
      <c r="G1404" s="15" t="s">
        <v>112</v>
      </c>
      <c r="H1404" s="15"/>
    </row>
    <row r="1405" customFormat="false" ht="26.25" hidden="false" customHeight="true" outlineLevel="0" collapsed="false">
      <c r="A1405" s="15" t="s">
        <v>289</v>
      </c>
      <c r="B1405" s="15" t="s">
        <v>249</v>
      </c>
      <c r="C1405" s="15" t="s">
        <v>830</v>
      </c>
      <c r="D1405" s="15" t="s">
        <v>831</v>
      </c>
      <c r="E1405" s="15"/>
      <c r="F1405" s="15" t="s">
        <v>832</v>
      </c>
      <c r="G1405" s="15" t="s">
        <v>112</v>
      </c>
      <c r="H1405" s="15"/>
    </row>
    <row r="1406" customFormat="false" ht="26.25" hidden="false" customHeight="true" outlineLevel="0" collapsed="false">
      <c r="A1406" s="15" t="s">
        <v>289</v>
      </c>
      <c r="B1406" s="15" t="s">
        <v>249</v>
      </c>
      <c r="C1406" s="15" t="s">
        <v>833</v>
      </c>
      <c r="D1406" s="15" t="s">
        <v>834</v>
      </c>
      <c r="E1406" s="15"/>
      <c r="F1406" s="15" t="s">
        <v>832</v>
      </c>
      <c r="G1406" s="15" t="s">
        <v>112</v>
      </c>
      <c r="H1406" s="15"/>
    </row>
    <row r="1407" customFormat="false" ht="26.25" hidden="false" customHeight="true" outlineLevel="0" collapsed="false">
      <c r="A1407" s="15" t="s">
        <v>289</v>
      </c>
      <c r="B1407" s="15" t="s">
        <v>249</v>
      </c>
      <c r="C1407" s="15" t="s">
        <v>835</v>
      </c>
      <c r="D1407" s="15" t="s">
        <v>836</v>
      </c>
      <c r="E1407" s="15"/>
      <c r="F1407" s="15" t="s">
        <v>832</v>
      </c>
      <c r="G1407" s="15" t="s">
        <v>112</v>
      </c>
      <c r="H1407" s="15"/>
    </row>
    <row r="1408" customFormat="false" ht="26.25" hidden="false" customHeight="true" outlineLevel="0" collapsed="false">
      <c r="A1408" s="15" t="s">
        <v>289</v>
      </c>
      <c r="B1408" s="15" t="s">
        <v>249</v>
      </c>
      <c r="C1408" s="15" t="s">
        <v>837</v>
      </c>
      <c r="D1408" s="15" t="n">
        <v>10000</v>
      </c>
      <c r="E1408" s="15" t="s">
        <v>838</v>
      </c>
      <c r="F1408" s="15" t="s">
        <v>832</v>
      </c>
      <c r="G1408" s="15" t="s">
        <v>112</v>
      </c>
      <c r="H1408" s="15"/>
    </row>
    <row r="1409" customFormat="false" ht="26.25" hidden="false" customHeight="true" outlineLevel="0" collapsed="false">
      <c r="A1409" s="15" t="s">
        <v>289</v>
      </c>
      <c r="B1409" s="15" t="s">
        <v>249</v>
      </c>
      <c r="C1409" s="15" t="s">
        <v>839</v>
      </c>
      <c r="D1409" s="15" t="s">
        <v>840</v>
      </c>
      <c r="E1409" s="15"/>
      <c r="F1409" s="15" t="s">
        <v>832</v>
      </c>
      <c r="G1409" s="15" t="s">
        <v>112</v>
      </c>
      <c r="H1409" s="15"/>
    </row>
    <row r="1410" customFormat="false" ht="26.25" hidden="false" customHeight="true" outlineLevel="0" collapsed="false">
      <c r="A1410" s="15" t="s">
        <v>289</v>
      </c>
      <c r="B1410" s="15" t="s">
        <v>249</v>
      </c>
      <c r="C1410" s="15" t="s">
        <v>841</v>
      </c>
      <c r="D1410" s="15" t="s">
        <v>842</v>
      </c>
      <c r="E1410" s="15"/>
      <c r="F1410" s="15" t="s">
        <v>832</v>
      </c>
      <c r="G1410" s="15" t="s">
        <v>112</v>
      </c>
      <c r="H1410" s="15"/>
    </row>
    <row r="1411" customFormat="false" ht="26.25" hidden="false" customHeight="true" outlineLevel="0" collapsed="false">
      <c r="A1411" s="15" t="s">
        <v>289</v>
      </c>
      <c r="B1411" s="15" t="s">
        <v>249</v>
      </c>
      <c r="C1411" s="15" t="s">
        <v>843</v>
      </c>
      <c r="D1411" s="15" t="s">
        <v>844</v>
      </c>
      <c r="E1411" s="15"/>
      <c r="F1411" s="15" t="s">
        <v>825</v>
      </c>
      <c r="G1411" s="15" t="s">
        <v>112</v>
      </c>
      <c r="H1411" s="15"/>
    </row>
    <row r="1412" customFormat="false" ht="26.25" hidden="false" customHeight="true" outlineLevel="0" collapsed="false">
      <c r="A1412" s="15" t="s">
        <v>289</v>
      </c>
      <c r="B1412" s="15" t="s">
        <v>249</v>
      </c>
      <c r="C1412" s="15" t="s">
        <v>737</v>
      </c>
      <c r="D1412" s="15" t="n">
        <v>210</v>
      </c>
      <c r="E1412" s="15" t="s">
        <v>738</v>
      </c>
      <c r="F1412" s="15" t="s">
        <v>825</v>
      </c>
      <c r="G1412" s="15" t="s">
        <v>112</v>
      </c>
      <c r="H1412" s="15"/>
    </row>
    <row r="1413" customFormat="false" ht="26.25" hidden="false" customHeight="true" outlineLevel="0" collapsed="false">
      <c r="A1413" s="15" t="s">
        <v>289</v>
      </c>
      <c r="B1413" s="15" t="s">
        <v>249</v>
      </c>
      <c r="C1413" s="15" t="s">
        <v>739</v>
      </c>
      <c r="D1413" s="15" t="n">
        <v>180</v>
      </c>
      <c r="E1413" s="15" t="s">
        <v>738</v>
      </c>
      <c r="F1413" s="15" t="s">
        <v>825</v>
      </c>
      <c r="G1413" s="15" t="s">
        <v>112</v>
      </c>
      <c r="H1413" s="15"/>
    </row>
    <row r="1414" customFormat="false" ht="26.25" hidden="false" customHeight="true" outlineLevel="0" collapsed="false">
      <c r="A1414" s="15" t="s">
        <v>289</v>
      </c>
      <c r="B1414" s="15" t="s">
        <v>249</v>
      </c>
      <c r="C1414" s="15" t="s">
        <v>740</v>
      </c>
      <c r="D1414" s="15" t="n">
        <v>8</v>
      </c>
      <c r="E1414" s="15" t="s">
        <v>741</v>
      </c>
      <c r="F1414" s="15" t="s">
        <v>825</v>
      </c>
      <c r="G1414" s="15" t="s">
        <v>112</v>
      </c>
      <c r="H1414" s="15"/>
    </row>
    <row r="1415" customFormat="false" ht="26.25" hidden="false" customHeight="true" outlineLevel="0" collapsed="false">
      <c r="A1415" s="15" t="s">
        <v>289</v>
      </c>
      <c r="B1415" s="15" t="s">
        <v>249</v>
      </c>
      <c r="C1415" s="15" t="s">
        <v>742</v>
      </c>
      <c r="D1415" s="15" t="n">
        <v>11.7</v>
      </c>
      <c r="E1415" s="15" t="s">
        <v>741</v>
      </c>
      <c r="F1415" s="15" t="s">
        <v>825</v>
      </c>
      <c r="G1415" s="15" t="s">
        <v>112</v>
      </c>
      <c r="H1415" s="15"/>
    </row>
    <row r="1416" customFormat="false" ht="26.25" hidden="false" customHeight="true" outlineLevel="0" collapsed="false">
      <c r="A1416" s="15" t="s">
        <v>289</v>
      </c>
      <c r="B1416" s="15" t="s">
        <v>249</v>
      </c>
      <c r="C1416" s="15" t="s">
        <v>733</v>
      </c>
      <c r="D1416" s="15" t="s">
        <v>808</v>
      </c>
      <c r="E1416" s="15"/>
      <c r="F1416" s="15" t="s">
        <v>845</v>
      </c>
      <c r="G1416" s="15" t="s">
        <v>112</v>
      </c>
      <c r="H1416" s="15" t="s">
        <v>846</v>
      </c>
    </row>
    <row r="1417" customFormat="false" ht="26.25" hidden="false" customHeight="true" outlineLevel="0" collapsed="false">
      <c r="A1417" s="15" t="s">
        <v>289</v>
      </c>
      <c r="B1417" s="15" t="s">
        <v>249</v>
      </c>
      <c r="C1417" s="15" t="s">
        <v>785</v>
      </c>
      <c r="D1417" s="15" t="n">
        <v>409</v>
      </c>
      <c r="E1417" s="15" t="s">
        <v>786</v>
      </c>
      <c r="F1417" s="15" t="s">
        <v>828</v>
      </c>
      <c r="G1417" s="15" t="s">
        <v>112</v>
      </c>
      <c r="H1417" s="15"/>
    </row>
    <row r="1418" customFormat="false" ht="26.25" hidden="false" customHeight="true" outlineLevel="0" collapsed="false">
      <c r="A1418" s="15" t="s">
        <v>289</v>
      </c>
      <c r="B1418" s="15" t="s">
        <v>249</v>
      </c>
      <c r="C1418" s="15" t="s">
        <v>811</v>
      </c>
      <c r="D1418" s="15" t="n">
        <v>6.8</v>
      </c>
      <c r="E1418" s="15" t="s">
        <v>812</v>
      </c>
      <c r="F1418" s="15" t="s">
        <v>825</v>
      </c>
      <c r="G1418" s="15" t="s">
        <v>112</v>
      </c>
      <c r="H1418" s="15" t="s">
        <v>864</v>
      </c>
    </row>
    <row r="1419" customFormat="false" ht="26.25" hidden="false" customHeight="true" outlineLevel="0" collapsed="false">
      <c r="A1419" s="15" t="s">
        <v>289</v>
      </c>
      <c r="B1419" s="15" t="s">
        <v>249</v>
      </c>
      <c r="C1419" s="15" t="s">
        <v>86</v>
      </c>
      <c r="D1419" s="15" t="n">
        <v>7</v>
      </c>
      <c r="E1419" s="15" t="s">
        <v>721</v>
      </c>
      <c r="F1419" s="15" t="s">
        <v>825</v>
      </c>
      <c r="G1419" s="15" t="s">
        <v>112</v>
      </c>
      <c r="H1419" s="15"/>
    </row>
    <row r="1420" customFormat="false" ht="26.25" hidden="false" customHeight="true" outlineLevel="0" collapsed="false">
      <c r="A1420" s="15" t="s">
        <v>289</v>
      </c>
      <c r="B1420" s="15" t="s">
        <v>249</v>
      </c>
      <c r="C1420" s="15" t="s">
        <v>764</v>
      </c>
      <c r="D1420" s="15" t="s">
        <v>803</v>
      </c>
      <c r="E1420" s="15"/>
      <c r="F1420" s="15" t="s">
        <v>825</v>
      </c>
      <c r="G1420" s="15" t="s">
        <v>112</v>
      </c>
      <c r="H1420" s="15"/>
    </row>
    <row r="1421" customFormat="false" ht="26.25" hidden="false" customHeight="true" outlineLevel="0" collapsed="false">
      <c r="A1421" s="15" t="s">
        <v>289</v>
      </c>
      <c r="B1421" s="15" t="s">
        <v>249</v>
      </c>
      <c r="C1421" s="15" t="s">
        <v>749</v>
      </c>
      <c r="D1421" s="15" t="s">
        <v>867</v>
      </c>
      <c r="E1421" s="15"/>
      <c r="F1421" s="15" t="s">
        <v>825</v>
      </c>
      <c r="G1421" s="15" t="s">
        <v>112</v>
      </c>
      <c r="H1421" s="15"/>
    </row>
    <row r="1422" customFormat="false" ht="26.25" hidden="false" customHeight="true" outlineLevel="0" collapsed="false">
      <c r="A1422" s="15" t="s">
        <v>289</v>
      </c>
      <c r="B1422" s="15" t="s">
        <v>249</v>
      </c>
      <c r="C1422" s="15" t="s">
        <v>752</v>
      </c>
      <c r="D1422" s="15" t="s">
        <v>865</v>
      </c>
      <c r="E1422" s="15"/>
      <c r="F1422" s="15" t="s">
        <v>825</v>
      </c>
      <c r="G1422" s="15" t="s">
        <v>112</v>
      </c>
      <c r="H1422" s="15"/>
    </row>
    <row r="1423" customFormat="false" ht="26.25" hidden="false" customHeight="true" outlineLevel="0" collapsed="false">
      <c r="A1423" s="15" t="s">
        <v>289</v>
      </c>
      <c r="B1423" s="15" t="s">
        <v>249</v>
      </c>
      <c r="C1423" s="15" t="s">
        <v>754</v>
      </c>
      <c r="D1423" s="15" t="s">
        <v>803</v>
      </c>
      <c r="E1423" s="15"/>
      <c r="F1423" s="15" t="s">
        <v>825</v>
      </c>
      <c r="G1423" s="15" t="s">
        <v>112</v>
      </c>
      <c r="H1423" s="15"/>
    </row>
    <row r="1424" customFormat="false" ht="26.25" hidden="false" customHeight="true" outlineLevel="0" collapsed="false">
      <c r="A1424" s="15" t="s">
        <v>289</v>
      </c>
      <c r="B1424" s="15" t="s">
        <v>249</v>
      </c>
      <c r="C1424" s="15" t="s">
        <v>756</v>
      </c>
      <c r="D1424" s="15" t="s">
        <v>858</v>
      </c>
      <c r="E1424" s="15"/>
      <c r="F1424" s="15" t="s">
        <v>825</v>
      </c>
      <c r="G1424" s="15" t="s">
        <v>112</v>
      </c>
      <c r="H1424" s="15"/>
    </row>
    <row r="1425" customFormat="false" ht="26.25" hidden="false" customHeight="true" outlineLevel="0" collapsed="false">
      <c r="A1425" s="15" t="s">
        <v>289</v>
      </c>
      <c r="B1425" s="15" t="s">
        <v>249</v>
      </c>
      <c r="C1425" s="15" t="s">
        <v>757</v>
      </c>
      <c r="D1425" s="15" t="s">
        <v>797</v>
      </c>
      <c r="E1425" s="15"/>
      <c r="F1425" s="15" t="s">
        <v>825</v>
      </c>
      <c r="G1425" s="15" t="s">
        <v>112</v>
      </c>
      <c r="H1425" s="15"/>
    </row>
    <row r="1426" customFormat="false" ht="26.25" hidden="false" customHeight="true" outlineLevel="0" collapsed="false">
      <c r="A1426" s="15" t="s">
        <v>289</v>
      </c>
      <c r="B1426" s="15" t="s">
        <v>249</v>
      </c>
      <c r="C1426" s="15" t="s">
        <v>759</v>
      </c>
      <c r="D1426" s="15" t="s">
        <v>798</v>
      </c>
      <c r="E1426" s="15"/>
      <c r="F1426" s="15" t="s">
        <v>825</v>
      </c>
      <c r="G1426" s="15" t="s">
        <v>112</v>
      </c>
      <c r="H1426" s="15"/>
    </row>
    <row r="1427" customFormat="false" ht="26.25" hidden="false" customHeight="true" outlineLevel="0" collapsed="false">
      <c r="A1427" s="15" t="s">
        <v>289</v>
      </c>
      <c r="B1427" s="15" t="s">
        <v>249</v>
      </c>
      <c r="C1427" s="15" t="s">
        <v>761</v>
      </c>
      <c r="D1427" s="15" t="s">
        <v>816</v>
      </c>
      <c r="E1427" s="15"/>
      <c r="F1427" s="15" t="s">
        <v>825</v>
      </c>
      <c r="G1427" s="15" t="s">
        <v>112</v>
      </c>
      <c r="H1427" s="15"/>
    </row>
    <row r="1428" customFormat="false" ht="26.25" hidden="false" customHeight="true" outlineLevel="0" collapsed="false">
      <c r="A1428" s="15" t="s">
        <v>289</v>
      </c>
      <c r="B1428" s="15" t="s">
        <v>249</v>
      </c>
      <c r="C1428" s="15" t="s">
        <v>762</v>
      </c>
      <c r="D1428" s="15" t="s">
        <v>803</v>
      </c>
      <c r="E1428" s="15"/>
      <c r="F1428" s="15" t="s">
        <v>825</v>
      </c>
      <c r="G1428" s="15" t="s">
        <v>112</v>
      </c>
      <c r="H1428" s="15"/>
    </row>
    <row r="1429" customFormat="false" ht="26.25" hidden="false" customHeight="true" outlineLevel="0" collapsed="false">
      <c r="A1429" s="15" t="s">
        <v>289</v>
      </c>
      <c r="B1429" s="15" t="s">
        <v>249</v>
      </c>
      <c r="C1429" s="15" t="s">
        <v>92</v>
      </c>
      <c r="D1429" s="15" t="s">
        <v>803</v>
      </c>
      <c r="E1429" s="15"/>
      <c r="F1429" s="15" t="s">
        <v>825</v>
      </c>
      <c r="G1429" s="15" t="s">
        <v>112</v>
      </c>
      <c r="H1429" s="15"/>
    </row>
    <row r="1430" customFormat="false" ht="26.25" hidden="false" customHeight="true" outlineLevel="0" collapsed="false">
      <c r="A1430" s="15" t="s">
        <v>289</v>
      </c>
      <c r="B1430" s="15" t="s">
        <v>249</v>
      </c>
      <c r="C1430" s="15" t="s">
        <v>763</v>
      </c>
      <c r="D1430" s="15" t="s">
        <v>807</v>
      </c>
      <c r="E1430" s="15"/>
      <c r="F1430" s="15" t="s">
        <v>825</v>
      </c>
      <c r="G1430" s="15" t="s">
        <v>112</v>
      </c>
      <c r="H1430" s="15"/>
    </row>
    <row r="1431" customFormat="false" ht="26.25" hidden="false" customHeight="true" outlineLevel="0" collapsed="false">
      <c r="A1431" s="15" t="s">
        <v>289</v>
      </c>
      <c r="B1431" s="15" t="s">
        <v>249</v>
      </c>
      <c r="C1431" s="15" t="s">
        <v>848</v>
      </c>
      <c r="D1431" s="15" t="s">
        <v>859</v>
      </c>
      <c r="E1431" s="15"/>
      <c r="F1431" s="15" t="s">
        <v>825</v>
      </c>
      <c r="G1431" s="15" t="s">
        <v>112</v>
      </c>
      <c r="H1431" s="15"/>
    </row>
    <row r="1432" customFormat="false" ht="26.25" hidden="false" customHeight="true" outlineLevel="0" collapsed="false">
      <c r="A1432" s="15" t="s">
        <v>289</v>
      </c>
      <c r="B1432" s="15" t="s">
        <v>249</v>
      </c>
      <c r="C1432" s="15" t="s">
        <v>747</v>
      </c>
      <c r="D1432" s="15" t="s">
        <v>801</v>
      </c>
      <c r="E1432" s="15"/>
      <c r="F1432" s="15" t="s">
        <v>825</v>
      </c>
      <c r="G1432" s="15" t="s">
        <v>112</v>
      </c>
      <c r="H1432" s="15"/>
    </row>
    <row r="1433" customFormat="false" ht="26.25" hidden="false" customHeight="true" outlineLevel="0" collapsed="false">
      <c r="A1433" s="15" t="s">
        <v>289</v>
      </c>
      <c r="B1433" s="15" t="s">
        <v>249</v>
      </c>
      <c r="C1433" s="15" t="s">
        <v>851</v>
      </c>
      <c r="D1433" s="15" t="s">
        <v>860</v>
      </c>
      <c r="E1433" s="15"/>
      <c r="F1433" s="15" t="s">
        <v>825</v>
      </c>
      <c r="G1433" s="15" t="s">
        <v>112</v>
      </c>
      <c r="H1433" s="15"/>
    </row>
    <row r="1434" customFormat="false" ht="26.25" hidden="false" customHeight="true" outlineLevel="0" collapsed="false">
      <c r="A1434" s="15" t="s">
        <v>289</v>
      </c>
      <c r="B1434" s="15" t="s">
        <v>249</v>
      </c>
      <c r="C1434" s="15" t="s">
        <v>853</v>
      </c>
      <c r="D1434" s="15" t="s">
        <v>866</v>
      </c>
      <c r="E1434" s="15"/>
      <c r="F1434" s="15" t="s">
        <v>825</v>
      </c>
      <c r="G1434" s="15" t="s">
        <v>112</v>
      </c>
      <c r="H1434" s="15"/>
    </row>
    <row r="1435" customFormat="false" ht="26.25" hidden="false" customHeight="true" outlineLevel="0" collapsed="false">
      <c r="A1435" s="15" t="s">
        <v>289</v>
      </c>
      <c r="B1435" s="15" t="s">
        <v>249</v>
      </c>
      <c r="C1435" s="15" t="s">
        <v>854</v>
      </c>
      <c r="D1435" s="15" t="s">
        <v>803</v>
      </c>
      <c r="E1435" s="15"/>
      <c r="F1435" s="15" t="s">
        <v>825</v>
      </c>
      <c r="G1435" s="15" t="s">
        <v>112</v>
      </c>
      <c r="H1435" s="15"/>
    </row>
    <row r="1436" customFormat="false" ht="26.25" hidden="false" customHeight="true" outlineLevel="0" collapsed="false">
      <c r="A1436" s="15" t="s">
        <v>289</v>
      </c>
      <c r="B1436" s="15" t="s">
        <v>249</v>
      </c>
      <c r="C1436" s="15" t="s">
        <v>855</v>
      </c>
      <c r="D1436" s="15" t="s">
        <v>862</v>
      </c>
      <c r="E1436" s="15"/>
      <c r="F1436" s="15" t="s">
        <v>825</v>
      </c>
      <c r="G1436" s="15" t="s">
        <v>112</v>
      </c>
      <c r="H1436" s="15"/>
    </row>
    <row r="1437" customFormat="false" ht="26.25" hidden="false" customHeight="true" outlineLevel="0" collapsed="false">
      <c r="A1437" s="15" t="s">
        <v>289</v>
      </c>
      <c r="B1437" s="15" t="s">
        <v>249</v>
      </c>
      <c r="C1437" s="15" t="s">
        <v>857</v>
      </c>
      <c r="D1437" s="15" t="s">
        <v>803</v>
      </c>
      <c r="E1437" s="15"/>
      <c r="F1437" s="15" t="s">
        <v>825</v>
      </c>
      <c r="G1437" s="15" t="s">
        <v>112</v>
      </c>
      <c r="H1437" s="15"/>
    </row>
    <row r="1438" customFormat="false" ht="26.25" hidden="false" customHeight="true" outlineLevel="0" collapsed="false">
      <c r="A1438" s="15" t="s">
        <v>271</v>
      </c>
      <c r="B1438" s="15" t="s">
        <v>272</v>
      </c>
      <c r="C1438" s="15" t="s">
        <v>769</v>
      </c>
      <c r="D1438" s="15" t="n">
        <v>5</v>
      </c>
      <c r="E1438" s="15" t="s">
        <v>721</v>
      </c>
      <c r="F1438" s="15" t="s">
        <v>868</v>
      </c>
      <c r="G1438" s="15" t="s">
        <v>112</v>
      </c>
      <c r="H1438" s="15"/>
    </row>
    <row r="1439" customFormat="false" ht="26.25" hidden="false" customHeight="true" outlineLevel="0" collapsed="false">
      <c r="A1439" s="15" t="s">
        <v>271</v>
      </c>
      <c r="B1439" s="15" t="s">
        <v>272</v>
      </c>
      <c r="C1439" s="15" t="s">
        <v>714</v>
      </c>
      <c r="D1439" s="15" t="n">
        <v>380</v>
      </c>
      <c r="E1439" s="15" t="s">
        <v>715</v>
      </c>
      <c r="F1439" s="15" t="s">
        <v>868</v>
      </c>
      <c r="G1439" s="15" t="s">
        <v>112</v>
      </c>
      <c r="H1439" s="15"/>
    </row>
    <row r="1440" customFormat="false" ht="26.25" hidden="false" customHeight="true" outlineLevel="0" collapsed="false">
      <c r="A1440" s="15" t="s">
        <v>271</v>
      </c>
      <c r="B1440" s="15" t="s">
        <v>272</v>
      </c>
      <c r="C1440" s="15" t="s">
        <v>718</v>
      </c>
      <c r="D1440" s="15" t="s">
        <v>113</v>
      </c>
      <c r="E1440" s="15"/>
      <c r="F1440" s="15" t="s">
        <v>868</v>
      </c>
      <c r="G1440" s="15" t="s">
        <v>112</v>
      </c>
      <c r="H1440" s="15"/>
    </row>
    <row r="1441" customFormat="false" ht="26.25" hidden="false" customHeight="true" outlineLevel="0" collapsed="false">
      <c r="A1441" s="15" t="s">
        <v>271</v>
      </c>
      <c r="B1441" s="15" t="s">
        <v>272</v>
      </c>
      <c r="C1441" s="15" t="s">
        <v>826</v>
      </c>
      <c r="D1441" s="15" t="s">
        <v>827</v>
      </c>
      <c r="E1441" s="15"/>
      <c r="F1441" s="15" t="s">
        <v>868</v>
      </c>
      <c r="G1441" s="15" t="s">
        <v>112</v>
      </c>
      <c r="H1441" s="15"/>
    </row>
    <row r="1442" customFormat="false" ht="26.25" hidden="false" customHeight="true" outlineLevel="0" collapsed="false">
      <c r="A1442" s="15" t="s">
        <v>271</v>
      </c>
      <c r="B1442" s="15" t="s">
        <v>272</v>
      </c>
      <c r="C1442" s="15" t="s">
        <v>719</v>
      </c>
      <c r="D1442" s="15" t="n">
        <v>20</v>
      </c>
      <c r="E1442" s="15" t="s">
        <v>720</v>
      </c>
      <c r="F1442" s="15" t="s">
        <v>868</v>
      </c>
      <c r="G1442" s="15" t="s">
        <v>112</v>
      </c>
      <c r="H1442" s="15"/>
    </row>
    <row r="1443" customFormat="false" ht="26.25" hidden="false" customHeight="true" outlineLevel="0" collapsed="false">
      <c r="A1443" s="15" t="s">
        <v>271</v>
      </c>
      <c r="B1443" s="15" t="s">
        <v>272</v>
      </c>
      <c r="C1443" s="15" t="s">
        <v>98</v>
      </c>
      <c r="D1443" s="15" t="s">
        <v>732</v>
      </c>
      <c r="E1443" s="15"/>
      <c r="F1443" s="15" t="s">
        <v>868</v>
      </c>
      <c r="G1443" s="15" t="s">
        <v>112</v>
      </c>
      <c r="H1443" s="15"/>
    </row>
    <row r="1444" customFormat="false" ht="26.25" hidden="false" customHeight="true" outlineLevel="0" collapsed="false">
      <c r="A1444" s="15" t="s">
        <v>271</v>
      </c>
      <c r="B1444" s="15" t="s">
        <v>272</v>
      </c>
      <c r="C1444" s="15" t="s">
        <v>833</v>
      </c>
      <c r="D1444" s="15" t="s">
        <v>834</v>
      </c>
      <c r="E1444" s="15"/>
      <c r="F1444" s="15" t="s">
        <v>868</v>
      </c>
      <c r="G1444" s="15" t="s">
        <v>112</v>
      </c>
      <c r="H1444" s="15"/>
    </row>
    <row r="1445" customFormat="false" ht="26.25" hidden="false" customHeight="true" outlineLevel="0" collapsed="false">
      <c r="A1445" s="15" t="s">
        <v>271</v>
      </c>
      <c r="B1445" s="15" t="s">
        <v>272</v>
      </c>
      <c r="C1445" s="15" t="s">
        <v>835</v>
      </c>
      <c r="D1445" s="15" t="s">
        <v>836</v>
      </c>
      <c r="E1445" s="15"/>
      <c r="F1445" s="15" t="s">
        <v>868</v>
      </c>
      <c r="G1445" s="15" t="s">
        <v>112</v>
      </c>
      <c r="H1445" s="15"/>
    </row>
    <row r="1446" customFormat="false" ht="26.25" hidden="false" customHeight="true" outlineLevel="0" collapsed="false">
      <c r="A1446" s="15" t="s">
        <v>271</v>
      </c>
      <c r="B1446" s="15" t="s">
        <v>272</v>
      </c>
      <c r="C1446" s="15" t="s">
        <v>837</v>
      </c>
      <c r="D1446" s="15" t="n">
        <v>10000</v>
      </c>
      <c r="E1446" s="15" t="s">
        <v>838</v>
      </c>
      <c r="F1446" s="15" t="s">
        <v>868</v>
      </c>
      <c r="G1446" s="15" t="s">
        <v>112</v>
      </c>
      <c r="H1446" s="15"/>
    </row>
    <row r="1447" customFormat="false" ht="15" hidden="false" customHeight="true" outlineLevel="0" collapsed="false">
      <c r="A1447" s="15" t="s">
        <v>271</v>
      </c>
      <c r="B1447" s="15" t="s">
        <v>272</v>
      </c>
      <c r="C1447" s="15" t="s">
        <v>737</v>
      </c>
      <c r="D1447" s="15" t="n">
        <v>210</v>
      </c>
      <c r="E1447" s="15" t="s">
        <v>738</v>
      </c>
      <c r="F1447" s="15" t="s">
        <v>869</v>
      </c>
      <c r="G1447" s="15" t="s">
        <v>112</v>
      </c>
      <c r="H1447" s="15"/>
    </row>
    <row r="1448" customFormat="false" ht="15" hidden="false" customHeight="true" outlineLevel="0" collapsed="false">
      <c r="A1448" s="15" t="s">
        <v>271</v>
      </c>
      <c r="B1448" s="15" t="s">
        <v>272</v>
      </c>
      <c r="C1448" s="15" t="s">
        <v>739</v>
      </c>
      <c r="D1448" s="15" t="n">
        <v>180</v>
      </c>
      <c r="E1448" s="15" t="s">
        <v>738</v>
      </c>
      <c r="F1448" s="15" t="s">
        <v>869</v>
      </c>
      <c r="G1448" s="15" t="s">
        <v>112</v>
      </c>
      <c r="H1448" s="15"/>
    </row>
    <row r="1449" customFormat="false" ht="15" hidden="false" customHeight="true" outlineLevel="0" collapsed="false">
      <c r="A1449" s="15" t="s">
        <v>271</v>
      </c>
      <c r="B1449" s="15" t="s">
        <v>272</v>
      </c>
      <c r="C1449" s="15" t="s">
        <v>733</v>
      </c>
      <c r="D1449" s="15" t="s">
        <v>808</v>
      </c>
      <c r="E1449" s="15"/>
      <c r="F1449" s="15" t="s">
        <v>869</v>
      </c>
      <c r="G1449" s="15" t="s">
        <v>112</v>
      </c>
      <c r="H1449" s="15"/>
    </row>
    <row r="1450" customFormat="false" ht="15" hidden="false" customHeight="true" outlineLevel="0" collapsed="false">
      <c r="A1450" s="15" t="s">
        <v>271</v>
      </c>
      <c r="B1450" s="15" t="s">
        <v>272</v>
      </c>
      <c r="C1450" s="15" t="s">
        <v>747</v>
      </c>
      <c r="D1450" s="15" t="s">
        <v>870</v>
      </c>
      <c r="E1450" s="15"/>
      <c r="F1450" s="15" t="s">
        <v>869</v>
      </c>
      <c r="G1450" s="15" t="s">
        <v>112</v>
      </c>
      <c r="H1450" s="15"/>
    </row>
    <row r="1451" customFormat="false" ht="15" hidden="false" customHeight="true" outlineLevel="0" collapsed="false">
      <c r="A1451" s="15" t="s">
        <v>271</v>
      </c>
      <c r="B1451" s="15" t="s">
        <v>272</v>
      </c>
      <c r="C1451" s="15" t="s">
        <v>759</v>
      </c>
      <c r="D1451" s="15" t="s">
        <v>798</v>
      </c>
      <c r="E1451" s="15"/>
      <c r="F1451" s="15" t="s">
        <v>869</v>
      </c>
      <c r="G1451" s="15" t="s">
        <v>112</v>
      </c>
      <c r="H1451" s="15"/>
    </row>
    <row r="1452" customFormat="false" ht="26.25" hidden="false" customHeight="true" outlineLevel="0" collapsed="false">
      <c r="A1452" s="15" t="s">
        <v>271</v>
      </c>
      <c r="B1452" s="15" t="s">
        <v>272</v>
      </c>
      <c r="C1452" s="15" t="s">
        <v>92</v>
      </c>
      <c r="D1452" s="15" t="s">
        <v>803</v>
      </c>
      <c r="E1452" s="15"/>
      <c r="F1452" s="15" t="s">
        <v>869</v>
      </c>
      <c r="G1452" s="15" t="s">
        <v>112</v>
      </c>
      <c r="H1452" s="15" t="s">
        <v>871</v>
      </c>
    </row>
    <row r="1453" customFormat="false" ht="15" hidden="false" customHeight="true" outlineLevel="0" collapsed="false">
      <c r="A1453" s="15" t="s">
        <v>271</v>
      </c>
      <c r="B1453" s="15" t="s">
        <v>272</v>
      </c>
      <c r="C1453" s="15" t="s">
        <v>851</v>
      </c>
      <c r="D1453" s="15" t="s">
        <v>872</v>
      </c>
      <c r="E1453" s="15"/>
      <c r="F1453" s="15" t="s">
        <v>869</v>
      </c>
      <c r="G1453" s="15" t="s">
        <v>112</v>
      </c>
      <c r="H1453" s="15"/>
    </row>
    <row r="1454" customFormat="false" ht="15" hidden="false" customHeight="true" outlineLevel="0" collapsed="false">
      <c r="A1454" s="15" t="s">
        <v>271</v>
      </c>
      <c r="B1454" s="15" t="s">
        <v>272</v>
      </c>
      <c r="C1454" s="15" t="s">
        <v>743</v>
      </c>
      <c r="D1454" s="15" t="s">
        <v>873</v>
      </c>
      <c r="E1454" s="15"/>
      <c r="F1454" s="15" t="s">
        <v>869</v>
      </c>
      <c r="G1454" s="15" t="s">
        <v>112</v>
      </c>
      <c r="H1454" s="15"/>
    </row>
    <row r="1455" customFormat="false" ht="26.25" hidden="false" customHeight="true" outlineLevel="0" collapsed="false">
      <c r="A1455" s="15" t="s">
        <v>271</v>
      </c>
      <c r="B1455" s="15" t="s">
        <v>272</v>
      </c>
      <c r="C1455" s="15" t="s">
        <v>822</v>
      </c>
      <c r="D1455" s="15" t="s">
        <v>874</v>
      </c>
      <c r="E1455" s="15"/>
      <c r="F1455" s="15" t="s">
        <v>869</v>
      </c>
      <c r="G1455" s="15" t="s">
        <v>112</v>
      </c>
      <c r="H1455" s="15"/>
    </row>
    <row r="1456" customFormat="false" ht="15" hidden="false" customHeight="true" outlineLevel="0" collapsed="false">
      <c r="A1456" s="15" t="s">
        <v>271</v>
      </c>
      <c r="B1456" s="15" t="s">
        <v>272</v>
      </c>
      <c r="C1456" s="15" t="s">
        <v>875</v>
      </c>
      <c r="D1456" s="15" t="n">
        <v>3.3</v>
      </c>
      <c r="E1456" s="15"/>
      <c r="F1456" s="15" t="s">
        <v>869</v>
      </c>
      <c r="G1456" s="15" t="s">
        <v>112</v>
      </c>
      <c r="H1456" s="15"/>
    </row>
    <row r="1457" customFormat="false" ht="26.25" hidden="false" customHeight="true" outlineLevel="0" collapsed="false">
      <c r="A1457" s="15" t="s">
        <v>285</v>
      </c>
      <c r="B1457" s="15" t="s">
        <v>286</v>
      </c>
      <c r="C1457" s="15" t="s">
        <v>769</v>
      </c>
      <c r="D1457" s="15" t="n">
        <v>5</v>
      </c>
      <c r="E1457" s="15" t="s">
        <v>721</v>
      </c>
      <c r="F1457" s="15" t="s">
        <v>868</v>
      </c>
      <c r="G1457" s="15" t="s">
        <v>112</v>
      </c>
      <c r="H1457" s="15"/>
    </row>
    <row r="1458" customFormat="false" ht="26.25" hidden="false" customHeight="true" outlineLevel="0" collapsed="false">
      <c r="A1458" s="15" t="s">
        <v>285</v>
      </c>
      <c r="B1458" s="15" t="s">
        <v>286</v>
      </c>
      <c r="C1458" s="15" t="s">
        <v>714</v>
      </c>
      <c r="D1458" s="15" t="n">
        <v>380</v>
      </c>
      <c r="E1458" s="15" t="s">
        <v>715</v>
      </c>
      <c r="F1458" s="15" t="s">
        <v>868</v>
      </c>
      <c r="G1458" s="15" t="s">
        <v>112</v>
      </c>
      <c r="H1458" s="15"/>
    </row>
    <row r="1459" customFormat="false" ht="26.25" hidden="false" customHeight="true" outlineLevel="0" collapsed="false">
      <c r="A1459" s="15" t="s">
        <v>285</v>
      </c>
      <c r="B1459" s="15" t="s">
        <v>286</v>
      </c>
      <c r="C1459" s="15" t="s">
        <v>718</v>
      </c>
      <c r="D1459" s="15" t="s">
        <v>113</v>
      </c>
      <c r="E1459" s="15"/>
      <c r="F1459" s="15" t="s">
        <v>868</v>
      </c>
      <c r="G1459" s="15" t="s">
        <v>112</v>
      </c>
      <c r="H1459" s="15"/>
    </row>
    <row r="1460" customFormat="false" ht="26.25" hidden="false" customHeight="true" outlineLevel="0" collapsed="false">
      <c r="A1460" s="15" t="s">
        <v>285</v>
      </c>
      <c r="B1460" s="15" t="s">
        <v>286</v>
      </c>
      <c r="C1460" s="15" t="s">
        <v>826</v>
      </c>
      <c r="D1460" s="15" t="s">
        <v>827</v>
      </c>
      <c r="E1460" s="15"/>
      <c r="F1460" s="15" t="s">
        <v>868</v>
      </c>
      <c r="G1460" s="15" t="s">
        <v>112</v>
      </c>
      <c r="H1460" s="15"/>
    </row>
    <row r="1461" customFormat="false" ht="26.25" hidden="false" customHeight="true" outlineLevel="0" collapsed="false">
      <c r="A1461" s="15" t="s">
        <v>285</v>
      </c>
      <c r="B1461" s="15" t="s">
        <v>286</v>
      </c>
      <c r="C1461" s="15" t="s">
        <v>719</v>
      </c>
      <c r="D1461" s="15" t="n">
        <v>20</v>
      </c>
      <c r="E1461" s="15" t="s">
        <v>720</v>
      </c>
      <c r="F1461" s="15" t="s">
        <v>868</v>
      </c>
      <c r="G1461" s="15" t="s">
        <v>112</v>
      </c>
      <c r="H1461" s="15"/>
    </row>
    <row r="1462" customFormat="false" ht="26.25" hidden="false" customHeight="true" outlineLevel="0" collapsed="false">
      <c r="A1462" s="15" t="s">
        <v>285</v>
      </c>
      <c r="B1462" s="15" t="s">
        <v>286</v>
      </c>
      <c r="C1462" s="15" t="s">
        <v>98</v>
      </c>
      <c r="D1462" s="15" t="s">
        <v>732</v>
      </c>
      <c r="E1462" s="15"/>
      <c r="F1462" s="15" t="s">
        <v>868</v>
      </c>
      <c r="G1462" s="15" t="s">
        <v>112</v>
      </c>
      <c r="H1462" s="15"/>
    </row>
    <row r="1463" customFormat="false" ht="26.25" hidden="false" customHeight="true" outlineLevel="0" collapsed="false">
      <c r="A1463" s="15" t="s">
        <v>285</v>
      </c>
      <c r="B1463" s="15" t="s">
        <v>286</v>
      </c>
      <c r="C1463" s="15" t="s">
        <v>833</v>
      </c>
      <c r="D1463" s="15" t="s">
        <v>834</v>
      </c>
      <c r="E1463" s="15"/>
      <c r="F1463" s="15" t="s">
        <v>868</v>
      </c>
      <c r="G1463" s="15" t="s">
        <v>112</v>
      </c>
      <c r="H1463" s="15"/>
    </row>
    <row r="1464" customFormat="false" ht="26.25" hidden="false" customHeight="true" outlineLevel="0" collapsed="false">
      <c r="A1464" s="15" t="s">
        <v>285</v>
      </c>
      <c r="B1464" s="15" t="s">
        <v>286</v>
      </c>
      <c r="C1464" s="15" t="s">
        <v>835</v>
      </c>
      <c r="D1464" s="15" t="s">
        <v>836</v>
      </c>
      <c r="E1464" s="15"/>
      <c r="F1464" s="15" t="s">
        <v>868</v>
      </c>
      <c r="G1464" s="15" t="s">
        <v>112</v>
      </c>
      <c r="H1464" s="15"/>
    </row>
    <row r="1465" customFormat="false" ht="26.25" hidden="false" customHeight="true" outlineLevel="0" collapsed="false">
      <c r="A1465" s="15" t="s">
        <v>285</v>
      </c>
      <c r="B1465" s="15" t="s">
        <v>286</v>
      </c>
      <c r="C1465" s="15" t="s">
        <v>837</v>
      </c>
      <c r="D1465" s="15" t="n">
        <v>10000</v>
      </c>
      <c r="E1465" s="15" t="s">
        <v>838</v>
      </c>
      <c r="F1465" s="15" t="s">
        <v>868</v>
      </c>
      <c r="G1465" s="15" t="s">
        <v>112</v>
      </c>
      <c r="H1465" s="15"/>
    </row>
    <row r="1466" customFormat="false" ht="15" hidden="false" customHeight="true" outlineLevel="0" collapsed="false">
      <c r="A1466" s="15" t="s">
        <v>285</v>
      </c>
      <c r="B1466" s="15" t="s">
        <v>286</v>
      </c>
      <c r="C1466" s="15" t="s">
        <v>737</v>
      </c>
      <c r="D1466" s="15" t="n">
        <v>210</v>
      </c>
      <c r="E1466" s="15" t="s">
        <v>738</v>
      </c>
      <c r="F1466" s="15" t="s">
        <v>869</v>
      </c>
      <c r="G1466" s="15" t="s">
        <v>112</v>
      </c>
      <c r="H1466" s="15"/>
    </row>
    <row r="1467" customFormat="false" ht="15" hidden="false" customHeight="true" outlineLevel="0" collapsed="false">
      <c r="A1467" s="15" t="s">
        <v>285</v>
      </c>
      <c r="B1467" s="15" t="s">
        <v>286</v>
      </c>
      <c r="C1467" s="15" t="s">
        <v>739</v>
      </c>
      <c r="D1467" s="15" t="n">
        <v>180</v>
      </c>
      <c r="E1467" s="15" t="s">
        <v>738</v>
      </c>
      <c r="F1467" s="15" t="s">
        <v>869</v>
      </c>
      <c r="G1467" s="15" t="s">
        <v>112</v>
      </c>
      <c r="H1467" s="15"/>
    </row>
    <row r="1468" customFormat="false" ht="15" hidden="false" customHeight="true" outlineLevel="0" collapsed="false">
      <c r="A1468" s="15" t="s">
        <v>285</v>
      </c>
      <c r="B1468" s="15" t="s">
        <v>286</v>
      </c>
      <c r="C1468" s="15" t="s">
        <v>733</v>
      </c>
      <c r="D1468" s="15" t="s">
        <v>808</v>
      </c>
      <c r="E1468" s="15"/>
      <c r="F1468" s="15" t="s">
        <v>869</v>
      </c>
      <c r="G1468" s="15" t="s">
        <v>112</v>
      </c>
      <c r="H1468" s="15"/>
    </row>
    <row r="1469" customFormat="false" ht="15" hidden="false" customHeight="true" outlineLevel="0" collapsed="false">
      <c r="A1469" s="15" t="s">
        <v>285</v>
      </c>
      <c r="B1469" s="15" t="s">
        <v>286</v>
      </c>
      <c r="C1469" s="15" t="s">
        <v>747</v>
      </c>
      <c r="D1469" s="15" t="s">
        <v>870</v>
      </c>
      <c r="E1469" s="15"/>
      <c r="F1469" s="15" t="s">
        <v>869</v>
      </c>
      <c r="G1469" s="15" t="s">
        <v>112</v>
      </c>
      <c r="H1469" s="15"/>
    </row>
    <row r="1470" customFormat="false" ht="15" hidden="false" customHeight="true" outlineLevel="0" collapsed="false">
      <c r="A1470" s="15" t="s">
        <v>285</v>
      </c>
      <c r="B1470" s="15" t="s">
        <v>286</v>
      </c>
      <c r="C1470" s="15" t="s">
        <v>759</v>
      </c>
      <c r="D1470" s="15" t="s">
        <v>798</v>
      </c>
      <c r="E1470" s="15"/>
      <c r="F1470" s="15" t="s">
        <v>869</v>
      </c>
      <c r="G1470" s="15" t="s">
        <v>112</v>
      </c>
      <c r="H1470" s="15"/>
    </row>
    <row r="1471" customFormat="false" ht="26.25" hidden="false" customHeight="true" outlineLevel="0" collapsed="false">
      <c r="A1471" s="15" t="s">
        <v>285</v>
      </c>
      <c r="B1471" s="15" t="s">
        <v>286</v>
      </c>
      <c r="C1471" s="15" t="s">
        <v>92</v>
      </c>
      <c r="D1471" s="15" t="s">
        <v>803</v>
      </c>
      <c r="E1471" s="15"/>
      <c r="F1471" s="15" t="s">
        <v>869</v>
      </c>
      <c r="G1471" s="15" t="s">
        <v>112</v>
      </c>
      <c r="H1471" s="15" t="s">
        <v>871</v>
      </c>
    </row>
    <row r="1472" customFormat="false" ht="15" hidden="false" customHeight="true" outlineLevel="0" collapsed="false">
      <c r="A1472" s="15" t="s">
        <v>285</v>
      </c>
      <c r="B1472" s="15" t="s">
        <v>286</v>
      </c>
      <c r="C1472" s="15" t="s">
        <v>851</v>
      </c>
      <c r="D1472" s="15" t="s">
        <v>872</v>
      </c>
      <c r="E1472" s="15"/>
      <c r="F1472" s="15" t="s">
        <v>869</v>
      </c>
      <c r="G1472" s="15" t="s">
        <v>112</v>
      </c>
      <c r="H1472" s="15"/>
    </row>
    <row r="1473" customFormat="false" ht="15" hidden="false" customHeight="true" outlineLevel="0" collapsed="false">
      <c r="A1473" s="15" t="s">
        <v>285</v>
      </c>
      <c r="B1473" s="15" t="s">
        <v>286</v>
      </c>
      <c r="C1473" s="15" t="s">
        <v>743</v>
      </c>
      <c r="D1473" s="15" t="s">
        <v>873</v>
      </c>
      <c r="E1473" s="15"/>
      <c r="F1473" s="15" t="s">
        <v>869</v>
      </c>
      <c r="G1473" s="15" t="s">
        <v>112</v>
      </c>
      <c r="H1473" s="15"/>
    </row>
    <row r="1474" customFormat="false" ht="26.25" hidden="false" customHeight="true" outlineLevel="0" collapsed="false">
      <c r="A1474" s="15" t="s">
        <v>285</v>
      </c>
      <c r="B1474" s="15" t="s">
        <v>286</v>
      </c>
      <c r="C1474" s="15" t="s">
        <v>822</v>
      </c>
      <c r="D1474" s="15" t="s">
        <v>874</v>
      </c>
      <c r="E1474" s="15"/>
      <c r="F1474" s="15" t="s">
        <v>869</v>
      </c>
      <c r="G1474" s="15" t="s">
        <v>112</v>
      </c>
      <c r="H1474" s="15"/>
    </row>
    <row r="1475" customFormat="false" ht="15" hidden="false" customHeight="true" outlineLevel="0" collapsed="false">
      <c r="A1475" s="15" t="s">
        <v>285</v>
      </c>
      <c r="B1475" s="15" t="s">
        <v>286</v>
      </c>
      <c r="C1475" s="15" t="s">
        <v>875</v>
      </c>
      <c r="D1475" s="15" t="n">
        <v>3.3</v>
      </c>
      <c r="E1475" s="15"/>
      <c r="F1475" s="15" t="s">
        <v>869</v>
      </c>
      <c r="G1475" s="15" t="s">
        <v>112</v>
      </c>
      <c r="H1475" s="15"/>
    </row>
    <row r="1476" customFormat="false" ht="15" hidden="false" customHeight="true" outlineLevel="0" collapsed="false">
      <c r="A1476" s="15" t="s">
        <v>195</v>
      </c>
      <c r="B1476" s="15" t="s">
        <v>197</v>
      </c>
      <c r="C1476" s="15" t="s">
        <v>714</v>
      </c>
      <c r="D1476" s="15" t="n">
        <v>380</v>
      </c>
      <c r="E1476" s="15" t="s">
        <v>715</v>
      </c>
      <c r="F1476" s="15" t="s">
        <v>876</v>
      </c>
      <c r="G1476" s="15" t="s">
        <v>112</v>
      </c>
      <c r="H1476" s="15"/>
    </row>
    <row r="1477" customFormat="false" ht="15" hidden="false" customHeight="true" outlineLevel="0" collapsed="false">
      <c r="A1477" s="15" t="s">
        <v>195</v>
      </c>
      <c r="B1477" s="15" t="s">
        <v>197</v>
      </c>
      <c r="C1477" s="15" t="s">
        <v>718</v>
      </c>
      <c r="D1477" s="15" t="s">
        <v>113</v>
      </c>
      <c r="E1477" s="15"/>
      <c r="F1477" s="15" t="s">
        <v>876</v>
      </c>
      <c r="G1477" s="15" t="s">
        <v>112</v>
      </c>
      <c r="H1477" s="15"/>
    </row>
    <row r="1478" customFormat="false" ht="15" hidden="false" customHeight="true" outlineLevel="0" collapsed="false">
      <c r="A1478" s="15" t="s">
        <v>195</v>
      </c>
      <c r="B1478" s="15" t="s">
        <v>197</v>
      </c>
      <c r="C1478" s="15" t="s">
        <v>719</v>
      </c>
      <c r="D1478" s="15" t="n">
        <v>20</v>
      </c>
      <c r="E1478" s="15" t="s">
        <v>720</v>
      </c>
      <c r="F1478" s="15" t="s">
        <v>876</v>
      </c>
      <c r="G1478" s="15" t="s">
        <v>112</v>
      </c>
      <c r="H1478" s="15"/>
    </row>
    <row r="1479" customFormat="false" ht="15" hidden="false" customHeight="true" outlineLevel="0" collapsed="false">
      <c r="A1479" s="15" t="s">
        <v>195</v>
      </c>
      <c r="B1479" s="15" t="s">
        <v>197</v>
      </c>
      <c r="C1479" s="15" t="s">
        <v>722</v>
      </c>
      <c r="D1479" s="15" t="s">
        <v>877</v>
      </c>
      <c r="E1479" s="15" t="s">
        <v>723</v>
      </c>
      <c r="F1479" s="15" t="s">
        <v>876</v>
      </c>
      <c r="G1479" s="15" t="s">
        <v>112</v>
      </c>
      <c r="H1479" s="15"/>
    </row>
    <row r="1480" customFormat="false" ht="15" hidden="false" customHeight="true" outlineLevel="0" collapsed="false">
      <c r="A1480" s="15" t="s">
        <v>195</v>
      </c>
      <c r="B1480" s="15" t="s">
        <v>197</v>
      </c>
      <c r="C1480" s="15" t="s">
        <v>724</v>
      </c>
      <c r="D1480" s="15" t="n">
        <v>150</v>
      </c>
      <c r="E1480" s="15" t="s">
        <v>723</v>
      </c>
      <c r="F1480" s="15" t="s">
        <v>876</v>
      </c>
      <c r="G1480" s="15" t="s">
        <v>112</v>
      </c>
      <c r="H1480" s="15"/>
    </row>
    <row r="1481" customFormat="false" ht="15" hidden="false" customHeight="true" outlineLevel="0" collapsed="false">
      <c r="A1481" s="15" t="s">
        <v>195</v>
      </c>
      <c r="B1481" s="15" t="s">
        <v>197</v>
      </c>
      <c r="C1481" s="15" t="s">
        <v>84</v>
      </c>
      <c r="D1481" s="15" t="n">
        <v>205</v>
      </c>
      <c r="E1481" s="15" t="s">
        <v>725</v>
      </c>
      <c r="F1481" s="15" t="s">
        <v>876</v>
      </c>
      <c r="G1481" s="15" t="s">
        <v>112</v>
      </c>
      <c r="H1481" s="15"/>
    </row>
    <row r="1482" customFormat="false" ht="15" hidden="false" customHeight="true" outlineLevel="0" collapsed="false">
      <c r="A1482" s="15" t="s">
        <v>195</v>
      </c>
      <c r="B1482" s="15" t="s">
        <v>197</v>
      </c>
      <c r="C1482" s="15" t="s">
        <v>726</v>
      </c>
      <c r="D1482" s="15" t="n">
        <v>4737</v>
      </c>
      <c r="E1482" s="15" t="s">
        <v>725</v>
      </c>
      <c r="F1482" s="15" t="s">
        <v>876</v>
      </c>
      <c r="G1482" s="15" t="s">
        <v>112</v>
      </c>
      <c r="H1482" s="15"/>
    </row>
    <row r="1483" customFormat="false" ht="15" hidden="false" customHeight="true" outlineLevel="0" collapsed="false">
      <c r="A1483" s="15" t="s">
        <v>195</v>
      </c>
      <c r="B1483" s="15" t="s">
        <v>197</v>
      </c>
      <c r="C1483" s="15" t="s">
        <v>727</v>
      </c>
      <c r="D1483" s="15" t="n">
        <v>1900</v>
      </c>
      <c r="E1483" s="15" t="s">
        <v>725</v>
      </c>
      <c r="F1483" s="15" t="s">
        <v>876</v>
      </c>
      <c r="G1483" s="15" t="s">
        <v>112</v>
      </c>
      <c r="H1483" s="15"/>
    </row>
    <row r="1484" customFormat="false" ht="15" hidden="false" customHeight="true" outlineLevel="0" collapsed="false">
      <c r="A1484" s="15" t="s">
        <v>195</v>
      </c>
      <c r="B1484" s="15" t="s">
        <v>197</v>
      </c>
      <c r="C1484" s="15" t="s">
        <v>728</v>
      </c>
      <c r="D1484" s="15" t="n">
        <v>1747</v>
      </c>
      <c r="E1484" s="15" t="s">
        <v>725</v>
      </c>
      <c r="F1484" s="15" t="s">
        <v>876</v>
      </c>
      <c r="G1484" s="15" t="s">
        <v>112</v>
      </c>
      <c r="H1484" s="15"/>
    </row>
    <row r="1485" customFormat="false" ht="15" hidden="false" customHeight="true" outlineLevel="0" collapsed="false">
      <c r="A1485" s="15" t="s">
        <v>195</v>
      </c>
      <c r="B1485" s="15" t="s">
        <v>197</v>
      </c>
      <c r="C1485" s="15" t="s">
        <v>729</v>
      </c>
      <c r="D1485" s="15" t="n">
        <v>2762</v>
      </c>
      <c r="E1485" s="15" t="s">
        <v>725</v>
      </c>
      <c r="F1485" s="15" t="s">
        <v>876</v>
      </c>
      <c r="G1485" s="15" t="s">
        <v>112</v>
      </c>
      <c r="H1485" s="15"/>
    </row>
    <row r="1486" customFormat="false" ht="15" hidden="false" customHeight="true" outlineLevel="0" collapsed="false">
      <c r="A1486" s="15" t="s">
        <v>195</v>
      </c>
      <c r="B1486" s="15" t="s">
        <v>197</v>
      </c>
      <c r="C1486" s="15" t="s">
        <v>730</v>
      </c>
      <c r="D1486" s="15" t="n">
        <v>10</v>
      </c>
      <c r="E1486" s="15" t="s">
        <v>731</v>
      </c>
      <c r="F1486" s="15" t="s">
        <v>876</v>
      </c>
      <c r="G1486" s="15" t="s">
        <v>112</v>
      </c>
      <c r="H1486" s="15"/>
    </row>
    <row r="1487" customFormat="false" ht="15" hidden="false" customHeight="true" outlineLevel="0" collapsed="false">
      <c r="A1487" s="15" t="s">
        <v>195</v>
      </c>
      <c r="B1487" s="15" t="s">
        <v>197</v>
      </c>
      <c r="C1487" s="15" t="s">
        <v>776</v>
      </c>
      <c r="D1487" s="15" t="s">
        <v>878</v>
      </c>
      <c r="E1487" s="15"/>
      <c r="F1487" s="15" t="s">
        <v>876</v>
      </c>
      <c r="G1487" s="15" t="s">
        <v>112</v>
      </c>
      <c r="H1487" s="15"/>
    </row>
    <row r="1488" customFormat="false" ht="15" hidden="false" customHeight="true" outlineLevel="0" collapsed="false">
      <c r="A1488" s="15" t="s">
        <v>195</v>
      </c>
      <c r="B1488" s="15" t="s">
        <v>197</v>
      </c>
      <c r="C1488" s="15" t="s">
        <v>780</v>
      </c>
      <c r="D1488" s="15" t="s">
        <v>781</v>
      </c>
      <c r="E1488" s="15"/>
      <c r="F1488" s="15" t="s">
        <v>876</v>
      </c>
      <c r="G1488" s="15" t="s">
        <v>112</v>
      </c>
      <c r="H1488" s="15"/>
    </row>
    <row r="1489" customFormat="false" ht="15" hidden="false" customHeight="true" outlineLevel="0" collapsed="false">
      <c r="A1489" s="15" t="s">
        <v>195</v>
      </c>
      <c r="B1489" s="15" t="s">
        <v>197</v>
      </c>
      <c r="C1489" s="15" t="s">
        <v>789</v>
      </c>
      <c r="D1489" s="15" t="s">
        <v>790</v>
      </c>
      <c r="E1489" s="15"/>
      <c r="F1489" s="15" t="s">
        <v>876</v>
      </c>
      <c r="G1489" s="15" t="s">
        <v>112</v>
      </c>
      <c r="H1489" s="15"/>
    </row>
    <row r="1490" customFormat="false" ht="15" hidden="false" customHeight="true" outlineLevel="0" collapsed="false">
      <c r="A1490" s="15" t="s">
        <v>195</v>
      </c>
      <c r="B1490" s="15" t="s">
        <v>197</v>
      </c>
      <c r="C1490" s="15" t="s">
        <v>784</v>
      </c>
      <c r="D1490" s="15" t="n">
        <v>11</v>
      </c>
      <c r="E1490" s="15" t="s">
        <v>738</v>
      </c>
      <c r="F1490" s="15" t="s">
        <v>879</v>
      </c>
      <c r="G1490" s="15" t="s">
        <v>112</v>
      </c>
      <c r="H1490" s="15"/>
    </row>
    <row r="1491" customFormat="false" ht="15" hidden="false" customHeight="true" outlineLevel="0" collapsed="false">
      <c r="A1491" s="15" t="s">
        <v>195</v>
      </c>
      <c r="B1491" s="15" t="s">
        <v>197</v>
      </c>
      <c r="C1491" s="15" t="s">
        <v>782</v>
      </c>
      <c r="D1491" s="15" t="n">
        <v>36</v>
      </c>
      <c r="E1491" s="15" t="s">
        <v>783</v>
      </c>
      <c r="F1491" s="15" t="s">
        <v>879</v>
      </c>
      <c r="G1491" s="15" t="s">
        <v>112</v>
      </c>
      <c r="H1491" s="15"/>
    </row>
    <row r="1492" customFormat="false" ht="15" hidden="false" customHeight="true" outlineLevel="0" collapsed="false">
      <c r="A1492" s="15" t="s">
        <v>195</v>
      </c>
      <c r="B1492" s="15" t="s">
        <v>197</v>
      </c>
      <c r="C1492" s="15" t="s">
        <v>90</v>
      </c>
      <c r="D1492" s="15" t="s">
        <v>880</v>
      </c>
      <c r="E1492" s="15"/>
      <c r="F1492" s="15" t="s">
        <v>876</v>
      </c>
      <c r="G1492" s="15" t="s">
        <v>112</v>
      </c>
      <c r="H1492" s="15"/>
    </row>
    <row r="1493" customFormat="false" ht="26.25" hidden="false" customHeight="true" outlineLevel="0" collapsed="false">
      <c r="A1493" s="15" t="s">
        <v>195</v>
      </c>
      <c r="B1493" s="15" t="s">
        <v>197</v>
      </c>
      <c r="C1493" s="15" t="s">
        <v>875</v>
      </c>
      <c r="D1493" s="15" t="n">
        <v>3.2</v>
      </c>
      <c r="E1493" s="15"/>
      <c r="F1493" s="15" t="s">
        <v>876</v>
      </c>
      <c r="G1493" s="15" t="s">
        <v>819</v>
      </c>
      <c r="H1493" s="15" t="s">
        <v>881</v>
      </c>
    </row>
    <row r="1494" customFormat="false" ht="15" hidden="false" customHeight="true" outlineLevel="0" collapsed="false">
      <c r="A1494" s="15" t="s">
        <v>195</v>
      </c>
      <c r="B1494" s="15" t="s">
        <v>197</v>
      </c>
      <c r="C1494" s="15" t="s">
        <v>772</v>
      </c>
      <c r="D1494" s="15" t="n">
        <v>60000</v>
      </c>
      <c r="E1494" s="15" t="s">
        <v>773</v>
      </c>
      <c r="F1494" s="15" t="s">
        <v>882</v>
      </c>
      <c r="G1494" s="15" t="s">
        <v>112</v>
      </c>
      <c r="H1494" s="15"/>
    </row>
    <row r="1495" customFormat="false" ht="15" hidden="false" customHeight="true" outlineLevel="0" collapsed="false">
      <c r="A1495" s="15" t="s">
        <v>195</v>
      </c>
      <c r="B1495" s="15" t="s">
        <v>197</v>
      </c>
      <c r="C1495" s="15" t="s">
        <v>775</v>
      </c>
      <c r="D1495" s="15" t="n">
        <v>75000</v>
      </c>
      <c r="E1495" s="15" t="s">
        <v>773</v>
      </c>
      <c r="F1495" s="15" t="s">
        <v>882</v>
      </c>
      <c r="G1495" s="15" t="s">
        <v>112</v>
      </c>
      <c r="H1495" s="15"/>
    </row>
    <row r="1496" customFormat="false" ht="26.25" hidden="false" customHeight="true" outlineLevel="0" collapsed="false">
      <c r="A1496" s="15" t="s">
        <v>195</v>
      </c>
      <c r="B1496" s="15" t="s">
        <v>197</v>
      </c>
      <c r="C1496" s="15" t="s">
        <v>98</v>
      </c>
      <c r="D1496" s="15" t="s">
        <v>732</v>
      </c>
      <c r="E1496" s="15"/>
      <c r="F1496" s="15" t="s">
        <v>876</v>
      </c>
      <c r="G1496" s="15" t="s">
        <v>112</v>
      </c>
      <c r="H1496" s="15"/>
    </row>
    <row r="1497" customFormat="false" ht="26.25" hidden="false" customHeight="true" outlineLevel="0" collapsed="false">
      <c r="A1497" s="15" t="s">
        <v>195</v>
      </c>
      <c r="B1497" s="15" t="s">
        <v>197</v>
      </c>
      <c r="C1497" s="15" t="s">
        <v>830</v>
      </c>
      <c r="D1497" s="15" t="s">
        <v>831</v>
      </c>
      <c r="E1497" s="15"/>
      <c r="F1497" s="15" t="s">
        <v>883</v>
      </c>
      <c r="G1497" s="15" t="s">
        <v>112</v>
      </c>
      <c r="H1497" s="15"/>
    </row>
    <row r="1498" customFormat="false" ht="15" hidden="false" customHeight="true" outlineLevel="0" collapsed="false">
      <c r="A1498" s="15" t="s">
        <v>195</v>
      </c>
      <c r="B1498" s="15" t="s">
        <v>197</v>
      </c>
      <c r="C1498" s="15" t="s">
        <v>833</v>
      </c>
      <c r="D1498" s="15" t="s">
        <v>834</v>
      </c>
      <c r="E1498" s="15"/>
      <c r="F1498" s="15" t="s">
        <v>883</v>
      </c>
      <c r="G1498" s="15" t="s">
        <v>112</v>
      </c>
      <c r="H1498" s="15"/>
    </row>
    <row r="1499" customFormat="false" ht="15" hidden="false" customHeight="true" outlineLevel="0" collapsed="false">
      <c r="A1499" s="15" t="s">
        <v>195</v>
      </c>
      <c r="B1499" s="15" t="s">
        <v>197</v>
      </c>
      <c r="C1499" s="15" t="s">
        <v>835</v>
      </c>
      <c r="D1499" s="15" t="s">
        <v>836</v>
      </c>
      <c r="E1499" s="15"/>
      <c r="F1499" s="15" t="s">
        <v>883</v>
      </c>
      <c r="G1499" s="15" t="s">
        <v>112</v>
      </c>
      <c r="H1499" s="15"/>
    </row>
    <row r="1500" customFormat="false" ht="15" hidden="false" customHeight="true" outlineLevel="0" collapsed="false">
      <c r="A1500" s="15" t="s">
        <v>195</v>
      </c>
      <c r="B1500" s="15" t="s">
        <v>197</v>
      </c>
      <c r="C1500" s="15" t="s">
        <v>837</v>
      </c>
      <c r="D1500" s="15" t="n">
        <v>10000</v>
      </c>
      <c r="E1500" s="15" t="s">
        <v>838</v>
      </c>
      <c r="F1500" s="15" t="s">
        <v>883</v>
      </c>
      <c r="G1500" s="15" t="s">
        <v>112</v>
      </c>
      <c r="H1500" s="15"/>
    </row>
    <row r="1501" customFormat="false" ht="26.25" hidden="false" customHeight="true" outlineLevel="0" collapsed="false">
      <c r="A1501" s="15" t="s">
        <v>195</v>
      </c>
      <c r="B1501" s="15" t="s">
        <v>197</v>
      </c>
      <c r="C1501" s="15" t="s">
        <v>839</v>
      </c>
      <c r="D1501" s="15" t="s">
        <v>840</v>
      </c>
      <c r="E1501" s="15"/>
      <c r="F1501" s="15" t="s">
        <v>883</v>
      </c>
      <c r="G1501" s="15" t="s">
        <v>112</v>
      </c>
      <c r="H1501" s="15"/>
    </row>
    <row r="1502" customFormat="false" ht="15" hidden="false" customHeight="true" outlineLevel="0" collapsed="false">
      <c r="A1502" s="15" t="s">
        <v>195</v>
      </c>
      <c r="B1502" s="15" t="s">
        <v>197</v>
      </c>
      <c r="C1502" s="15" t="s">
        <v>841</v>
      </c>
      <c r="D1502" s="15" t="s">
        <v>842</v>
      </c>
      <c r="E1502" s="15"/>
      <c r="F1502" s="15" t="s">
        <v>883</v>
      </c>
      <c r="G1502" s="15" t="s">
        <v>112</v>
      </c>
      <c r="H1502" s="15"/>
    </row>
    <row r="1503" customFormat="false" ht="15" hidden="false" customHeight="true" outlineLevel="0" collapsed="false">
      <c r="A1503" s="15" t="s">
        <v>195</v>
      </c>
      <c r="B1503" s="15" t="s">
        <v>197</v>
      </c>
      <c r="C1503" s="15" t="s">
        <v>843</v>
      </c>
      <c r="D1503" s="15" t="s">
        <v>844</v>
      </c>
      <c r="E1503" s="15"/>
      <c r="F1503" s="15" t="s">
        <v>876</v>
      </c>
      <c r="G1503" s="15" t="s">
        <v>112</v>
      </c>
      <c r="H1503" s="15"/>
    </row>
    <row r="1504" customFormat="false" ht="15" hidden="false" customHeight="true" outlineLevel="0" collapsed="false">
      <c r="A1504" s="15" t="s">
        <v>195</v>
      </c>
      <c r="B1504" s="15" t="s">
        <v>197</v>
      </c>
      <c r="C1504" s="15" t="s">
        <v>737</v>
      </c>
      <c r="D1504" s="15" t="n">
        <v>170</v>
      </c>
      <c r="E1504" s="15" t="s">
        <v>738</v>
      </c>
      <c r="F1504" s="15" t="s">
        <v>876</v>
      </c>
      <c r="G1504" s="15" t="s">
        <v>112</v>
      </c>
      <c r="H1504" s="15"/>
    </row>
    <row r="1505" customFormat="false" ht="15" hidden="false" customHeight="true" outlineLevel="0" collapsed="false">
      <c r="A1505" s="15" t="s">
        <v>195</v>
      </c>
      <c r="B1505" s="15" t="s">
        <v>197</v>
      </c>
      <c r="C1505" s="15" t="s">
        <v>739</v>
      </c>
      <c r="D1505" s="15" t="n">
        <v>140</v>
      </c>
      <c r="E1505" s="15" t="s">
        <v>738</v>
      </c>
      <c r="F1505" s="15" t="s">
        <v>876</v>
      </c>
      <c r="G1505" s="15" t="s">
        <v>112</v>
      </c>
      <c r="H1505" s="15"/>
    </row>
    <row r="1506" customFormat="false" ht="26.25" hidden="false" customHeight="true" outlineLevel="0" collapsed="false">
      <c r="A1506" s="15" t="s">
        <v>195</v>
      </c>
      <c r="B1506" s="15" t="s">
        <v>197</v>
      </c>
      <c r="C1506" s="15" t="s">
        <v>740</v>
      </c>
      <c r="D1506" s="15" t="n">
        <v>6</v>
      </c>
      <c r="E1506" s="15" t="s">
        <v>741</v>
      </c>
      <c r="F1506" s="15" t="s">
        <v>876</v>
      </c>
      <c r="G1506" s="15" t="s">
        <v>112</v>
      </c>
      <c r="H1506" s="15"/>
    </row>
    <row r="1507" customFormat="false" ht="15" hidden="false" customHeight="true" outlineLevel="0" collapsed="false">
      <c r="A1507" s="15" t="s">
        <v>195</v>
      </c>
      <c r="B1507" s="15" t="s">
        <v>197</v>
      </c>
      <c r="C1507" s="15" t="s">
        <v>742</v>
      </c>
      <c r="D1507" s="15" t="n">
        <v>8.7</v>
      </c>
      <c r="E1507" s="15" t="s">
        <v>741</v>
      </c>
      <c r="F1507" s="15" t="s">
        <v>876</v>
      </c>
      <c r="G1507" s="15" t="s">
        <v>112</v>
      </c>
      <c r="H1507" s="15"/>
    </row>
    <row r="1508" customFormat="false" ht="15" hidden="false" customHeight="true" outlineLevel="0" collapsed="false">
      <c r="A1508" s="15" t="s">
        <v>195</v>
      </c>
      <c r="B1508" s="15" t="s">
        <v>197</v>
      </c>
      <c r="C1508" s="15" t="s">
        <v>733</v>
      </c>
      <c r="D1508" s="15" t="s">
        <v>734</v>
      </c>
      <c r="E1508" s="15"/>
      <c r="F1508" s="15" t="s">
        <v>882</v>
      </c>
      <c r="G1508" s="15" t="s">
        <v>112</v>
      </c>
      <c r="H1508" s="15"/>
    </row>
    <row r="1509" customFormat="false" ht="15" hidden="false" customHeight="true" outlineLevel="0" collapsed="false">
      <c r="A1509" s="15" t="s">
        <v>195</v>
      </c>
      <c r="B1509" s="15" t="s">
        <v>197</v>
      </c>
      <c r="C1509" s="15" t="s">
        <v>785</v>
      </c>
      <c r="D1509" s="15" t="n">
        <v>307</v>
      </c>
      <c r="E1509" s="15" t="s">
        <v>786</v>
      </c>
      <c r="F1509" s="15" t="s">
        <v>879</v>
      </c>
      <c r="G1509" s="15" t="s">
        <v>112</v>
      </c>
      <c r="H1509" s="15"/>
    </row>
    <row r="1510" customFormat="false" ht="15" hidden="false" customHeight="true" outlineLevel="0" collapsed="false">
      <c r="A1510" s="15" t="s">
        <v>195</v>
      </c>
      <c r="B1510" s="15" t="s">
        <v>197</v>
      </c>
      <c r="C1510" s="15" t="s">
        <v>769</v>
      </c>
      <c r="D1510" s="15" t="s">
        <v>198</v>
      </c>
      <c r="E1510" s="15" t="s">
        <v>721</v>
      </c>
      <c r="F1510" s="15" t="s">
        <v>876</v>
      </c>
      <c r="G1510" s="15" t="s">
        <v>112</v>
      </c>
      <c r="H1510" s="15"/>
    </row>
    <row r="1511" customFormat="false" ht="15" hidden="false" customHeight="true" outlineLevel="0" collapsed="false">
      <c r="A1511" s="15" t="s">
        <v>195</v>
      </c>
      <c r="B1511" s="15" t="s">
        <v>197</v>
      </c>
      <c r="C1511" s="15" t="s">
        <v>86</v>
      </c>
      <c r="D1511" s="15" t="n">
        <v>6</v>
      </c>
      <c r="E1511" s="15" t="s">
        <v>721</v>
      </c>
      <c r="F1511" s="15" t="s">
        <v>876</v>
      </c>
      <c r="G1511" s="15" t="s">
        <v>112</v>
      </c>
      <c r="H1511" s="15"/>
    </row>
    <row r="1512" customFormat="false" ht="15" hidden="false" customHeight="true" outlineLevel="0" collapsed="false">
      <c r="A1512" s="15" t="s">
        <v>195</v>
      </c>
      <c r="B1512" s="15" t="s">
        <v>197</v>
      </c>
      <c r="C1512" s="15" t="s">
        <v>764</v>
      </c>
      <c r="D1512" s="15" t="s">
        <v>755</v>
      </c>
      <c r="E1512" s="15"/>
      <c r="F1512" s="15" t="s">
        <v>876</v>
      </c>
      <c r="G1512" s="15" t="s">
        <v>112</v>
      </c>
      <c r="H1512" s="15"/>
    </row>
    <row r="1513" customFormat="false" ht="15" hidden="false" customHeight="true" outlineLevel="0" collapsed="false">
      <c r="A1513" s="15" t="s">
        <v>195</v>
      </c>
      <c r="B1513" s="15" t="s">
        <v>197</v>
      </c>
      <c r="C1513" s="15" t="s">
        <v>749</v>
      </c>
      <c r="D1513" s="15" t="s">
        <v>120</v>
      </c>
      <c r="E1513" s="15"/>
      <c r="F1513" s="15" t="s">
        <v>876</v>
      </c>
      <c r="G1513" s="15" t="s">
        <v>112</v>
      </c>
      <c r="H1513" s="15"/>
    </row>
    <row r="1514" customFormat="false" ht="15" hidden="false" customHeight="true" outlineLevel="0" collapsed="false">
      <c r="A1514" s="15" t="s">
        <v>195</v>
      </c>
      <c r="B1514" s="15" t="s">
        <v>197</v>
      </c>
      <c r="C1514" s="15" t="s">
        <v>752</v>
      </c>
      <c r="D1514" s="15" t="s">
        <v>753</v>
      </c>
      <c r="E1514" s="15"/>
      <c r="F1514" s="15" t="s">
        <v>876</v>
      </c>
      <c r="G1514" s="15" t="s">
        <v>112</v>
      </c>
      <c r="H1514" s="15"/>
    </row>
    <row r="1515" customFormat="false" ht="15" hidden="false" customHeight="true" outlineLevel="0" collapsed="false">
      <c r="A1515" s="15" t="s">
        <v>195</v>
      </c>
      <c r="B1515" s="15" t="s">
        <v>197</v>
      </c>
      <c r="C1515" s="15" t="s">
        <v>754</v>
      </c>
      <c r="D1515" s="15" t="s">
        <v>755</v>
      </c>
      <c r="E1515" s="15"/>
      <c r="F1515" s="15" t="s">
        <v>876</v>
      </c>
      <c r="G1515" s="15" t="s">
        <v>112</v>
      </c>
      <c r="H1515" s="15"/>
    </row>
    <row r="1516" customFormat="false" ht="15" hidden="false" customHeight="true" outlineLevel="0" collapsed="false">
      <c r="A1516" s="15" t="s">
        <v>195</v>
      </c>
      <c r="B1516" s="15" t="s">
        <v>197</v>
      </c>
      <c r="C1516" s="15" t="s">
        <v>884</v>
      </c>
      <c r="D1516" s="15" t="s">
        <v>755</v>
      </c>
      <c r="E1516" s="15"/>
      <c r="F1516" s="15" t="s">
        <v>876</v>
      </c>
      <c r="G1516" s="15" t="s">
        <v>112</v>
      </c>
      <c r="H1516" s="15"/>
    </row>
    <row r="1517" customFormat="false" ht="15" hidden="false" customHeight="true" outlineLevel="0" collapsed="false">
      <c r="A1517" s="15" t="s">
        <v>195</v>
      </c>
      <c r="B1517" s="15" t="s">
        <v>197</v>
      </c>
      <c r="C1517" s="15" t="s">
        <v>756</v>
      </c>
      <c r="D1517" s="15" t="s">
        <v>847</v>
      </c>
      <c r="E1517" s="15"/>
      <c r="F1517" s="15" t="s">
        <v>876</v>
      </c>
      <c r="G1517" s="15" t="s">
        <v>112</v>
      </c>
      <c r="H1517" s="15"/>
    </row>
    <row r="1518" customFormat="false" ht="15" hidden="false" customHeight="true" outlineLevel="0" collapsed="false">
      <c r="A1518" s="15" t="s">
        <v>195</v>
      </c>
      <c r="B1518" s="15" t="s">
        <v>197</v>
      </c>
      <c r="C1518" s="15" t="s">
        <v>757</v>
      </c>
      <c r="D1518" s="15" t="s">
        <v>758</v>
      </c>
      <c r="E1518" s="15"/>
      <c r="F1518" s="15" t="s">
        <v>876</v>
      </c>
      <c r="G1518" s="15" t="s">
        <v>112</v>
      </c>
      <c r="H1518" s="15"/>
    </row>
    <row r="1519" customFormat="false" ht="15" hidden="false" customHeight="true" outlineLevel="0" collapsed="false">
      <c r="A1519" s="15" t="s">
        <v>195</v>
      </c>
      <c r="B1519" s="15" t="s">
        <v>197</v>
      </c>
      <c r="C1519" s="15" t="s">
        <v>759</v>
      </c>
      <c r="D1519" s="15" t="s">
        <v>760</v>
      </c>
      <c r="E1519" s="15"/>
      <c r="F1519" s="15" t="s">
        <v>876</v>
      </c>
      <c r="G1519" s="15" t="s">
        <v>112</v>
      </c>
      <c r="H1519" s="15"/>
    </row>
    <row r="1520" customFormat="false" ht="15" hidden="false" customHeight="true" outlineLevel="0" collapsed="false">
      <c r="A1520" s="15" t="s">
        <v>195</v>
      </c>
      <c r="B1520" s="15" t="s">
        <v>197</v>
      </c>
      <c r="C1520" s="15" t="s">
        <v>761</v>
      </c>
      <c r="D1520" s="15" t="s">
        <v>755</v>
      </c>
      <c r="E1520" s="15"/>
      <c r="F1520" s="15" t="s">
        <v>876</v>
      </c>
      <c r="G1520" s="15" t="s">
        <v>112</v>
      </c>
      <c r="H1520" s="15"/>
    </row>
    <row r="1521" customFormat="false" ht="15" hidden="false" customHeight="true" outlineLevel="0" collapsed="false">
      <c r="A1521" s="15" t="s">
        <v>195</v>
      </c>
      <c r="B1521" s="15" t="s">
        <v>197</v>
      </c>
      <c r="C1521" s="15" t="s">
        <v>762</v>
      </c>
      <c r="D1521" s="15" t="s">
        <v>755</v>
      </c>
      <c r="E1521" s="15"/>
      <c r="F1521" s="15" t="s">
        <v>876</v>
      </c>
      <c r="G1521" s="15" t="s">
        <v>112</v>
      </c>
      <c r="H1521" s="15"/>
    </row>
    <row r="1522" customFormat="false" ht="15" hidden="false" customHeight="true" outlineLevel="0" collapsed="false">
      <c r="A1522" s="15" t="s">
        <v>195</v>
      </c>
      <c r="B1522" s="15" t="s">
        <v>197</v>
      </c>
      <c r="C1522" s="15" t="s">
        <v>92</v>
      </c>
      <c r="D1522" s="15" t="s">
        <v>755</v>
      </c>
      <c r="E1522" s="15"/>
      <c r="F1522" s="15" t="s">
        <v>876</v>
      </c>
      <c r="G1522" s="15" t="s">
        <v>112</v>
      </c>
      <c r="H1522" s="15"/>
    </row>
    <row r="1523" customFormat="false" ht="15" hidden="false" customHeight="true" outlineLevel="0" collapsed="false">
      <c r="A1523" s="15" t="s">
        <v>195</v>
      </c>
      <c r="B1523" s="15" t="s">
        <v>197</v>
      </c>
      <c r="C1523" s="15" t="s">
        <v>848</v>
      </c>
      <c r="D1523" s="15" t="s">
        <v>849</v>
      </c>
      <c r="E1523" s="15"/>
      <c r="F1523" s="15" t="s">
        <v>876</v>
      </c>
      <c r="G1523" s="15" t="s">
        <v>112</v>
      </c>
      <c r="H1523" s="15"/>
    </row>
    <row r="1524" customFormat="false" ht="15" hidden="false" customHeight="true" outlineLevel="0" collapsed="false">
      <c r="A1524" s="15" t="s">
        <v>195</v>
      </c>
      <c r="B1524" s="15" t="s">
        <v>197</v>
      </c>
      <c r="C1524" s="15" t="s">
        <v>747</v>
      </c>
      <c r="D1524" s="15" t="s">
        <v>885</v>
      </c>
      <c r="E1524" s="15"/>
      <c r="F1524" s="15" t="s">
        <v>876</v>
      </c>
      <c r="G1524" s="15" t="s">
        <v>112</v>
      </c>
      <c r="H1524" s="15"/>
    </row>
    <row r="1525" customFormat="false" ht="15" hidden="false" customHeight="true" outlineLevel="0" collapsed="false">
      <c r="A1525" s="15" t="s">
        <v>195</v>
      </c>
      <c r="B1525" s="15" t="s">
        <v>197</v>
      </c>
      <c r="C1525" s="15" t="s">
        <v>851</v>
      </c>
      <c r="D1525" s="15" t="s">
        <v>852</v>
      </c>
      <c r="E1525" s="15"/>
      <c r="F1525" s="15" t="s">
        <v>876</v>
      </c>
      <c r="G1525" s="15" t="s">
        <v>112</v>
      </c>
      <c r="H1525" s="15"/>
    </row>
    <row r="1526" customFormat="false" ht="15" hidden="false" customHeight="true" outlineLevel="0" collapsed="false">
      <c r="A1526" s="15" t="s">
        <v>195</v>
      </c>
      <c r="B1526" s="15" t="s">
        <v>197</v>
      </c>
      <c r="C1526" s="15" t="s">
        <v>853</v>
      </c>
      <c r="D1526" s="15" t="s">
        <v>120</v>
      </c>
      <c r="E1526" s="15"/>
      <c r="F1526" s="15" t="s">
        <v>876</v>
      </c>
      <c r="G1526" s="15" t="s">
        <v>112</v>
      </c>
      <c r="H1526" s="15"/>
    </row>
    <row r="1527" customFormat="false" ht="15" hidden="false" customHeight="true" outlineLevel="0" collapsed="false">
      <c r="A1527" s="15" t="s">
        <v>195</v>
      </c>
      <c r="B1527" s="15" t="s">
        <v>197</v>
      </c>
      <c r="C1527" s="15" t="s">
        <v>854</v>
      </c>
      <c r="D1527" s="15" t="s">
        <v>755</v>
      </c>
      <c r="E1527" s="15"/>
      <c r="F1527" s="15" t="s">
        <v>876</v>
      </c>
      <c r="G1527" s="15" t="s">
        <v>112</v>
      </c>
      <c r="H1527" s="15"/>
    </row>
    <row r="1528" customFormat="false" ht="15" hidden="false" customHeight="true" outlineLevel="0" collapsed="false">
      <c r="A1528" s="15" t="s">
        <v>195</v>
      </c>
      <c r="B1528" s="15" t="s">
        <v>197</v>
      </c>
      <c r="C1528" s="15" t="s">
        <v>855</v>
      </c>
      <c r="D1528" s="15" t="s">
        <v>862</v>
      </c>
      <c r="E1528" s="15"/>
      <c r="F1528" s="15" t="s">
        <v>876</v>
      </c>
      <c r="G1528" s="15" t="s">
        <v>112</v>
      </c>
      <c r="H1528" s="15"/>
    </row>
    <row r="1529" customFormat="false" ht="15" hidden="false" customHeight="true" outlineLevel="0" collapsed="false">
      <c r="A1529" s="15" t="s">
        <v>195</v>
      </c>
      <c r="B1529" s="15" t="s">
        <v>197</v>
      </c>
      <c r="C1529" s="15" t="s">
        <v>857</v>
      </c>
      <c r="D1529" s="15" t="s">
        <v>755</v>
      </c>
      <c r="E1529" s="15"/>
      <c r="F1529" s="15" t="s">
        <v>876</v>
      </c>
      <c r="G1529" s="15" t="s">
        <v>112</v>
      </c>
      <c r="H1529" s="15"/>
    </row>
    <row r="1530" customFormat="false" ht="15" hidden="false" customHeight="true" outlineLevel="0" collapsed="false">
      <c r="A1530" s="15" t="s">
        <v>195</v>
      </c>
      <c r="B1530" s="15" t="s">
        <v>197</v>
      </c>
      <c r="C1530" s="15" t="s">
        <v>886</v>
      </c>
      <c r="D1530" s="15" t="s">
        <v>755</v>
      </c>
      <c r="E1530" s="15"/>
      <c r="F1530" s="15" t="s">
        <v>876</v>
      </c>
      <c r="G1530" s="15" t="s">
        <v>112</v>
      </c>
      <c r="H1530" s="15"/>
    </row>
    <row r="1531" customFormat="false" ht="26.25" hidden="false" customHeight="true" outlineLevel="0" collapsed="false">
      <c r="A1531" s="15" t="s">
        <v>234</v>
      </c>
      <c r="B1531" s="15" t="s">
        <v>235</v>
      </c>
      <c r="C1531" s="15" t="s">
        <v>714</v>
      </c>
      <c r="D1531" s="15" t="n">
        <v>380</v>
      </c>
      <c r="E1531" s="15" t="s">
        <v>715</v>
      </c>
      <c r="F1531" s="15" t="s">
        <v>876</v>
      </c>
      <c r="G1531" s="15" t="s">
        <v>112</v>
      </c>
      <c r="H1531" s="15"/>
    </row>
    <row r="1532" customFormat="false" ht="26.25" hidden="false" customHeight="true" outlineLevel="0" collapsed="false">
      <c r="A1532" s="15" t="s">
        <v>234</v>
      </c>
      <c r="B1532" s="15" t="s">
        <v>235</v>
      </c>
      <c r="C1532" s="15" t="s">
        <v>718</v>
      </c>
      <c r="D1532" s="15" t="s">
        <v>113</v>
      </c>
      <c r="E1532" s="15"/>
      <c r="F1532" s="15" t="s">
        <v>876</v>
      </c>
      <c r="G1532" s="15" t="s">
        <v>112</v>
      </c>
      <c r="H1532" s="15"/>
    </row>
    <row r="1533" customFormat="false" ht="26.25" hidden="false" customHeight="true" outlineLevel="0" collapsed="false">
      <c r="A1533" s="15" t="s">
        <v>234</v>
      </c>
      <c r="B1533" s="15" t="s">
        <v>235</v>
      </c>
      <c r="C1533" s="15" t="s">
        <v>719</v>
      </c>
      <c r="D1533" s="15" t="n">
        <v>20</v>
      </c>
      <c r="E1533" s="15" t="s">
        <v>720</v>
      </c>
      <c r="F1533" s="15" t="s">
        <v>876</v>
      </c>
      <c r="G1533" s="15" t="s">
        <v>112</v>
      </c>
      <c r="H1533" s="15"/>
    </row>
    <row r="1534" customFormat="false" ht="26.25" hidden="false" customHeight="true" outlineLevel="0" collapsed="false">
      <c r="A1534" s="15" t="s">
        <v>234</v>
      </c>
      <c r="B1534" s="15" t="s">
        <v>235</v>
      </c>
      <c r="C1534" s="15" t="s">
        <v>722</v>
      </c>
      <c r="D1534" s="15" t="s">
        <v>877</v>
      </c>
      <c r="E1534" s="15" t="s">
        <v>723</v>
      </c>
      <c r="F1534" s="15" t="s">
        <v>876</v>
      </c>
      <c r="G1534" s="15" t="s">
        <v>112</v>
      </c>
      <c r="H1534" s="15"/>
    </row>
    <row r="1535" customFormat="false" ht="26.25" hidden="false" customHeight="true" outlineLevel="0" collapsed="false">
      <c r="A1535" s="15" t="s">
        <v>234</v>
      </c>
      <c r="B1535" s="15" t="s">
        <v>235</v>
      </c>
      <c r="C1535" s="15" t="s">
        <v>724</v>
      </c>
      <c r="D1535" s="15" t="n">
        <v>150</v>
      </c>
      <c r="E1535" s="15" t="s">
        <v>723</v>
      </c>
      <c r="F1535" s="15" t="s">
        <v>876</v>
      </c>
      <c r="G1535" s="15" t="s">
        <v>112</v>
      </c>
      <c r="H1535" s="15"/>
    </row>
    <row r="1536" customFormat="false" ht="26.25" hidden="false" customHeight="true" outlineLevel="0" collapsed="false">
      <c r="A1536" s="15" t="s">
        <v>234</v>
      </c>
      <c r="B1536" s="15" t="s">
        <v>235</v>
      </c>
      <c r="C1536" s="15" t="s">
        <v>84</v>
      </c>
      <c r="D1536" s="15" t="n">
        <v>205</v>
      </c>
      <c r="E1536" s="15" t="s">
        <v>725</v>
      </c>
      <c r="F1536" s="15" t="s">
        <v>876</v>
      </c>
      <c r="G1536" s="15" t="s">
        <v>112</v>
      </c>
      <c r="H1536" s="15"/>
    </row>
    <row r="1537" customFormat="false" ht="26.25" hidden="false" customHeight="true" outlineLevel="0" collapsed="false">
      <c r="A1537" s="15" t="s">
        <v>234</v>
      </c>
      <c r="B1537" s="15" t="s">
        <v>235</v>
      </c>
      <c r="C1537" s="15" t="s">
        <v>726</v>
      </c>
      <c r="D1537" s="15" t="n">
        <v>4737</v>
      </c>
      <c r="E1537" s="15" t="s">
        <v>725</v>
      </c>
      <c r="F1537" s="15" t="s">
        <v>876</v>
      </c>
      <c r="G1537" s="15" t="s">
        <v>112</v>
      </c>
      <c r="H1537" s="15"/>
    </row>
    <row r="1538" customFormat="false" ht="26.25" hidden="false" customHeight="true" outlineLevel="0" collapsed="false">
      <c r="A1538" s="15" t="s">
        <v>234</v>
      </c>
      <c r="B1538" s="15" t="s">
        <v>235</v>
      </c>
      <c r="C1538" s="15" t="s">
        <v>727</v>
      </c>
      <c r="D1538" s="15" t="n">
        <v>1900</v>
      </c>
      <c r="E1538" s="15" t="s">
        <v>725</v>
      </c>
      <c r="F1538" s="15" t="s">
        <v>876</v>
      </c>
      <c r="G1538" s="15" t="s">
        <v>112</v>
      </c>
      <c r="H1538" s="15"/>
    </row>
    <row r="1539" customFormat="false" ht="26.25" hidden="false" customHeight="true" outlineLevel="0" collapsed="false">
      <c r="A1539" s="15" t="s">
        <v>234</v>
      </c>
      <c r="B1539" s="15" t="s">
        <v>235</v>
      </c>
      <c r="C1539" s="15" t="s">
        <v>728</v>
      </c>
      <c r="D1539" s="15" t="n">
        <v>1747</v>
      </c>
      <c r="E1539" s="15" t="s">
        <v>725</v>
      </c>
      <c r="F1539" s="15" t="s">
        <v>876</v>
      </c>
      <c r="G1539" s="15" t="s">
        <v>112</v>
      </c>
      <c r="H1539" s="15"/>
    </row>
    <row r="1540" customFormat="false" ht="26.25" hidden="false" customHeight="true" outlineLevel="0" collapsed="false">
      <c r="A1540" s="15" t="s">
        <v>234</v>
      </c>
      <c r="B1540" s="15" t="s">
        <v>235</v>
      </c>
      <c r="C1540" s="15" t="s">
        <v>729</v>
      </c>
      <c r="D1540" s="15" t="n">
        <v>2762</v>
      </c>
      <c r="E1540" s="15" t="s">
        <v>725</v>
      </c>
      <c r="F1540" s="15" t="s">
        <v>876</v>
      </c>
      <c r="G1540" s="15" t="s">
        <v>112</v>
      </c>
      <c r="H1540" s="15"/>
    </row>
    <row r="1541" customFormat="false" ht="26.25" hidden="false" customHeight="true" outlineLevel="0" collapsed="false">
      <c r="A1541" s="15" t="s">
        <v>234</v>
      </c>
      <c r="B1541" s="15" t="s">
        <v>235</v>
      </c>
      <c r="C1541" s="15" t="s">
        <v>730</v>
      </c>
      <c r="D1541" s="15" t="n">
        <v>10</v>
      </c>
      <c r="E1541" s="15" t="s">
        <v>731</v>
      </c>
      <c r="F1541" s="15" t="s">
        <v>876</v>
      </c>
      <c r="G1541" s="15" t="s">
        <v>112</v>
      </c>
      <c r="H1541" s="15"/>
    </row>
    <row r="1542" customFormat="false" ht="26.25" hidden="false" customHeight="true" outlineLevel="0" collapsed="false">
      <c r="A1542" s="15" t="s">
        <v>234</v>
      </c>
      <c r="B1542" s="15" t="s">
        <v>235</v>
      </c>
      <c r="C1542" s="15" t="s">
        <v>776</v>
      </c>
      <c r="D1542" s="15" t="s">
        <v>878</v>
      </c>
      <c r="E1542" s="15"/>
      <c r="F1542" s="15" t="s">
        <v>876</v>
      </c>
      <c r="G1542" s="15" t="s">
        <v>112</v>
      </c>
      <c r="H1542" s="15"/>
    </row>
    <row r="1543" customFormat="false" ht="26.25" hidden="false" customHeight="true" outlineLevel="0" collapsed="false">
      <c r="A1543" s="15" t="s">
        <v>234</v>
      </c>
      <c r="B1543" s="15" t="s">
        <v>235</v>
      </c>
      <c r="C1543" s="15" t="s">
        <v>780</v>
      </c>
      <c r="D1543" s="15" t="s">
        <v>781</v>
      </c>
      <c r="E1543" s="15"/>
      <c r="F1543" s="15" t="s">
        <v>876</v>
      </c>
      <c r="G1543" s="15" t="s">
        <v>112</v>
      </c>
      <c r="H1543" s="15"/>
    </row>
    <row r="1544" customFormat="false" ht="26.25" hidden="false" customHeight="true" outlineLevel="0" collapsed="false">
      <c r="A1544" s="15" t="s">
        <v>234</v>
      </c>
      <c r="B1544" s="15" t="s">
        <v>235</v>
      </c>
      <c r="C1544" s="15" t="s">
        <v>789</v>
      </c>
      <c r="D1544" s="15" t="s">
        <v>790</v>
      </c>
      <c r="E1544" s="15"/>
      <c r="F1544" s="15" t="s">
        <v>876</v>
      </c>
      <c r="G1544" s="15" t="s">
        <v>112</v>
      </c>
      <c r="H1544" s="15"/>
    </row>
    <row r="1545" customFormat="false" ht="26.25" hidden="false" customHeight="true" outlineLevel="0" collapsed="false">
      <c r="A1545" s="15" t="s">
        <v>234</v>
      </c>
      <c r="B1545" s="15" t="s">
        <v>235</v>
      </c>
      <c r="C1545" s="15" t="s">
        <v>784</v>
      </c>
      <c r="D1545" s="15" t="n">
        <v>11</v>
      </c>
      <c r="E1545" s="15" t="s">
        <v>738</v>
      </c>
      <c r="F1545" s="15" t="s">
        <v>879</v>
      </c>
      <c r="G1545" s="15" t="s">
        <v>112</v>
      </c>
      <c r="H1545" s="15"/>
    </row>
    <row r="1546" customFormat="false" ht="26.25" hidden="false" customHeight="true" outlineLevel="0" collapsed="false">
      <c r="A1546" s="15" t="s">
        <v>234</v>
      </c>
      <c r="B1546" s="15" t="s">
        <v>235</v>
      </c>
      <c r="C1546" s="15" t="s">
        <v>782</v>
      </c>
      <c r="D1546" s="15" t="n">
        <v>36</v>
      </c>
      <c r="E1546" s="15" t="s">
        <v>783</v>
      </c>
      <c r="F1546" s="15" t="s">
        <v>879</v>
      </c>
      <c r="G1546" s="15" t="s">
        <v>112</v>
      </c>
      <c r="H1546" s="15"/>
    </row>
    <row r="1547" customFormat="false" ht="26.25" hidden="false" customHeight="true" outlineLevel="0" collapsed="false">
      <c r="A1547" s="15" t="s">
        <v>234</v>
      </c>
      <c r="B1547" s="15" t="s">
        <v>235</v>
      </c>
      <c r="C1547" s="15" t="s">
        <v>90</v>
      </c>
      <c r="D1547" s="15" t="s">
        <v>880</v>
      </c>
      <c r="E1547" s="15"/>
      <c r="F1547" s="15" t="s">
        <v>876</v>
      </c>
      <c r="G1547" s="15" t="s">
        <v>112</v>
      </c>
      <c r="H1547" s="15"/>
    </row>
    <row r="1548" customFormat="false" ht="26.25" hidden="false" customHeight="true" outlineLevel="0" collapsed="false">
      <c r="A1548" s="15" t="s">
        <v>234</v>
      </c>
      <c r="B1548" s="15" t="s">
        <v>235</v>
      </c>
      <c r="C1548" s="15" t="s">
        <v>875</v>
      </c>
      <c r="D1548" s="15" t="n">
        <v>3.2</v>
      </c>
      <c r="E1548" s="15"/>
      <c r="F1548" s="15" t="s">
        <v>876</v>
      </c>
      <c r="G1548" s="15" t="s">
        <v>819</v>
      </c>
      <c r="H1548" s="15" t="s">
        <v>881</v>
      </c>
    </row>
    <row r="1549" customFormat="false" ht="26.25" hidden="false" customHeight="true" outlineLevel="0" collapsed="false">
      <c r="A1549" s="15" t="s">
        <v>234</v>
      </c>
      <c r="B1549" s="15" t="s">
        <v>235</v>
      </c>
      <c r="C1549" s="15" t="s">
        <v>772</v>
      </c>
      <c r="D1549" s="15" t="n">
        <v>60000</v>
      </c>
      <c r="E1549" s="15" t="s">
        <v>773</v>
      </c>
      <c r="F1549" s="15" t="s">
        <v>882</v>
      </c>
      <c r="G1549" s="15" t="s">
        <v>112</v>
      </c>
      <c r="H1549" s="15"/>
    </row>
    <row r="1550" customFormat="false" ht="26.25" hidden="false" customHeight="true" outlineLevel="0" collapsed="false">
      <c r="A1550" s="15" t="s">
        <v>234</v>
      </c>
      <c r="B1550" s="15" t="s">
        <v>235</v>
      </c>
      <c r="C1550" s="15" t="s">
        <v>775</v>
      </c>
      <c r="D1550" s="15" t="n">
        <v>75000</v>
      </c>
      <c r="E1550" s="15" t="s">
        <v>773</v>
      </c>
      <c r="F1550" s="15" t="s">
        <v>882</v>
      </c>
      <c r="G1550" s="15" t="s">
        <v>112</v>
      </c>
      <c r="H1550" s="15"/>
    </row>
    <row r="1551" customFormat="false" ht="26.25" hidden="false" customHeight="true" outlineLevel="0" collapsed="false">
      <c r="A1551" s="15" t="s">
        <v>234</v>
      </c>
      <c r="B1551" s="15" t="s">
        <v>235</v>
      </c>
      <c r="C1551" s="15" t="s">
        <v>98</v>
      </c>
      <c r="D1551" s="15" t="s">
        <v>732</v>
      </c>
      <c r="E1551" s="15"/>
      <c r="F1551" s="15" t="s">
        <v>876</v>
      </c>
      <c r="G1551" s="15" t="s">
        <v>112</v>
      </c>
      <c r="H1551" s="15"/>
    </row>
    <row r="1552" customFormat="false" ht="26.25" hidden="false" customHeight="true" outlineLevel="0" collapsed="false">
      <c r="A1552" s="15" t="s">
        <v>234</v>
      </c>
      <c r="B1552" s="15" t="s">
        <v>235</v>
      </c>
      <c r="C1552" s="15" t="s">
        <v>830</v>
      </c>
      <c r="D1552" s="15" t="s">
        <v>831</v>
      </c>
      <c r="E1552" s="15"/>
      <c r="F1552" s="15" t="s">
        <v>883</v>
      </c>
      <c r="G1552" s="15" t="s">
        <v>112</v>
      </c>
      <c r="H1552" s="15"/>
    </row>
    <row r="1553" customFormat="false" ht="26.25" hidden="false" customHeight="true" outlineLevel="0" collapsed="false">
      <c r="A1553" s="15" t="s">
        <v>234</v>
      </c>
      <c r="B1553" s="15" t="s">
        <v>235</v>
      </c>
      <c r="C1553" s="15" t="s">
        <v>833</v>
      </c>
      <c r="D1553" s="15" t="s">
        <v>834</v>
      </c>
      <c r="E1553" s="15"/>
      <c r="F1553" s="15" t="s">
        <v>883</v>
      </c>
      <c r="G1553" s="15" t="s">
        <v>112</v>
      </c>
      <c r="H1553" s="15"/>
    </row>
    <row r="1554" customFormat="false" ht="26.25" hidden="false" customHeight="true" outlineLevel="0" collapsed="false">
      <c r="A1554" s="15" t="s">
        <v>234</v>
      </c>
      <c r="B1554" s="15" t="s">
        <v>235</v>
      </c>
      <c r="C1554" s="15" t="s">
        <v>835</v>
      </c>
      <c r="D1554" s="15" t="s">
        <v>836</v>
      </c>
      <c r="E1554" s="15"/>
      <c r="F1554" s="15" t="s">
        <v>883</v>
      </c>
      <c r="G1554" s="15" t="s">
        <v>112</v>
      </c>
      <c r="H1554" s="15"/>
    </row>
    <row r="1555" customFormat="false" ht="26.25" hidden="false" customHeight="true" outlineLevel="0" collapsed="false">
      <c r="A1555" s="15" t="s">
        <v>234</v>
      </c>
      <c r="B1555" s="15" t="s">
        <v>235</v>
      </c>
      <c r="C1555" s="15" t="s">
        <v>837</v>
      </c>
      <c r="D1555" s="15" t="n">
        <v>10000</v>
      </c>
      <c r="E1555" s="15" t="s">
        <v>838</v>
      </c>
      <c r="F1555" s="15" t="s">
        <v>883</v>
      </c>
      <c r="G1555" s="15" t="s">
        <v>112</v>
      </c>
      <c r="H1555" s="15"/>
    </row>
    <row r="1556" customFormat="false" ht="26.25" hidden="false" customHeight="true" outlineLevel="0" collapsed="false">
      <c r="A1556" s="15" t="s">
        <v>234</v>
      </c>
      <c r="B1556" s="15" t="s">
        <v>235</v>
      </c>
      <c r="C1556" s="15" t="s">
        <v>839</v>
      </c>
      <c r="D1556" s="15" t="s">
        <v>840</v>
      </c>
      <c r="E1556" s="15"/>
      <c r="F1556" s="15" t="s">
        <v>883</v>
      </c>
      <c r="G1556" s="15" t="s">
        <v>112</v>
      </c>
      <c r="H1556" s="15"/>
    </row>
    <row r="1557" customFormat="false" ht="26.25" hidden="false" customHeight="true" outlineLevel="0" collapsed="false">
      <c r="A1557" s="15" t="s">
        <v>234</v>
      </c>
      <c r="B1557" s="15" t="s">
        <v>235</v>
      </c>
      <c r="C1557" s="15" t="s">
        <v>841</v>
      </c>
      <c r="D1557" s="15" t="s">
        <v>842</v>
      </c>
      <c r="E1557" s="15"/>
      <c r="F1557" s="15" t="s">
        <v>883</v>
      </c>
      <c r="G1557" s="15" t="s">
        <v>112</v>
      </c>
      <c r="H1557" s="15"/>
    </row>
    <row r="1558" customFormat="false" ht="26.25" hidden="false" customHeight="true" outlineLevel="0" collapsed="false">
      <c r="A1558" s="15" t="s">
        <v>234</v>
      </c>
      <c r="B1558" s="15" t="s">
        <v>235</v>
      </c>
      <c r="C1558" s="15" t="s">
        <v>843</v>
      </c>
      <c r="D1558" s="15" t="s">
        <v>844</v>
      </c>
      <c r="E1558" s="15"/>
      <c r="F1558" s="15" t="s">
        <v>876</v>
      </c>
      <c r="G1558" s="15" t="s">
        <v>112</v>
      </c>
      <c r="H1558" s="15"/>
    </row>
    <row r="1559" customFormat="false" ht="26.25" hidden="false" customHeight="true" outlineLevel="0" collapsed="false">
      <c r="A1559" s="15" t="s">
        <v>234</v>
      </c>
      <c r="B1559" s="15" t="s">
        <v>235</v>
      </c>
      <c r="C1559" s="15" t="s">
        <v>737</v>
      </c>
      <c r="D1559" s="15" t="n">
        <v>170</v>
      </c>
      <c r="E1559" s="15" t="s">
        <v>738</v>
      </c>
      <c r="F1559" s="15" t="s">
        <v>876</v>
      </c>
      <c r="G1559" s="15" t="s">
        <v>112</v>
      </c>
      <c r="H1559" s="15"/>
    </row>
    <row r="1560" customFormat="false" ht="26.25" hidden="false" customHeight="true" outlineLevel="0" collapsed="false">
      <c r="A1560" s="15" t="s">
        <v>234</v>
      </c>
      <c r="B1560" s="15" t="s">
        <v>235</v>
      </c>
      <c r="C1560" s="15" t="s">
        <v>739</v>
      </c>
      <c r="D1560" s="15" t="n">
        <v>140</v>
      </c>
      <c r="E1560" s="15" t="s">
        <v>738</v>
      </c>
      <c r="F1560" s="15" t="s">
        <v>876</v>
      </c>
      <c r="G1560" s="15" t="s">
        <v>112</v>
      </c>
      <c r="H1560" s="15"/>
    </row>
    <row r="1561" customFormat="false" ht="26.25" hidden="false" customHeight="true" outlineLevel="0" collapsed="false">
      <c r="A1561" s="15" t="s">
        <v>234</v>
      </c>
      <c r="B1561" s="15" t="s">
        <v>235</v>
      </c>
      <c r="C1561" s="15" t="s">
        <v>740</v>
      </c>
      <c r="D1561" s="15" t="n">
        <v>6</v>
      </c>
      <c r="E1561" s="15" t="s">
        <v>741</v>
      </c>
      <c r="F1561" s="15" t="s">
        <v>876</v>
      </c>
      <c r="G1561" s="15" t="s">
        <v>112</v>
      </c>
      <c r="H1561" s="15"/>
    </row>
    <row r="1562" customFormat="false" ht="26.25" hidden="false" customHeight="true" outlineLevel="0" collapsed="false">
      <c r="A1562" s="15" t="s">
        <v>234</v>
      </c>
      <c r="B1562" s="15" t="s">
        <v>235</v>
      </c>
      <c r="C1562" s="15" t="s">
        <v>742</v>
      </c>
      <c r="D1562" s="15" t="n">
        <v>8.7</v>
      </c>
      <c r="E1562" s="15" t="s">
        <v>741</v>
      </c>
      <c r="F1562" s="15" t="s">
        <v>876</v>
      </c>
      <c r="G1562" s="15" t="s">
        <v>112</v>
      </c>
      <c r="H1562" s="15"/>
    </row>
    <row r="1563" customFormat="false" ht="26.25" hidden="false" customHeight="true" outlineLevel="0" collapsed="false">
      <c r="A1563" s="15" t="s">
        <v>234</v>
      </c>
      <c r="B1563" s="15" t="s">
        <v>235</v>
      </c>
      <c r="C1563" s="15" t="s">
        <v>733</v>
      </c>
      <c r="D1563" s="15" t="s">
        <v>734</v>
      </c>
      <c r="E1563" s="15"/>
      <c r="F1563" s="15" t="s">
        <v>882</v>
      </c>
      <c r="G1563" s="15" t="s">
        <v>112</v>
      </c>
      <c r="H1563" s="15"/>
    </row>
    <row r="1564" customFormat="false" ht="26.25" hidden="false" customHeight="true" outlineLevel="0" collapsed="false">
      <c r="A1564" s="15" t="s">
        <v>234</v>
      </c>
      <c r="B1564" s="15" t="s">
        <v>235</v>
      </c>
      <c r="C1564" s="15" t="s">
        <v>785</v>
      </c>
      <c r="D1564" s="15" t="n">
        <v>307</v>
      </c>
      <c r="E1564" s="15" t="s">
        <v>786</v>
      </c>
      <c r="F1564" s="15" t="s">
        <v>879</v>
      </c>
      <c r="G1564" s="15" t="s">
        <v>112</v>
      </c>
      <c r="H1564" s="15"/>
    </row>
    <row r="1565" customFormat="false" ht="26.25" hidden="false" customHeight="true" outlineLevel="0" collapsed="false">
      <c r="A1565" s="15" t="s">
        <v>234</v>
      </c>
      <c r="B1565" s="15" t="s">
        <v>235</v>
      </c>
      <c r="C1565" s="15" t="s">
        <v>769</v>
      </c>
      <c r="D1565" s="15" t="s">
        <v>198</v>
      </c>
      <c r="E1565" s="15" t="s">
        <v>721</v>
      </c>
      <c r="F1565" s="15" t="s">
        <v>876</v>
      </c>
      <c r="G1565" s="15" t="s">
        <v>112</v>
      </c>
      <c r="H1565" s="15"/>
    </row>
    <row r="1566" customFormat="false" ht="26.25" hidden="false" customHeight="true" outlineLevel="0" collapsed="false">
      <c r="A1566" s="15" t="s">
        <v>234</v>
      </c>
      <c r="B1566" s="15" t="s">
        <v>235</v>
      </c>
      <c r="C1566" s="15" t="s">
        <v>86</v>
      </c>
      <c r="D1566" s="15" t="n">
        <v>6</v>
      </c>
      <c r="E1566" s="15" t="s">
        <v>721</v>
      </c>
      <c r="F1566" s="15" t="s">
        <v>876</v>
      </c>
      <c r="G1566" s="15" t="s">
        <v>112</v>
      </c>
      <c r="H1566" s="15"/>
    </row>
    <row r="1567" customFormat="false" ht="26.25" hidden="false" customHeight="true" outlineLevel="0" collapsed="false">
      <c r="A1567" s="15" t="s">
        <v>234</v>
      </c>
      <c r="B1567" s="15" t="s">
        <v>235</v>
      </c>
      <c r="C1567" s="15" t="s">
        <v>764</v>
      </c>
      <c r="D1567" s="15" t="s">
        <v>755</v>
      </c>
      <c r="E1567" s="15"/>
      <c r="F1567" s="15" t="s">
        <v>876</v>
      </c>
      <c r="G1567" s="15" t="s">
        <v>112</v>
      </c>
      <c r="H1567" s="15"/>
    </row>
    <row r="1568" customFormat="false" ht="26.25" hidden="false" customHeight="true" outlineLevel="0" collapsed="false">
      <c r="A1568" s="15" t="s">
        <v>234</v>
      </c>
      <c r="B1568" s="15" t="s">
        <v>235</v>
      </c>
      <c r="C1568" s="15" t="s">
        <v>749</v>
      </c>
      <c r="D1568" s="15" t="s">
        <v>120</v>
      </c>
      <c r="E1568" s="15"/>
      <c r="F1568" s="15" t="s">
        <v>876</v>
      </c>
      <c r="G1568" s="15" t="s">
        <v>112</v>
      </c>
      <c r="H1568" s="15"/>
    </row>
    <row r="1569" customFormat="false" ht="26.25" hidden="false" customHeight="true" outlineLevel="0" collapsed="false">
      <c r="A1569" s="15" t="s">
        <v>234</v>
      </c>
      <c r="B1569" s="15" t="s">
        <v>235</v>
      </c>
      <c r="C1569" s="15" t="s">
        <v>752</v>
      </c>
      <c r="D1569" s="15" t="s">
        <v>753</v>
      </c>
      <c r="E1569" s="15"/>
      <c r="F1569" s="15" t="s">
        <v>876</v>
      </c>
      <c r="G1569" s="15" t="s">
        <v>112</v>
      </c>
      <c r="H1569" s="15"/>
    </row>
    <row r="1570" customFormat="false" ht="26.25" hidden="false" customHeight="true" outlineLevel="0" collapsed="false">
      <c r="A1570" s="15" t="s">
        <v>234</v>
      </c>
      <c r="B1570" s="15" t="s">
        <v>235</v>
      </c>
      <c r="C1570" s="15" t="s">
        <v>754</v>
      </c>
      <c r="D1570" s="15" t="s">
        <v>755</v>
      </c>
      <c r="E1570" s="15"/>
      <c r="F1570" s="15" t="s">
        <v>876</v>
      </c>
      <c r="G1570" s="15" t="s">
        <v>112</v>
      </c>
      <c r="H1570" s="15"/>
    </row>
    <row r="1571" customFormat="false" ht="26.25" hidden="false" customHeight="true" outlineLevel="0" collapsed="false">
      <c r="A1571" s="15" t="s">
        <v>234</v>
      </c>
      <c r="B1571" s="15" t="s">
        <v>235</v>
      </c>
      <c r="C1571" s="15" t="s">
        <v>884</v>
      </c>
      <c r="D1571" s="15" t="s">
        <v>755</v>
      </c>
      <c r="E1571" s="15"/>
      <c r="F1571" s="15" t="s">
        <v>876</v>
      </c>
      <c r="G1571" s="15" t="s">
        <v>112</v>
      </c>
      <c r="H1571" s="15"/>
    </row>
    <row r="1572" customFormat="false" ht="26.25" hidden="false" customHeight="true" outlineLevel="0" collapsed="false">
      <c r="A1572" s="15" t="s">
        <v>234</v>
      </c>
      <c r="B1572" s="15" t="s">
        <v>235</v>
      </c>
      <c r="C1572" s="15" t="s">
        <v>756</v>
      </c>
      <c r="D1572" s="15" t="s">
        <v>847</v>
      </c>
      <c r="E1572" s="15"/>
      <c r="F1572" s="15" t="s">
        <v>876</v>
      </c>
      <c r="G1572" s="15" t="s">
        <v>112</v>
      </c>
      <c r="H1572" s="15"/>
    </row>
    <row r="1573" customFormat="false" ht="26.25" hidden="false" customHeight="true" outlineLevel="0" collapsed="false">
      <c r="A1573" s="15" t="s">
        <v>234</v>
      </c>
      <c r="B1573" s="15" t="s">
        <v>235</v>
      </c>
      <c r="C1573" s="15" t="s">
        <v>757</v>
      </c>
      <c r="D1573" s="15" t="s">
        <v>758</v>
      </c>
      <c r="E1573" s="15"/>
      <c r="F1573" s="15" t="s">
        <v>876</v>
      </c>
      <c r="G1573" s="15" t="s">
        <v>112</v>
      </c>
      <c r="H1573" s="15"/>
    </row>
    <row r="1574" customFormat="false" ht="26.25" hidden="false" customHeight="true" outlineLevel="0" collapsed="false">
      <c r="A1574" s="15" t="s">
        <v>234</v>
      </c>
      <c r="B1574" s="15" t="s">
        <v>235</v>
      </c>
      <c r="C1574" s="15" t="s">
        <v>759</v>
      </c>
      <c r="D1574" s="15" t="s">
        <v>760</v>
      </c>
      <c r="E1574" s="15"/>
      <c r="F1574" s="15" t="s">
        <v>876</v>
      </c>
      <c r="G1574" s="15" t="s">
        <v>112</v>
      </c>
      <c r="H1574" s="15"/>
    </row>
    <row r="1575" customFormat="false" ht="26.25" hidden="false" customHeight="true" outlineLevel="0" collapsed="false">
      <c r="A1575" s="15" t="s">
        <v>234</v>
      </c>
      <c r="B1575" s="15" t="s">
        <v>235</v>
      </c>
      <c r="C1575" s="15" t="s">
        <v>761</v>
      </c>
      <c r="D1575" s="15" t="s">
        <v>755</v>
      </c>
      <c r="E1575" s="15"/>
      <c r="F1575" s="15" t="s">
        <v>876</v>
      </c>
      <c r="G1575" s="15" t="s">
        <v>112</v>
      </c>
      <c r="H1575" s="15"/>
    </row>
    <row r="1576" customFormat="false" ht="26.25" hidden="false" customHeight="true" outlineLevel="0" collapsed="false">
      <c r="A1576" s="15" t="s">
        <v>234</v>
      </c>
      <c r="B1576" s="15" t="s">
        <v>235</v>
      </c>
      <c r="C1576" s="15" t="s">
        <v>762</v>
      </c>
      <c r="D1576" s="15" t="s">
        <v>755</v>
      </c>
      <c r="E1576" s="15"/>
      <c r="F1576" s="15" t="s">
        <v>876</v>
      </c>
      <c r="G1576" s="15" t="s">
        <v>112</v>
      </c>
      <c r="H1576" s="15"/>
    </row>
    <row r="1577" customFormat="false" ht="26.25" hidden="false" customHeight="true" outlineLevel="0" collapsed="false">
      <c r="A1577" s="15" t="s">
        <v>234</v>
      </c>
      <c r="B1577" s="15" t="s">
        <v>235</v>
      </c>
      <c r="C1577" s="15" t="s">
        <v>92</v>
      </c>
      <c r="D1577" s="15" t="s">
        <v>755</v>
      </c>
      <c r="E1577" s="15"/>
      <c r="F1577" s="15" t="s">
        <v>876</v>
      </c>
      <c r="G1577" s="15" t="s">
        <v>112</v>
      </c>
      <c r="H1577" s="15"/>
    </row>
    <row r="1578" customFormat="false" ht="26.25" hidden="false" customHeight="true" outlineLevel="0" collapsed="false">
      <c r="A1578" s="15" t="s">
        <v>234</v>
      </c>
      <c r="B1578" s="15" t="s">
        <v>235</v>
      </c>
      <c r="C1578" s="15" t="s">
        <v>848</v>
      </c>
      <c r="D1578" s="15" t="s">
        <v>849</v>
      </c>
      <c r="E1578" s="15"/>
      <c r="F1578" s="15" t="s">
        <v>876</v>
      </c>
      <c r="G1578" s="15" t="s">
        <v>112</v>
      </c>
      <c r="H1578" s="15"/>
    </row>
    <row r="1579" customFormat="false" ht="26.25" hidden="false" customHeight="true" outlineLevel="0" collapsed="false">
      <c r="A1579" s="15" t="s">
        <v>234</v>
      </c>
      <c r="B1579" s="15" t="s">
        <v>235</v>
      </c>
      <c r="C1579" s="15" t="s">
        <v>747</v>
      </c>
      <c r="D1579" s="15" t="s">
        <v>885</v>
      </c>
      <c r="E1579" s="15"/>
      <c r="F1579" s="15" t="s">
        <v>876</v>
      </c>
      <c r="G1579" s="15" t="s">
        <v>112</v>
      </c>
      <c r="H1579" s="15"/>
    </row>
    <row r="1580" customFormat="false" ht="26.25" hidden="false" customHeight="true" outlineLevel="0" collapsed="false">
      <c r="A1580" s="15" t="s">
        <v>234</v>
      </c>
      <c r="B1580" s="15" t="s">
        <v>235</v>
      </c>
      <c r="C1580" s="15" t="s">
        <v>851</v>
      </c>
      <c r="D1580" s="15" t="s">
        <v>852</v>
      </c>
      <c r="E1580" s="15"/>
      <c r="F1580" s="15" t="s">
        <v>876</v>
      </c>
      <c r="G1580" s="15" t="s">
        <v>112</v>
      </c>
      <c r="H1580" s="15"/>
    </row>
    <row r="1581" customFormat="false" ht="26.25" hidden="false" customHeight="true" outlineLevel="0" collapsed="false">
      <c r="A1581" s="15" t="s">
        <v>234</v>
      </c>
      <c r="B1581" s="15" t="s">
        <v>235</v>
      </c>
      <c r="C1581" s="15" t="s">
        <v>853</v>
      </c>
      <c r="D1581" s="15" t="s">
        <v>120</v>
      </c>
      <c r="E1581" s="15"/>
      <c r="F1581" s="15" t="s">
        <v>876</v>
      </c>
      <c r="G1581" s="15" t="s">
        <v>112</v>
      </c>
      <c r="H1581" s="15"/>
    </row>
    <row r="1582" customFormat="false" ht="26.25" hidden="false" customHeight="true" outlineLevel="0" collapsed="false">
      <c r="A1582" s="15" t="s">
        <v>234</v>
      </c>
      <c r="B1582" s="15" t="s">
        <v>235</v>
      </c>
      <c r="C1582" s="15" t="s">
        <v>854</v>
      </c>
      <c r="D1582" s="15" t="s">
        <v>755</v>
      </c>
      <c r="E1582" s="15"/>
      <c r="F1582" s="15" t="s">
        <v>876</v>
      </c>
      <c r="G1582" s="15" t="s">
        <v>112</v>
      </c>
      <c r="H1582" s="15"/>
    </row>
    <row r="1583" customFormat="false" ht="26.25" hidden="false" customHeight="true" outlineLevel="0" collapsed="false">
      <c r="A1583" s="15" t="s">
        <v>234</v>
      </c>
      <c r="B1583" s="15" t="s">
        <v>235</v>
      </c>
      <c r="C1583" s="15" t="s">
        <v>855</v>
      </c>
      <c r="D1583" s="15" t="s">
        <v>862</v>
      </c>
      <c r="E1583" s="15"/>
      <c r="F1583" s="15" t="s">
        <v>876</v>
      </c>
      <c r="G1583" s="15" t="s">
        <v>112</v>
      </c>
      <c r="H1583" s="15"/>
    </row>
    <row r="1584" customFormat="false" ht="26.25" hidden="false" customHeight="true" outlineLevel="0" collapsed="false">
      <c r="A1584" s="15" t="s">
        <v>234</v>
      </c>
      <c r="B1584" s="15" t="s">
        <v>235</v>
      </c>
      <c r="C1584" s="15" t="s">
        <v>857</v>
      </c>
      <c r="D1584" s="15" t="s">
        <v>755</v>
      </c>
      <c r="E1584" s="15"/>
      <c r="F1584" s="15" t="s">
        <v>876</v>
      </c>
      <c r="G1584" s="15" t="s">
        <v>112</v>
      </c>
      <c r="H1584" s="15"/>
    </row>
    <row r="1585" customFormat="false" ht="26.25" hidden="false" customHeight="true" outlineLevel="0" collapsed="false">
      <c r="A1585" s="15" t="s">
        <v>234</v>
      </c>
      <c r="B1585" s="15" t="s">
        <v>235</v>
      </c>
      <c r="C1585" s="15" t="s">
        <v>886</v>
      </c>
      <c r="D1585" s="15" t="s">
        <v>755</v>
      </c>
      <c r="E1585" s="15"/>
      <c r="F1585" s="15" t="s">
        <v>876</v>
      </c>
      <c r="G1585" s="15" t="s">
        <v>112</v>
      </c>
      <c r="H1585" s="15"/>
    </row>
    <row r="1586" customFormat="false" ht="15" hidden="false" customHeight="true" outlineLevel="0" collapsed="false">
      <c r="A1586" s="15" t="s">
        <v>204</v>
      </c>
      <c r="B1586" s="15" t="s">
        <v>205</v>
      </c>
      <c r="C1586" s="15" t="s">
        <v>714</v>
      </c>
      <c r="D1586" s="15" t="n">
        <v>380</v>
      </c>
      <c r="E1586" s="15" t="s">
        <v>715</v>
      </c>
      <c r="F1586" s="15" t="s">
        <v>876</v>
      </c>
      <c r="G1586" s="15" t="s">
        <v>112</v>
      </c>
      <c r="H1586" s="15"/>
    </row>
    <row r="1587" customFormat="false" ht="15" hidden="false" customHeight="true" outlineLevel="0" collapsed="false">
      <c r="A1587" s="15" t="s">
        <v>204</v>
      </c>
      <c r="B1587" s="15" t="s">
        <v>205</v>
      </c>
      <c r="C1587" s="15" t="s">
        <v>718</v>
      </c>
      <c r="D1587" s="15" t="s">
        <v>113</v>
      </c>
      <c r="E1587" s="15"/>
      <c r="F1587" s="15" t="s">
        <v>876</v>
      </c>
      <c r="G1587" s="15" t="s">
        <v>112</v>
      </c>
      <c r="H1587" s="15"/>
    </row>
    <row r="1588" customFormat="false" ht="15" hidden="false" customHeight="true" outlineLevel="0" collapsed="false">
      <c r="A1588" s="15" t="s">
        <v>204</v>
      </c>
      <c r="B1588" s="15" t="s">
        <v>205</v>
      </c>
      <c r="C1588" s="15" t="s">
        <v>719</v>
      </c>
      <c r="D1588" s="15" t="n">
        <v>20</v>
      </c>
      <c r="E1588" s="15" t="s">
        <v>720</v>
      </c>
      <c r="F1588" s="15" t="s">
        <v>876</v>
      </c>
      <c r="G1588" s="15" t="s">
        <v>112</v>
      </c>
      <c r="H1588" s="15"/>
    </row>
    <row r="1589" customFormat="false" ht="15" hidden="false" customHeight="true" outlineLevel="0" collapsed="false">
      <c r="A1589" s="15" t="s">
        <v>204</v>
      </c>
      <c r="B1589" s="15" t="s">
        <v>205</v>
      </c>
      <c r="C1589" s="15" t="s">
        <v>722</v>
      </c>
      <c r="D1589" s="15" t="s">
        <v>877</v>
      </c>
      <c r="E1589" s="15" t="s">
        <v>723</v>
      </c>
      <c r="F1589" s="15" t="s">
        <v>876</v>
      </c>
      <c r="G1589" s="15" t="s">
        <v>112</v>
      </c>
      <c r="H1589" s="15"/>
    </row>
    <row r="1590" customFormat="false" ht="15" hidden="false" customHeight="true" outlineLevel="0" collapsed="false">
      <c r="A1590" s="15" t="s">
        <v>204</v>
      </c>
      <c r="B1590" s="15" t="s">
        <v>205</v>
      </c>
      <c r="C1590" s="15" t="s">
        <v>724</v>
      </c>
      <c r="D1590" s="15" t="n">
        <v>150</v>
      </c>
      <c r="E1590" s="15" t="s">
        <v>723</v>
      </c>
      <c r="F1590" s="15" t="s">
        <v>876</v>
      </c>
      <c r="G1590" s="15" t="s">
        <v>112</v>
      </c>
      <c r="H1590" s="15"/>
    </row>
    <row r="1591" customFormat="false" ht="15" hidden="false" customHeight="true" outlineLevel="0" collapsed="false">
      <c r="A1591" s="15" t="s">
        <v>204</v>
      </c>
      <c r="B1591" s="15" t="s">
        <v>205</v>
      </c>
      <c r="C1591" s="15" t="s">
        <v>84</v>
      </c>
      <c r="D1591" s="15" t="n">
        <v>205</v>
      </c>
      <c r="E1591" s="15" t="s">
        <v>725</v>
      </c>
      <c r="F1591" s="15" t="s">
        <v>876</v>
      </c>
      <c r="G1591" s="15" t="s">
        <v>112</v>
      </c>
      <c r="H1591" s="15"/>
    </row>
    <row r="1592" customFormat="false" ht="15" hidden="false" customHeight="true" outlineLevel="0" collapsed="false">
      <c r="A1592" s="15" t="s">
        <v>204</v>
      </c>
      <c r="B1592" s="15" t="s">
        <v>205</v>
      </c>
      <c r="C1592" s="15" t="s">
        <v>726</v>
      </c>
      <c r="D1592" s="15" t="n">
        <v>4737</v>
      </c>
      <c r="E1592" s="15" t="s">
        <v>725</v>
      </c>
      <c r="F1592" s="15" t="s">
        <v>876</v>
      </c>
      <c r="G1592" s="15" t="s">
        <v>112</v>
      </c>
      <c r="H1592" s="15"/>
    </row>
    <row r="1593" customFormat="false" ht="15" hidden="false" customHeight="true" outlineLevel="0" collapsed="false">
      <c r="A1593" s="15" t="s">
        <v>204</v>
      </c>
      <c r="B1593" s="15" t="s">
        <v>205</v>
      </c>
      <c r="C1593" s="15" t="s">
        <v>727</v>
      </c>
      <c r="D1593" s="15" t="n">
        <v>1900</v>
      </c>
      <c r="E1593" s="15" t="s">
        <v>725</v>
      </c>
      <c r="F1593" s="15" t="s">
        <v>876</v>
      </c>
      <c r="G1593" s="15" t="s">
        <v>112</v>
      </c>
      <c r="H1593" s="15"/>
    </row>
    <row r="1594" customFormat="false" ht="15" hidden="false" customHeight="true" outlineLevel="0" collapsed="false">
      <c r="A1594" s="15" t="s">
        <v>204</v>
      </c>
      <c r="B1594" s="15" t="s">
        <v>205</v>
      </c>
      <c r="C1594" s="15" t="s">
        <v>728</v>
      </c>
      <c r="D1594" s="15" t="n">
        <v>1747</v>
      </c>
      <c r="E1594" s="15" t="s">
        <v>725</v>
      </c>
      <c r="F1594" s="15" t="s">
        <v>876</v>
      </c>
      <c r="G1594" s="15" t="s">
        <v>112</v>
      </c>
      <c r="H1594" s="15"/>
    </row>
    <row r="1595" customFormat="false" ht="15" hidden="false" customHeight="true" outlineLevel="0" collapsed="false">
      <c r="A1595" s="15" t="s">
        <v>204</v>
      </c>
      <c r="B1595" s="15" t="s">
        <v>205</v>
      </c>
      <c r="C1595" s="15" t="s">
        <v>729</v>
      </c>
      <c r="D1595" s="15" t="n">
        <v>2762</v>
      </c>
      <c r="E1595" s="15" t="s">
        <v>725</v>
      </c>
      <c r="F1595" s="15" t="s">
        <v>876</v>
      </c>
      <c r="G1595" s="15" t="s">
        <v>112</v>
      </c>
      <c r="H1595" s="15"/>
    </row>
    <row r="1596" customFormat="false" ht="15" hidden="false" customHeight="true" outlineLevel="0" collapsed="false">
      <c r="A1596" s="15" t="s">
        <v>204</v>
      </c>
      <c r="B1596" s="15" t="s">
        <v>205</v>
      </c>
      <c r="C1596" s="15" t="s">
        <v>730</v>
      </c>
      <c r="D1596" s="15" t="n">
        <v>10</v>
      </c>
      <c r="E1596" s="15" t="s">
        <v>731</v>
      </c>
      <c r="F1596" s="15" t="s">
        <v>876</v>
      </c>
      <c r="G1596" s="15" t="s">
        <v>112</v>
      </c>
      <c r="H1596" s="15"/>
    </row>
    <row r="1597" customFormat="false" ht="15" hidden="false" customHeight="true" outlineLevel="0" collapsed="false">
      <c r="A1597" s="15" t="s">
        <v>204</v>
      </c>
      <c r="B1597" s="15" t="s">
        <v>205</v>
      </c>
      <c r="C1597" s="15" t="s">
        <v>776</v>
      </c>
      <c r="D1597" s="15" t="s">
        <v>878</v>
      </c>
      <c r="E1597" s="15"/>
      <c r="F1597" s="15" t="s">
        <v>876</v>
      </c>
      <c r="G1597" s="15" t="s">
        <v>112</v>
      </c>
      <c r="H1597" s="15"/>
    </row>
    <row r="1598" customFormat="false" ht="15" hidden="false" customHeight="true" outlineLevel="0" collapsed="false">
      <c r="A1598" s="15" t="s">
        <v>204</v>
      </c>
      <c r="B1598" s="15" t="s">
        <v>205</v>
      </c>
      <c r="C1598" s="15" t="s">
        <v>780</v>
      </c>
      <c r="D1598" s="15" t="s">
        <v>781</v>
      </c>
      <c r="E1598" s="15"/>
      <c r="F1598" s="15" t="s">
        <v>876</v>
      </c>
      <c r="G1598" s="15" t="s">
        <v>112</v>
      </c>
      <c r="H1598" s="15"/>
    </row>
    <row r="1599" customFormat="false" ht="15" hidden="false" customHeight="true" outlineLevel="0" collapsed="false">
      <c r="A1599" s="15" t="s">
        <v>204</v>
      </c>
      <c r="B1599" s="15" t="s">
        <v>205</v>
      </c>
      <c r="C1599" s="15" t="s">
        <v>789</v>
      </c>
      <c r="D1599" s="15" t="s">
        <v>790</v>
      </c>
      <c r="E1599" s="15"/>
      <c r="F1599" s="15" t="s">
        <v>876</v>
      </c>
      <c r="G1599" s="15" t="s">
        <v>112</v>
      </c>
      <c r="H1599" s="15"/>
    </row>
    <row r="1600" customFormat="false" ht="15" hidden="false" customHeight="true" outlineLevel="0" collapsed="false">
      <c r="A1600" s="15" t="s">
        <v>204</v>
      </c>
      <c r="B1600" s="15" t="s">
        <v>205</v>
      </c>
      <c r="C1600" s="15" t="s">
        <v>784</v>
      </c>
      <c r="D1600" s="15" t="n">
        <v>11</v>
      </c>
      <c r="E1600" s="15" t="s">
        <v>738</v>
      </c>
      <c r="F1600" s="15" t="s">
        <v>879</v>
      </c>
      <c r="G1600" s="15" t="s">
        <v>112</v>
      </c>
      <c r="H1600" s="15"/>
    </row>
    <row r="1601" customFormat="false" ht="15" hidden="false" customHeight="true" outlineLevel="0" collapsed="false">
      <c r="A1601" s="15" t="s">
        <v>204</v>
      </c>
      <c r="B1601" s="15" t="s">
        <v>205</v>
      </c>
      <c r="C1601" s="15" t="s">
        <v>782</v>
      </c>
      <c r="D1601" s="15" t="n">
        <v>36</v>
      </c>
      <c r="E1601" s="15" t="s">
        <v>783</v>
      </c>
      <c r="F1601" s="15" t="s">
        <v>879</v>
      </c>
      <c r="G1601" s="15" t="s">
        <v>112</v>
      </c>
      <c r="H1601" s="15"/>
    </row>
    <row r="1602" customFormat="false" ht="15" hidden="false" customHeight="true" outlineLevel="0" collapsed="false">
      <c r="A1602" s="15" t="s">
        <v>204</v>
      </c>
      <c r="B1602" s="15" t="s">
        <v>205</v>
      </c>
      <c r="C1602" s="15" t="s">
        <v>90</v>
      </c>
      <c r="D1602" s="15" t="s">
        <v>880</v>
      </c>
      <c r="E1602" s="15"/>
      <c r="F1602" s="15" t="s">
        <v>876</v>
      </c>
      <c r="G1602" s="15" t="s">
        <v>112</v>
      </c>
      <c r="H1602" s="15"/>
    </row>
    <row r="1603" customFormat="false" ht="26.25" hidden="false" customHeight="true" outlineLevel="0" collapsed="false">
      <c r="A1603" s="15" t="s">
        <v>204</v>
      </c>
      <c r="B1603" s="15" t="s">
        <v>205</v>
      </c>
      <c r="C1603" s="15" t="s">
        <v>875</v>
      </c>
      <c r="D1603" s="15" t="n">
        <v>3.2</v>
      </c>
      <c r="E1603" s="15"/>
      <c r="F1603" s="15" t="s">
        <v>876</v>
      </c>
      <c r="G1603" s="15" t="s">
        <v>819</v>
      </c>
      <c r="H1603" s="15" t="s">
        <v>881</v>
      </c>
    </row>
    <row r="1604" customFormat="false" ht="15" hidden="false" customHeight="true" outlineLevel="0" collapsed="false">
      <c r="A1604" s="15" t="s">
        <v>204</v>
      </c>
      <c r="B1604" s="15" t="s">
        <v>205</v>
      </c>
      <c r="C1604" s="15" t="s">
        <v>772</v>
      </c>
      <c r="D1604" s="15" t="n">
        <v>60000</v>
      </c>
      <c r="E1604" s="15" t="s">
        <v>773</v>
      </c>
      <c r="F1604" s="15" t="s">
        <v>882</v>
      </c>
      <c r="G1604" s="15" t="s">
        <v>112</v>
      </c>
      <c r="H1604" s="15"/>
    </row>
    <row r="1605" customFormat="false" ht="15" hidden="false" customHeight="true" outlineLevel="0" collapsed="false">
      <c r="A1605" s="15" t="s">
        <v>204</v>
      </c>
      <c r="B1605" s="15" t="s">
        <v>205</v>
      </c>
      <c r="C1605" s="15" t="s">
        <v>775</v>
      </c>
      <c r="D1605" s="15" t="n">
        <v>75000</v>
      </c>
      <c r="E1605" s="15" t="s">
        <v>773</v>
      </c>
      <c r="F1605" s="15" t="s">
        <v>882</v>
      </c>
      <c r="G1605" s="15" t="s">
        <v>112</v>
      </c>
      <c r="H1605" s="15"/>
    </row>
    <row r="1606" customFormat="false" ht="26.25" hidden="false" customHeight="true" outlineLevel="0" collapsed="false">
      <c r="A1606" s="15" t="s">
        <v>204</v>
      </c>
      <c r="B1606" s="15" t="s">
        <v>205</v>
      </c>
      <c r="C1606" s="15" t="s">
        <v>98</v>
      </c>
      <c r="D1606" s="15" t="s">
        <v>732</v>
      </c>
      <c r="E1606" s="15"/>
      <c r="F1606" s="15" t="s">
        <v>876</v>
      </c>
      <c r="G1606" s="15" t="s">
        <v>112</v>
      </c>
      <c r="H1606" s="15"/>
    </row>
    <row r="1607" customFormat="false" ht="26.25" hidden="false" customHeight="true" outlineLevel="0" collapsed="false">
      <c r="A1607" s="15" t="s">
        <v>204</v>
      </c>
      <c r="B1607" s="15" t="s">
        <v>205</v>
      </c>
      <c r="C1607" s="15" t="s">
        <v>830</v>
      </c>
      <c r="D1607" s="15" t="s">
        <v>831</v>
      </c>
      <c r="E1607" s="15"/>
      <c r="F1607" s="15" t="s">
        <v>883</v>
      </c>
      <c r="G1607" s="15" t="s">
        <v>112</v>
      </c>
      <c r="H1607" s="15"/>
    </row>
    <row r="1608" customFormat="false" ht="15" hidden="false" customHeight="true" outlineLevel="0" collapsed="false">
      <c r="A1608" s="15" t="s">
        <v>204</v>
      </c>
      <c r="B1608" s="15" t="s">
        <v>205</v>
      </c>
      <c r="C1608" s="15" t="s">
        <v>833</v>
      </c>
      <c r="D1608" s="15" t="s">
        <v>834</v>
      </c>
      <c r="E1608" s="15"/>
      <c r="F1608" s="15" t="s">
        <v>883</v>
      </c>
      <c r="G1608" s="15" t="s">
        <v>112</v>
      </c>
      <c r="H1608" s="15"/>
    </row>
    <row r="1609" customFormat="false" ht="15" hidden="false" customHeight="true" outlineLevel="0" collapsed="false">
      <c r="A1609" s="15" t="s">
        <v>204</v>
      </c>
      <c r="B1609" s="15" t="s">
        <v>205</v>
      </c>
      <c r="C1609" s="15" t="s">
        <v>835</v>
      </c>
      <c r="D1609" s="15" t="s">
        <v>836</v>
      </c>
      <c r="E1609" s="15"/>
      <c r="F1609" s="15" t="s">
        <v>883</v>
      </c>
      <c r="G1609" s="15" t="s">
        <v>112</v>
      </c>
      <c r="H1609" s="15"/>
    </row>
    <row r="1610" customFormat="false" ht="15" hidden="false" customHeight="true" outlineLevel="0" collapsed="false">
      <c r="A1610" s="15" t="s">
        <v>204</v>
      </c>
      <c r="B1610" s="15" t="s">
        <v>205</v>
      </c>
      <c r="C1610" s="15" t="s">
        <v>837</v>
      </c>
      <c r="D1610" s="15" t="n">
        <v>10000</v>
      </c>
      <c r="E1610" s="15" t="s">
        <v>838</v>
      </c>
      <c r="F1610" s="15" t="s">
        <v>883</v>
      </c>
      <c r="G1610" s="15" t="s">
        <v>112</v>
      </c>
      <c r="H1610" s="15"/>
    </row>
    <row r="1611" customFormat="false" ht="26.25" hidden="false" customHeight="true" outlineLevel="0" collapsed="false">
      <c r="A1611" s="15" t="s">
        <v>204</v>
      </c>
      <c r="B1611" s="15" t="s">
        <v>205</v>
      </c>
      <c r="C1611" s="15" t="s">
        <v>839</v>
      </c>
      <c r="D1611" s="15" t="s">
        <v>840</v>
      </c>
      <c r="E1611" s="15"/>
      <c r="F1611" s="15" t="s">
        <v>883</v>
      </c>
      <c r="G1611" s="15" t="s">
        <v>112</v>
      </c>
      <c r="H1611" s="15"/>
    </row>
    <row r="1612" customFormat="false" ht="15" hidden="false" customHeight="true" outlineLevel="0" collapsed="false">
      <c r="A1612" s="15" t="s">
        <v>204</v>
      </c>
      <c r="B1612" s="15" t="s">
        <v>205</v>
      </c>
      <c r="C1612" s="15" t="s">
        <v>841</v>
      </c>
      <c r="D1612" s="15" t="s">
        <v>842</v>
      </c>
      <c r="E1612" s="15"/>
      <c r="F1612" s="15" t="s">
        <v>883</v>
      </c>
      <c r="G1612" s="15" t="s">
        <v>112</v>
      </c>
      <c r="H1612" s="15"/>
    </row>
    <row r="1613" customFormat="false" ht="15" hidden="false" customHeight="true" outlineLevel="0" collapsed="false">
      <c r="A1613" s="15" t="s">
        <v>204</v>
      </c>
      <c r="B1613" s="15" t="s">
        <v>205</v>
      </c>
      <c r="C1613" s="15" t="s">
        <v>843</v>
      </c>
      <c r="D1613" s="15" t="s">
        <v>844</v>
      </c>
      <c r="E1613" s="15"/>
      <c r="F1613" s="15" t="s">
        <v>876</v>
      </c>
      <c r="G1613" s="15" t="s">
        <v>112</v>
      </c>
      <c r="H1613" s="15"/>
    </row>
    <row r="1614" customFormat="false" ht="15" hidden="false" customHeight="true" outlineLevel="0" collapsed="false">
      <c r="A1614" s="15" t="s">
        <v>204</v>
      </c>
      <c r="B1614" s="15" t="s">
        <v>205</v>
      </c>
      <c r="C1614" s="15" t="s">
        <v>737</v>
      </c>
      <c r="D1614" s="15" t="n">
        <v>210</v>
      </c>
      <c r="E1614" s="15" t="s">
        <v>738</v>
      </c>
      <c r="F1614" s="15" t="s">
        <v>876</v>
      </c>
      <c r="G1614" s="15" t="s">
        <v>112</v>
      </c>
      <c r="H1614" s="15"/>
    </row>
    <row r="1615" customFormat="false" ht="15" hidden="false" customHeight="true" outlineLevel="0" collapsed="false">
      <c r="A1615" s="15" t="s">
        <v>204</v>
      </c>
      <c r="B1615" s="15" t="s">
        <v>205</v>
      </c>
      <c r="C1615" s="15" t="s">
        <v>739</v>
      </c>
      <c r="D1615" s="15" t="n">
        <v>180</v>
      </c>
      <c r="E1615" s="15" t="s">
        <v>738</v>
      </c>
      <c r="F1615" s="15" t="s">
        <v>876</v>
      </c>
      <c r="G1615" s="15" t="s">
        <v>112</v>
      </c>
      <c r="H1615" s="15"/>
    </row>
    <row r="1616" customFormat="false" ht="26.25" hidden="false" customHeight="true" outlineLevel="0" collapsed="false">
      <c r="A1616" s="15" t="s">
        <v>204</v>
      </c>
      <c r="B1616" s="15" t="s">
        <v>205</v>
      </c>
      <c r="C1616" s="15" t="s">
        <v>740</v>
      </c>
      <c r="D1616" s="15" t="n">
        <v>8</v>
      </c>
      <c r="E1616" s="15" t="s">
        <v>741</v>
      </c>
      <c r="F1616" s="15" t="s">
        <v>876</v>
      </c>
      <c r="G1616" s="15" t="s">
        <v>112</v>
      </c>
      <c r="H1616" s="15"/>
    </row>
    <row r="1617" customFormat="false" ht="15" hidden="false" customHeight="true" outlineLevel="0" collapsed="false">
      <c r="A1617" s="15" t="s">
        <v>204</v>
      </c>
      <c r="B1617" s="15" t="s">
        <v>205</v>
      </c>
      <c r="C1617" s="15" t="s">
        <v>742</v>
      </c>
      <c r="D1617" s="15" t="n">
        <v>11.7</v>
      </c>
      <c r="E1617" s="15" t="s">
        <v>741</v>
      </c>
      <c r="F1617" s="15" t="s">
        <v>876</v>
      </c>
      <c r="G1617" s="15" t="s">
        <v>112</v>
      </c>
      <c r="H1617" s="15"/>
    </row>
    <row r="1618" customFormat="false" ht="15" hidden="false" customHeight="true" outlineLevel="0" collapsed="false">
      <c r="A1618" s="15" t="s">
        <v>204</v>
      </c>
      <c r="B1618" s="15" t="s">
        <v>205</v>
      </c>
      <c r="C1618" s="15" t="s">
        <v>733</v>
      </c>
      <c r="D1618" s="15" t="s">
        <v>808</v>
      </c>
      <c r="E1618" s="15"/>
      <c r="F1618" s="15" t="s">
        <v>882</v>
      </c>
      <c r="G1618" s="15" t="s">
        <v>112</v>
      </c>
      <c r="H1618" s="15"/>
    </row>
    <row r="1619" customFormat="false" ht="15" hidden="false" customHeight="true" outlineLevel="0" collapsed="false">
      <c r="A1619" s="15" t="s">
        <v>204</v>
      </c>
      <c r="B1619" s="15" t="s">
        <v>205</v>
      </c>
      <c r="C1619" s="15" t="s">
        <v>785</v>
      </c>
      <c r="D1619" s="15" t="n">
        <v>409</v>
      </c>
      <c r="E1619" s="15" t="s">
        <v>786</v>
      </c>
      <c r="F1619" s="15" t="s">
        <v>879</v>
      </c>
      <c r="G1619" s="15" t="s">
        <v>112</v>
      </c>
      <c r="H1619" s="15"/>
    </row>
    <row r="1620" customFormat="false" ht="26.25" hidden="false" customHeight="true" outlineLevel="0" collapsed="false">
      <c r="A1620" s="15" t="s">
        <v>204</v>
      </c>
      <c r="B1620" s="15" t="s">
        <v>205</v>
      </c>
      <c r="C1620" s="15" t="s">
        <v>887</v>
      </c>
      <c r="D1620" s="15" t="s">
        <v>888</v>
      </c>
      <c r="E1620" s="15"/>
      <c r="F1620" s="15" t="s">
        <v>889</v>
      </c>
      <c r="G1620" s="15" t="s">
        <v>112</v>
      </c>
      <c r="H1620" s="15" t="s">
        <v>890</v>
      </c>
    </row>
    <row r="1621" customFormat="false" ht="15" hidden="false" customHeight="true" outlineLevel="0" collapsed="false">
      <c r="A1621" s="15" t="s">
        <v>204</v>
      </c>
      <c r="B1621" s="15" t="s">
        <v>205</v>
      </c>
      <c r="C1621" s="15" t="s">
        <v>769</v>
      </c>
      <c r="D1621" s="15" t="s">
        <v>198</v>
      </c>
      <c r="E1621" s="15" t="s">
        <v>721</v>
      </c>
      <c r="F1621" s="15" t="s">
        <v>876</v>
      </c>
      <c r="G1621" s="15" t="s">
        <v>112</v>
      </c>
      <c r="H1621" s="15"/>
    </row>
    <row r="1622" customFormat="false" ht="15" hidden="false" customHeight="true" outlineLevel="0" collapsed="false">
      <c r="A1622" s="15" t="s">
        <v>204</v>
      </c>
      <c r="B1622" s="15" t="s">
        <v>205</v>
      </c>
      <c r="C1622" s="15" t="s">
        <v>86</v>
      </c>
      <c r="D1622" s="15" t="n">
        <v>6</v>
      </c>
      <c r="E1622" s="15" t="s">
        <v>721</v>
      </c>
      <c r="F1622" s="15" t="s">
        <v>876</v>
      </c>
      <c r="G1622" s="15" t="s">
        <v>112</v>
      </c>
      <c r="H1622" s="15"/>
    </row>
    <row r="1623" customFormat="false" ht="15" hidden="false" customHeight="true" outlineLevel="0" collapsed="false">
      <c r="A1623" s="15" t="s">
        <v>204</v>
      </c>
      <c r="B1623" s="15" t="s">
        <v>205</v>
      </c>
      <c r="C1623" s="15" t="s">
        <v>764</v>
      </c>
      <c r="D1623" s="15" t="s">
        <v>755</v>
      </c>
      <c r="E1623" s="15"/>
      <c r="F1623" s="15" t="s">
        <v>876</v>
      </c>
      <c r="G1623" s="15" t="s">
        <v>112</v>
      </c>
      <c r="H1623" s="15"/>
    </row>
    <row r="1624" customFormat="false" ht="15" hidden="false" customHeight="true" outlineLevel="0" collapsed="false">
      <c r="A1624" s="15" t="s">
        <v>204</v>
      </c>
      <c r="B1624" s="15" t="s">
        <v>205</v>
      </c>
      <c r="C1624" s="15" t="s">
        <v>749</v>
      </c>
      <c r="D1624" s="15" t="s">
        <v>120</v>
      </c>
      <c r="E1624" s="15"/>
      <c r="F1624" s="15" t="s">
        <v>876</v>
      </c>
      <c r="G1624" s="15" t="s">
        <v>112</v>
      </c>
      <c r="H1624" s="15"/>
    </row>
    <row r="1625" customFormat="false" ht="15" hidden="false" customHeight="true" outlineLevel="0" collapsed="false">
      <c r="A1625" s="15" t="s">
        <v>204</v>
      </c>
      <c r="B1625" s="15" t="s">
        <v>205</v>
      </c>
      <c r="C1625" s="15" t="s">
        <v>752</v>
      </c>
      <c r="D1625" s="15" t="s">
        <v>753</v>
      </c>
      <c r="E1625" s="15"/>
      <c r="F1625" s="15" t="s">
        <v>876</v>
      </c>
      <c r="G1625" s="15" t="s">
        <v>112</v>
      </c>
      <c r="H1625" s="15"/>
    </row>
    <row r="1626" customFormat="false" ht="15" hidden="false" customHeight="true" outlineLevel="0" collapsed="false">
      <c r="A1626" s="15" t="s">
        <v>204</v>
      </c>
      <c r="B1626" s="15" t="s">
        <v>205</v>
      </c>
      <c r="C1626" s="15" t="s">
        <v>754</v>
      </c>
      <c r="D1626" s="15" t="s">
        <v>755</v>
      </c>
      <c r="E1626" s="15"/>
      <c r="F1626" s="15" t="s">
        <v>876</v>
      </c>
      <c r="G1626" s="15" t="s">
        <v>112</v>
      </c>
      <c r="H1626" s="15"/>
    </row>
    <row r="1627" customFormat="false" ht="15" hidden="false" customHeight="true" outlineLevel="0" collapsed="false">
      <c r="A1627" s="15" t="s">
        <v>204</v>
      </c>
      <c r="B1627" s="15" t="s">
        <v>205</v>
      </c>
      <c r="C1627" s="15" t="s">
        <v>884</v>
      </c>
      <c r="D1627" s="15" t="s">
        <v>755</v>
      </c>
      <c r="E1627" s="15"/>
      <c r="F1627" s="15" t="s">
        <v>876</v>
      </c>
      <c r="G1627" s="15" t="s">
        <v>112</v>
      </c>
      <c r="H1627" s="15"/>
    </row>
    <row r="1628" customFormat="false" ht="15" hidden="false" customHeight="true" outlineLevel="0" collapsed="false">
      <c r="A1628" s="15" t="s">
        <v>204</v>
      </c>
      <c r="B1628" s="15" t="s">
        <v>205</v>
      </c>
      <c r="C1628" s="15" t="s">
        <v>756</v>
      </c>
      <c r="D1628" s="15" t="s">
        <v>847</v>
      </c>
      <c r="E1628" s="15"/>
      <c r="F1628" s="15" t="s">
        <v>876</v>
      </c>
      <c r="G1628" s="15" t="s">
        <v>112</v>
      </c>
      <c r="H1628" s="15"/>
    </row>
    <row r="1629" customFormat="false" ht="15" hidden="false" customHeight="true" outlineLevel="0" collapsed="false">
      <c r="A1629" s="15" t="s">
        <v>204</v>
      </c>
      <c r="B1629" s="15" t="s">
        <v>205</v>
      </c>
      <c r="C1629" s="15" t="s">
        <v>757</v>
      </c>
      <c r="D1629" s="15" t="s">
        <v>758</v>
      </c>
      <c r="E1629" s="15"/>
      <c r="F1629" s="15" t="s">
        <v>876</v>
      </c>
      <c r="G1629" s="15" t="s">
        <v>112</v>
      </c>
      <c r="H1629" s="15"/>
    </row>
    <row r="1630" customFormat="false" ht="15" hidden="false" customHeight="true" outlineLevel="0" collapsed="false">
      <c r="A1630" s="15" t="s">
        <v>204</v>
      </c>
      <c r="B1630" s="15" t="s">
        <v>205</v>
      </c>
      <c r="C1630" s="15" t="s">
        <v>759</v>
      </c>
      <c r="D1630" s="15" t="s">
        <v>760</v>
      </c>
      <c r="E1630" s="15"/>
      <c r="F1630" s="15" t="s">
        <v>876</v>
      </c>
      <c r="G1630" s="15" t="s">
        <v>112</v>
      </c>
      <c r="H1630" s="15"/>
    </row>
    <row r="1631" customFormat="false" ht="15" hidden="false" customHeight="true" outlineLevel="0" collapsed="false">
      <c r="A1631" s="15" t="s">
        <v>204</v>
      </c>
      <c r="B1631" s="15" t="s">
        <v>205</v>
      </c>
      <c r="C1631" s="15" t="s">
        <v>761</v>
      </c>
      <c r="D1631" s="15" t="s">
        <v>755</v>
      </c>
      <c r="E1631" s="15"/>
      <c r="F1631" s="15" t="s">
        <v>876</v>
      </c>
      <c r="G1631" s="15" t="s">
        <v>112</v>
      </c>
      <c r="H1631" s="15"/>
    </row>
    <row r="1632" customFormat="false" ht="15" hidden="false" customHeight="true" outlineLevel="0" collapsed="false">
      <c r="A1632" s="15" t="s">
        <v>204</v>
      </c>
      <c r="B1632" s="15" t="s">
        <v>205</v>
      </c>
      <c r="C1632" s="15" t="s">
        <v>762</v>
      </c>
      <c r="D1632" s="15" t="s">
        <v>755</v>
      </c>
      <c r="E1632" s="15"/>
      <c r="F1632" s="15" t="s">
        <v>876</v>
      </c>
      <c r="G1632" s="15" t="s">
        <v>112</v>
      </c>
      <c r="H1632" s="15"/>
    </row>
    <row r="1633" customFormat="false" ht="15" hidden="false" customHeight="true" outlineLevel="0" collapsed="false">
      <c r="A1633" s="15" t="s">
        <v>204</v>
      </c>
      <c r="B1633" s="15" t="s">
        <v>205</v>
      </c>
      <c r="C1633" s="15" t="s">
        <v>92</v>
      </c>
      <c r="D1633" s="15" t="s">
        <v>755</v>
      </c>
      <c r="E1633" s="15"/>
      <c r="F1633" s="15" t="s">
        <v>876</v>
      </c>
      <c r="G1633" s="15" t="s">
        <v>112</v>
      </c>
      <c r="H1633" s="15"/>
    </row>
    <row r="1634" customFormat="false" ht="15" hidden="false" customHeight="true" outlineLevel="0" collapsed="false">
      <c r="A1634" s="15" t="s">
        <v>204</v>
      </c>
      <c r="B1634" s="15" t="s">
        <v>205</v>
      </c>
      <c r="C1634" s="15" t="s">
        <v>848</v>
      </c>
      <c r="D1634" s="15" t="s">
        <v>849</v>
      </c>
      <c r="E1634" s="15"/>
      <c r="F1634" s="15" t="s">
        <v>876</v>
      </c>
      <c r="G1634" s="15" t="s">
        <v>112</v>
      </c>
      <c r="H1634" s="15"/>
    </row>
    <row r="1635" customFormat="false" ht="15" hidden="false" customHeight="true" outlineLevel="0" collapsed="false">
      <c r="A1635" s="15" t="s">
        <v>204</v>
      </c>
      <c r="B1635" s="15" t="s">
        <v>205</v>
      </c>
      <c r="C1635" s="15" t="s">
        <v>747</v>
      </c>
      <c r="D1635" s="15" t="s">
        <v>885</v>
      </c>
      <c r="E1635" s="15"/>
      <c r="F1635" s="15" t="s">
        <v>876</v>
      </c>
      <c r="G1635" s="15" t="s">
        <v>112</v>
      </c>
      <c r="H1635" s="15"/>
    </row>
    <row r="1636" customFormat="false" ht="15" hidden="false" customHeight="true" outlineLevel="0" collapsed="false">
      <c r="A1636" s="15" t="s">
        <v>204</v>
      </c>
      <c r="B1636" s="15" t="s">
        <v>205</v>
      </c>
      <c r="C1636" s="15" t="s">
        <v>851</v>
      </c>
      <c r="D1636" s="15" t="s">
        <v>852</v>
      </c>
      <c r="E1636" s="15"/>
      <c r="F1636" s="15" t="s">
        <v>876</v>
      </c>
      <c r="G1636" s="15" t="s">
        <v>112</v>
      </c>
      <c r="H1636" s="15"/>
    </row>
    <row r="1637" customFormat="false" ht="15" hidden="false" customHeight="true" outlineLevel="0" collapsed="false">
      <c r="A1637" s="15" t="s">
        <v>204</v>
      </c>
      <c r="B1637" s="15" t="s">
        <v>205</v>
      </c>
      <c r="C1637" s="15" t="s">
        <v>853</v>
      </c>
      <c r="D1637" s="15" t="s">
        <v>120</v>
      </c>
      <c r="E1637" s="15"/>
      <c r="F1637" s="15" t="s">
        <v>876</v>
      </c>
      <c r="G1637" s="15" t="s">
        <v>112</v>
      </c>
      <c r="H1637" s="15"/>
    </row>
    <row r="1638" customFormat="false" ht="15" hidden="false" customHeight="true" outlineLevel="0" collapsed="false">
      <c r="A1638" s="15" t="s">
        <v>204</v>
      </c>
      <c r="B1638" s="15" t="s">
        <v>205</v>
      </c>
      <c r="C1638" s="15" t="s">
        <v>854</v>
      </c>
      <c r="D1638" s="15" t="s">
        <v>755</v>
      </c>
      <c r="E1638" s="15"/>
      <c r="F1638" s="15" t="s">
        <v>876</v>
      </c>
      <c r="G1638" s="15" t="s">
        <v>112</v>
      </c>
      <c r="H1638" s="15"/>
    </row>
    <row r="1639" customFormat="false" ht="15" hidden="false" customHeight="true" outlineLevel="0" collapsed="false">
      <c r="A1639" s="15" t="s">
        <v>204</v>
      </c>
      <c r="B1639" s="15" t="s">
        <v>205</v>
      </c>
      <c r="C1639" s="15" t="s">
        <v>855</v>
      </c>
      <c r="D1639" s="15" t="s">
        <v>862</v>
      </c>
      <c r="E1639" s="15"/>
      <c r="F1639" s="15" t="s">
        <v>876</v>
      </c>
      <c r="G1639" s="15" t="s">
        <v>112</v>
      </c>
      <c r="H1639" s="15"/>
    </row>
    <row r="1640" customFormat="false" ht="15" hidden="false" customHeight="true" outlineLevel="0" collapsed="false">
      <c r="A1640" s="15" t="s">
        <v>204</v>
      </c>
      <c r="B1640" s="15" t="s">
        <v>205</v>
      </c>
      <c r="C1640" s="15" t="s">
        <v>857</v>
      </c>
      <c r="D1640" s="15" t="s">
        <v>755</v>
      </c>
      <c r="E1640" s="15"/>
      <c r="F1640" s="15" t="s">
        <v>876</v>
      </c>
      <c r="G1640" s="15" t="s">
        <v>112</v>
      </c>
      <c r="H1640" s="15"/>
    </row>
    <row r="1641" customFormat="false" ht="15" hidden="false" customHeight="true" outlineLevel="0" collapsed="false">
      <c r="A1641" s="15" t="s">
        <v>204</v>
      </c>
      <c r="B1641" s="15" t="s">
        <v>205</v>
      </c>
      <c r="C1641" s="15" t="s">
        <v>886</v>
      </c>
      <c r="D1641" s="15" t="s">
        <v>755</v>
      </c>
      <c r="E1641" s="15"/>
      <c r="F1641" s="15" t="s">
        <v>876</v>
      </c>
      <c r="G1641" s="15" t="s">
        <v>112</v>
      </c>
      <c r="H1641" s="15"/>
    </row>
    <row r="1642" customFormat="false" ht="26.25" hidden="false" customHeight="true" outlineLevel="0" collapsed="false">
      <c r="A1642" s="15" t="s">
        <v>238</v>
      </c>
      <c r="B1642" s="15" t="s">
        <v>239</v>
      </c>
      <c r="C1642" s="15" t="s">
        <v>714</v>
      </c>
      <c r="D1642" s="15" t="n">
        <v>380</v>
      </c>
      <c r="E1642" s="15" t="s">
        <v>715</v>
      </c>
      <c r="F1642" s="15" t="s">
        <v>876</v>
      </c>
      <c r="G1642" s="15" t="s">
        <v>112</v>
      </c>
      <c r="H1642" s="15"/>
    </row>
    <row r="1643" customFormat="false" ht="26.25" hidden="false" customHeight="true" outlineLevel="0" collapsed="false">
      <c r="A1643" s="15" t="s">
        <v>238</v>
      </c>
      <c r="B1643" s="15" t="s">
        <v>239</v>
      </c>
      <c r="C1643" s="15" t="s">
        <v>718</v>
      </c>
      <c r="D1643" s="15" t="s">
        <v>113</v>
      </c>
      <c r="E1643" s="15"/>
      <c r="F1643" s="15" t="s">
        <v>876</v>
      </c>
      <c r="G1643" s="15" t="s">
        <v>112</v>
      </c>
      <c r="H1643" s="15"/>
    </row>
    <row r="1644" customFormat="false" ht="26.25" hidden="false" customHeight="true" outlineLevel="0" collapsed="false">
      <c r="A1644" s="15" t="s">
        <v>238</v>
      </c>
      <c r="B1644" s="15" t="s">
        <v>239</v>
      </c>
      <c r="C1644" s="15" t="s">
        <v>719</v>
      </c>
      <c r="D1644" s="15" t="n">
        <v>20</v>
      </c>
      <c r="E1644" s="15" t="s">
        <v>720</v>
      </c>
      <c r="F1644" s="15" t="s">
        <v>876</v>
      </c>
      <c r="G1644" s="15" t="s">
        <v>112</v>
      </c>
      <c r="H1644" s="15"/>
    </row>
    <row r="1645" customFormat="false" ht="26.25" hidden="false" customHeight="true" outlineLevel="0" collapsed="false">
      <c r="A1645" s="15" t="s">
        <v>238</v>
      </c>
      <c r="B1645" s="15" t="s">
        <v>239</v>
      </c>
      <c r="C1645" s="15" t="s">
        <v>722</v>
      </c>
      <c r="D1645" s="15" t="s">
        <v>877</v>
      </c>
      <c r="E1645" s="15" t="s">
        <v>723</v>
      </c>
      <c r="F1645" s="15" t="s">
        <v>876</v>
      </c>
      <c r="G1645" s="15" t="s">
        <v>112</v>
      </c>
      <c r="H1645" s="15"/>
    </row>
    <row r="1646" customFormat="false" ht="26.25" hidden="false" customHeight="true" outlineLevel="0" collapsed="false">
      <c r="A1646" s="15" t="s">
        <v>238</v>
      </c>
      <c r="B1646" s="15" t="s">
        <v>239</v>
      </c>
      <c r="C1646" s="15" t="s">
        <v>724</v>
      </c>
      <c r="D1646" s="15" t="n">
        <v>150</v>
      </c>
      <c r="E1646" s="15" t="s">
        <v>723</v>
      </c>
      <c r="F1646" s="15" t="s">
        <v>876</v>
      </c>
      <c r="G1646" s="15" t="s">
        <v>112</v>
      </c>
      <c r="H1646" s="15"/>
    </row>
    <row r="1647" customFormat="false" ht="26.25" hidden="false" customHeight="true" outlineLevel="0" collapsed="false">
      <c r="A1647" s="15" t="s">
        <v>238</v>
      </c>
      <c r="B1647" s="15" t="s">
        <v>239</v>
      </c>
      <c r="C1647" s="15" t="s">
        <v>84</v>
      </c>
      <c r="D1647" s="15" t="n">
        <v>205</v>
      </c>
      <c r="E1647" s="15" t="s">
        <v>725</v>
      </c>
      <c r="F1647" s="15" t="s">
        <v>876</v>
      </c>
      <c r="G1647" s="15" t="s">
        <v>112</v>
      </c>
      <c r="H1647" s="15"/>
    </row>
    <row r="1648" customFormat="false" ht="26.25" hidden="false" customHeight="true" outlineLevel="0" collapsed="false">
      <c r="A1648" s="15" t="s">
        <v>238</v>
      </c>
      <c r="B1648" s="15" t="s">
        <v>239</v>
      </c>
      <c r="C1648" s="15" t="s">
        <v>726</v>
      </c>
      <c r="D1648" s="15" t="n">
        <v>4737</v>
      </c>
      <c r="E1648" s="15" t="s">
        <v>725</v>
      </c>
      <c r="F1648" s="15" t="s">
        <v>876</v>
      </c>
      <c r="G1648" s="15" t="s">
        <v>112</v>
      </c>
      <c r="H1648" s="15"/>
    </row>
    <row r="1649" customFormat="false" ht="26.25" hidden="false" customHeight="true" outlineLevel="0" collapsed="false">
      <c r="A1649" s="15" t="s">
        <v>238</v>
      </c>
      <c r="B1649" s="15" t="s">
        <v>239</v>
      </c>
      <c r="C1649" s="15" t="s">
        <v>727</v>
      </c>
      <c r="D1649" s="15" t="n">
        <v>1900</v>
      </c>
      <c r="E1649" s="15" t="s">
        <v>725</v>
      </c>
      <c r="F1649" s="15" t="s">
        <v>876</v>
      </c>
      <c r="G1649" s="15" t="s">
        <v>112</v>
      </c>
      <c r="H1649" s="15"/>
    </row>
    <row r="1650" customFormat="false" ht="26.25" hidden="false" customHeight="true" outlineLevel="0" collapsed="false">
      <c r="A1650" s="15" t="s">
        <v>238</v>
      </c>
      <c r="B1650" s="15" t="s">
        <v>239</v>
      </c>
      <c r="C1650" s="15" t="s">
        <v>728</v>
      </c>
      <c r="D1650" s="15" t="n">
        <v>1747</v>
      </c>
      <c r="E1650" s="15" t="s">
        <v>725</v>
      </c>
      <c r="F1650" s="15" t="s">
        <v>876</v>
      </c>
      <c r="G1650" s="15" t="s">
        <v>112</v>
      </c>
      <c r="H1650" s="15"/>
    </row>
    <row r="1651" customFormat="false" ht="26.25" hidden="false" customHeight="true" outlineLevel="0" collapsed="false">
      <c r="A1651" s="15" t="s">
        <v>238</v>
      </c>
      <c r="B1651" s="15" t="s">
        <v>239</v>
      </c>
      <c r="C1651" s="15" t="s">
        <v>729</v>
      </c>
      <c r="D1651" s="15" t="n">
        <v>2762</v>
      </c>
      <c r="E1651" s="15" t="s">
        <v>725</v>
      </c>
      <c r="F1651" s="15" t="s">
        <v>876</v>
      </c>
      <c r="G1651" s="15" t="s">
        <v>112</v>
      </c>
      <c r="H1651" s="15"/>
    </row>
    <row r="1652" customFormat="false" ht="26.25" hidden="false" customHeight="true" outlineLevel="0" collapsed="false">
      <c r="A1652" s="15" t="s">
        <v>238</v>
      </c>
      <c r="B1652" s="15" t="s">
        <v>239</v>
      </c>
      <c r="C1652" s="15" t="s">
        <v>730</v>
      </c>
      <c r="D1652" s="15" t="n">
        <v>10</v>
      </c>
      <c r="E1652" s="15" t="s">
        <v>731</v>
      </c>
      <c r="F1652" s="15" t="s">
        <v>876</v>
      </c>
      <c r="G1652" s="15" t="s">
        <v>112</v>
      </c>
      <c r="H1652" s="15"/>
    </row>
    <row r="1653" customFormat="false" ht="26.25" hidden="false" customHeight="true" outlineLevel="0" collapsed="false">
      <c r="A1653" s="15" t="s">
        <v>238</v>
      </c>
      <c r="B1653" s="15" t="s">
        <v>239</v>
      </c>
      <c r="C1653" s="15" t="s">
        <v>776</v>
      </c>
      <c r="D1653" s="15" t="s">
        <v>878</v>
      </c>
      <c r="E1653" s="15"/>
      <c r="F1653" s="15" t="s">
        <v>876</v>
      </c>
      <c r="G1653" s="15" t="s">
        <v>112</v>
      </c>
      <c r="H1653" s="15"/>
    </row>
    <row r="1654" customFormat="false" ht="26.25" hidden="false" customHeight="true" outlineLevel="0" collapsed="false">
      <c r="A1654" s="15" t="s">
        <v>238</v>
      </c>
      <c r="B1654" s="15" t="s">
        <v>239</v>
      </c>
      <c r="C1654" s="15" t="s">
        <v>780</v>
      </c>
      <c r="D1654" s="15" t="s">
        <v>781</v>
      </c>
      <c r="E1654" s="15"/>
      <c r="F1654" s="15" t="s">
        <v>876</v>
      </c>
      <c r="G1654" s="15" t="s">
        <v>112</v>
      </c>
      <c r="H1654" s="15"/>
    </row>
    <row r="1655" customFormat="false" ht="26.25" hidden="false" customHeight="true" outlineLevel="0" collapsed="false">
      <c r="A1655" s="15" t="s">
        <v>238</v>
      </c>
      <c r="B1655" s="15" t="s">
        <v>239</v>
      </c>
      <c r="C1655" s="15" t="s">
        <v>789</v>
      </c>
      <c r="D1655" s="15" t="s">
        <v>790</v>
      </c>
      <c r="E1655" s="15"/>
      <c r="F1655" s="15" t="s">
        <v>876</v>
      </c>
      <c r="G1655" s="15" t="s">
        <v>112</v>
      </c>
      <c r="H1655" s="15"/>
    </row>
    <row r="1656" customFormat="false" ht="26.25" hidden="false" customHeight="true" outlineLevel="0" collapsed="false">
      <c r="A1656" s="15" t="s">
        <v>238</v>
      </c>
      <c r="B1656" s="15" t="s">
        <v>239</v>
      </c>
      <c r="C1656" s="15" t="s">
        <v>784</v>
      </c>
      <c r="D1656" s="15" t="n">
        <v>11</v>
      </c>
      <c r="E1656" s="15" t="s">
        <v>738</v>
      </c>
      <c r="F1656" s="15" t="s">
        <v>879</v>
      </c>
      <c r="G1656" s="15" t="s">
        <v>112</v>
      </c>
      <c r="H1656" s="15"/>
    </row>
    <row r="1657" customFormat="false" ht="26.25" hidden="false" customHeight="true" outlineLevel="0" collapsed="false">
      <c r="A1657" s="15" t="s">
        <v>238</v>
      </c>
      <c r="B1657" s="15" t="s">
        <v>239</v>
      </c>
      <c r="C1657" s="15" t="s">
        <v>782</v>
      </c>
      <c r="D1657" s="15" t="n">
        <v>36</v>
      </c>
      <c r="E1657" s="15" t="s">
        <v>783</v>
      </c>
      <c r="F1657" s="15" t="s">
        <v>879</v>
      </c>
      <c r="G1657" s="15" t="s">
        <v>112</v>
      </c>
      <c r="H1657" s="15"/>
    </row>
    <row r="1658" customFormat="false" ht="26.25" hidden="false" customHeight="true" outlineLevel="0" collapsed="false">
      <c r="A1658" s="15" t="s">
        <v>238</v>
      </c>
      <c r="B1658" s="15" t="s">
        <v>239</v>
      </c>
      <c r="C1658" s="15" t="s">
        <v>90</v>
      </c>
      <c r="D1658" s="15" t="s">
        <v>880</v>
      </c>
      <c r="E1658" s="15"/>
      <c r="F1658" s="15" t="s">
        <v>876</v>
      </c>
      <c r="G1658" s="15" t="s">
        <v>112</v>
      </c>
      <c r="H1658" s="15"/>
    </row>
    <row r="1659" customFormat="false" ht="26.25" hidden="false" customHeight="true" outlineLevel="0" collapsed="false">
      <c r="A1659" s="15" t="s">
        <v>238</v>
      </c>
      <c r="B1659" s="15" t="s">
        <v>239</v>
      </c>
      <c r="C1659" s="15" t="s">
        <v>875</v>
      </c>
      <c r="D1659" s="15" t="n">
        <v>3.2</v>
      </c>
      <c r="E1659" s="15"/>
      <c r="F1659" s="15" t="s">
        <v>876</v>
      </c>
      <c r="G1659" s="15" t="s">
        <v>819</v>
      </c>
      <c r="H1659" s="15" t="s">
        <v>881</v>
      </c>
    </row>
    <row r="1660" customFormat="false" ht="26.25" hidden="false" customHeight="true" outlineLevel="0" collapsed="false">
      <c r="A1660" s="15" t="s">
        <v>238</v>
      </c>
      <c r="B1660" s="15" t="s">
        <v>239</v>
      </c>
      <c r="C1660" s="15" t="s">
        <v>772</v>
      </c>
      <c r="D1660" s="15" t="n">
        <v>60000</v>
      </c>
      <c r="E1660" s="15" t="s">
        <v>773</v>
      </c>
      <c r="F1660" s="15" t="s">
        <v>882</v>
      </c>
      <c r="G1660" s="15" t="s">
        <v>112</v>
      </c>
      <c r="H1660" s="15"/>
    </row>
    <row r="1661" customFormat="false" ht="26.25" hidden="false" customHeight="true" outlineLevel="0" collapsed="false">
      <c r="A1661" s="15" t="s">
        <v>238</v>
      </c>
      <c r="B1661" s="15" t="s">
        <v>239</v>
      </c>
      <c r="C1661" s="15" t="s">
        <v>775</v>
      </c>
      <c r="D1661" s="15" t="n">
        <v>75000</v>
      </c>
      <c r="E1661" s="15" t="s">
        <v>773</v>
      </c>
      <c r="F1661" s="15" t="s">
        <v>882</v>
      </c>
      <c r="G1661" s="15" t="s">
        <v>112</v>
      </c>
      <c r="H1661" s="15"/>
    </row>
    <row r="1662" customFormat="false" ht="26.25" hidden="false" customHeight="true" outlineLevel="0" collapsed="false">
      <c r="A1662" s="15" t="s">
        <v>238</v>
      </c>
      <c r="B1662" s="15" t="s">
        <v>239</v>
      </c>
      <c r="C1662" s="15" t="s">
        <v>98</v>
      </c>
      <c r="D1662" s="15" t="s">
        <v>732</v>
      </c>
      <c r="E1662" s="15"/>
      <c r="F1662" s="15" t="s">
        <v>876</v>
      </c>
      <c r="G1662" s="15" t="s">
        <v>112</v>
      </c>
      <c r="H1662" s="15"/>
    </row>
    <row r="1663" customFormat="false" ht="26.25" hidden="false" customHeight="true" outlineLevel="0" collapsed="false">
      <c r="A1663" s="15" t="s">
        <v>238</v>
      </c>
      <c r="B1663" s="15" t="s">
        <v>239</v>
      </c>
      <c r="C1663" s="15" t="s">
        <v>830</v>
      </c>
      <c r="D1663" s="15" t="s">
        <v>831</v>
      </c>
      <c r="E1663" s="15"/>
      <c r="F1663" s="15" t="s">
        <v>883</v>
      </c>
      <c r="G1663" s="15" t="s">
        <v>112</v>
      </c>
      <c r="H1663" s="15"/>
    </row>
    <row r="1664" customFormat="false" ht="26.25" hidden="false" customHeight="true" outlineLevel="0" collapsed="false">
      <c r="A1664" s="15" t="s">
        <v>238</v>
      </c>
      <c r="B1664" s="15" t="s">
        <v>239</v>
      </c>
      <c r="C1664" s="15" t="s">
        <v>833</v>
      </c>
      <c r="D1664" s="15" t="s">
        <v>834</v>
      </c>
      <c r="E1664" s="15"/>
      <c r="F1664" s="15" t="s">
        <v>883</v>
      </c>
      <c r="G1664" s="15" t="s">
        <v>112</v>
      </c>
      <c r="H1664" s="15"/>
    </row>
    <row r="1665" customFormat="false" ht="26.25" hidden="false" customHeight="true" outlineLevel="0" collapsed="false">
      <c r="A1665" s="15" t="s">
        <v>238</v>
      </c>
      <c r="B1665" s="15" t="s">
        <v>239</v>
      </c>
      <c r="C1665" s="15" t="s">
        <v>835</v>
      </c>
      <c r="D1665" s="15" t="s">
        <v>836</v>
      </c>
      <c r="E1665" s="15"/>
      <c r="F1665" s="15" t="s">
        <v>883</v>
      </c>
      <c r="G1665" s="15" t="s">
        <v>112</v>
      </c>
      <c r="H1665" s="15"/>
    </row>
    <row r="1666" customFormat="false" ht="26.25" hidden="false" customHeight="true" outlineLevel="0" collapsed="false">
      <c r="A1666" s="15" t="s">
        <v>238</v>
      </c>
      <c r="B1666" s="15" t="s">
        <v>239</v>
      </c>
      <c r="C1666" s="15" t="s">
        <v>837</v>
      </c>
      <c r="D1666" s="15" t="n">
        <v>10000</v>
      </c>
      <c r="E1666" s="15" t="s">
        <v>838</v>
      </c>
      <c r="F1666" s="15" t="s">
        <v>883</v>
      </c>
      <c r="G1666" s="15" t="s">
        <v>112</v>
      </c>
      <c r="H1666" s="15"/>
    </row>
    <row r="1667" customFormat="false" ht="26.25" hidden="false" customHeight="true" outlineLevel="0" collapsed="false">
      <c r="A1667" s="15" t="s">
        <v>238</v>
      </c>
      <c r="B1667" s="15" t="s">
        <v>239</v>
      </c>
      <c r="C1667" s="15" t="s">
        <v>839</v>
      </c>
      <c r="D1667" s="15" t="s">
        <v>840</v>
      </c>
      <c r="E1667" s="15"/>
      <c r="F1667" s="15" t="s">
        <v>883</v>
      </c>
      <c r="G1667" s="15" t="s">
        <v>112</v>
      </c>
      <c r="H1667" s="15"/>
    </row>
    <row r="1668" customFormat="false" ht="26.25" hidden="false" customHeight="true" outlineLevel="0" collapsed="false">
      <c r="A1668" s="15" t="s">
        <v>238</v>
      </c>
      <c r="B1668" s="15" t="s">
        <v>239</v>
      </c>
      <c r="C1668" s="15" t="s">
        <v>841</v>
      </c>
      <c r="D1668" s="15" t="s">
        <v>842</v>
      </c>
      <c r="E1668" s="15"/>
      <c r="F1668" s="15" t="s">
        <v>883</v>
      </c>
      <c r="G1668" s="15" t="s">
        <v>112</v>
      </c>
      <c r="H1668" s="15"/>
    </row>
    <row r="1669" customFormat="false" ht="26.25" hidden="false" customHeight="true" outlineLevel="0" collapsed="false">
      <c r="A1669" s="15" t="s">
        <v>238</v>
      </c>
      <c r="B1669" s="15" t="s">
        <v>239</v>
      </c>
      <c r="C1669" s="15" t="s">
        <v>843</v>
      </c>
      <c r="D1669" s="15" t="s">
        <v>844</v>
      </c>
      <c r="E1669" s="15"/>
      <c r="F1669" s="15" t="s">
        <v>876</v>
      </c>
      <c r="G1669" s="15" t="s">
        <v>112</v>
      </c>
      <c r="H1669" s="15"/>
    </row>
    <row r="1670" customFormat="false" ht="26.25" hidden="false" customHeight="true" outlineLevel="0" collapsed="false">
      <c r="A1670" s="15" t="s">
        <v>238</v>
      </c>
      <c r="B1670" s="15" t="s">
        <v>239</v>
      </c>
      <c r="C1670" s="15" t="s">
        <v>737</v>
      </c>
      <c r="D1670" s="15" t="n">
        <v>210</v>
      </c>
      <c r="E1670" s="15" t="s">
        <v>738</v>
      </c>
      <c r="F1670" s="15" t="s">
        <v>876</v>
      </c>
      <c r="G1670" s="15" t="s">
        <v>112</v>
      </c>
      <c r="H1670" s="15"/>
    </row>
    <row r="1671" customFormat="false" ht="26.25" hidden="false" customHeight="true" outlineLevel="0" collapsed="false">
      <c r="A1671" s="15" t="s">
        <v>238</v>
      </c>
      <c r="B1671" s="15" t="s">
        <v>239</v>
      </c>
      <c r="C1671" s="15" t="s">
        <v>739</v>
      </c>
      <c r="D1671" s="15" t="n">
        <v>180</v>
      </c>
      <c r="E1671" s="15" t="s">
        <v>738</v>
      </c>
      <c r="F1671" s="15" t="s">
        <v>876</v>
      </c>
      <c r="G1671" s="15" t="s">
        <v>112</v>
      </c>
      <c r="H1671" s="15"/>
    </row>
    <row r="1672" customFormat="false" ht="26.25" hidden="false" customHeight="true" outlineLevel="0" collapsed="false">
      <c r="A1672" s="15" t="s">
        <v>238</v>
      </c>
      <c r="B1672" s="15" t="s">
        <v>239</v>
      </c>
      <c r="C1672" s="15" t="s">
        <v>740</v>
      </c>
      <c r="D1672" s="15" t="n">
        <v>8</v>
      </c>
      <c r="E1672" s="15" t="s">
        <v>741</v>
      </c>
      <c r="F1672" s="15" t="s">
        <v>876</v>
      </c>
      <c r="G1672" s="15" t="s">
        <v>112</v>
      </c>
      <c r="H1672" s="15"/>
    </row>
    <row r="1673" customFormat="false" ht="26.25" hidden="false" customHeight="true" outlineLevel="0" collapsed="false">
      <c r="A1673" s="15" t="s">
        <v>238</v>
      </c>
      <c r="B1673" s="15" t="s">
        <v>239</v>
      </c>
      <c r="C1673" s="15" t="s">
        <v>742</v>
      </c>
      <c r="D1673" s="15" t="n">
        <v>11.7</v>
      </c>
      <c r="E1673" s="15" t="s">
        <v>741</v>
      </c>
      <c r="F1673" s="15" t="s">
        <v>876</v>
      </c>
      <c r="G1673" s="15" t="s">
        <v>112</v>
      </c>
      <c r="H1673" s="15"/>
    </row>
    <row r="1674" customFormat="false" ht="26.25" hidden="false" customHeight="true" outlineLevel="0" collapsed="false">
      <c r="A1674" s="15" t="s">
        <v>238</v>
      </c>
      <c r="B1674" s="15" t="s">
        <v>239</v>
      </c>
      <c r="C1674" s="15" t="s">
        <v>733</v>
      </c>
      <c r="D1674" s="15" t="s">
        <v>808</v>
      </c>
      <c r="E1674" s="15"/>
      <c r="F1674" s="15" t="s">
        <v>882</v>
      </c>
      <c r="G1674" s="15" t="s">
        <v>112</v>
      </c>
      <c r="H1674" s="15"/>
    </row>
    <row r="1675" customFormat="false" ht="26.25" hidden="false" customHeight="true" outlineLevel="0" collapsed="false">
      <c r="A1675" s="15" t="s">
        <v>238</v>
      </c>
      <c r="B1675" s="15" t="s">
        <v>239</v>
      </c>
      <c r="C1675" s="15" t="s">
        <v>785</v>
      </c>
      <c r="D1675" s="15" t="n">
        <v>409</v>
      </c>
      <c r="E1675" s="15" t="s">
        <v>786</v>
      </c>
      <c r="F1675" s="15" t="s">
        <v>879</v>
      </c>
      <c r="G1675" s="15" t="s">
        <v>112</v>
      </c>
      <c r="H1675" s="15"/>
    </row>
    <row r="1676" customFormat="false" ht="26.25" hidden="false" customHeight="true" outlineLevel="0" collapsed="false">
      <c r="A1676" s="15" t="s">
        <v>238</v>
      </c>
      <c r="B1676" s="15" t="s">
        <v>239</v>
      </c>
      <c r="C1676" s="15" t="s">
        <v>887</v>
      </c>
      <c r="D1676" s="15" t="s">
        <v>888</v>
      </c>
      <c r="E1676" s="15"/>
      <c r="F1676" s="15" t="s">
        <v>889</v>
      </c>
      <c r="G1676" s="15" t="s">
        <v>112</v>
      </c>
      <c r="H1676" s="15" t="s">
        <v>890</v>
      </c>
    </row>
    <row r="1677" customFormat="false" ht="26.25" hidden="false" customHeight="true" outlineLevel="0" collapsed="false">
      <c r="A1677" s="15" t="s">
        <v>238</v>
      </c>
      <c r="B1677" s="15" t="s">
        <v>239</v>
      </c>
      <c r="C1677" s="15" t="s">
        <v>769</v>
      </c>
      <c r="D1677" s="15" t="s">
        <v>198</v>
      </c>
      <c r="E1677" s="15" t="s">
        <v>721</v>
      </c>
      <c r="F1677" s="15" t="s">
        <v>876</v>
      </c>
      <c r="G1677" s="15" t="s">
        <v>112</v>
      </c>
      <c r="H1677" s="15"/>
    </row>
    <row r="1678" customFormat="false" ht="26.25" hidden="false" customHeight="true" outlineLevel="0" collapsed="false">
      <c r="A1678" s="15" t="s">
        <v>238</v>
      </c>
      <c r="B1678" s="15" t="s">
        <v>239</v>
      </c>
      <c r="C1678" s="15" t="s">
        <v>86</v>
      </c>
      <c r="D1678" s="15" t="n">
        <v>6</v>
      </c>
      <c r="E1678" s="15" t="s">
        <v>721</v>
      </c>
      <c r="F1678" s="15" t="s">
        <v>876</v>
      </c>
      <c r="G1678" s="15" t="s">
        <v>112</v>
      </c>
      <c r="H1678" s="15"/>
    </row>
    <row r="1679" customFormat="false" ht="26.25" hidden="false" customHeight="true" outlineLevel="0" collapsed="false">
      <c r="A1679" s="15" t="s">
        <v>238</v>
      </c>
      <c r="B1679" s="15" t="s">
        <v>239</v>
      </c>
      <c r="C1679" s="15" t="s">
        <v>764</v>
      </c>
      <c r="D1679" s="15" t="s">
        <v>755</v>
      </c>
      <c r="E1679" s="15"/>
      <c r="F1679" s="15" t="s">
        <v>876</v>
      </c>
      <c r="G1679" s="15" t="s">
        <v>112</v>
      </c>
      <c r="H1679" s="15"/>
    </row>
    <row r="1680" customFormat="false" ht="26.25" hidden="false" customHeight="true" outlineLevel="0" collapsed="false">
      <c r="A1680" s="15" t="s">
        <v>238</v>
      </c>
      <c r="B1680" s="15" t="s">
        <v>239</v>
      </c>
      <c r="C1680" s="15" t="s">
        <v>749</v>
      </c>
      <c r="D1680" s="15" t="s">
        <v>120</v>
      </c>
      <c r="E1680" s="15"/>
      <c r="F1680" s="15" t="s">
        <v>876</v>
      </c>
      <c r="G1680" s="15" t="s">
        <v>112</v>
      </c>
      <c r="H1680" s="15"/>
    </row>
    <row r="1681" customFormat="false" ht="26.25" hidden="false" customHeight="true" outlineLevel="0" collapsed="false">
      <c r="A1681" s="15" t="s">
        <v>238</v>
      </c>
      <c r="B1681" s="15" t="s">
        <v>239</v>
      </c>
      <c r="C1681" s="15" t="s">
        <v>752</v>
      </c>
      <c r="D1681" s="15" t="s">
        <v>753</v>
      </c>
      <c r="E1681" s="15"/>
      <c r="F1681" s="15" t="s">
        <v>876</v>
      </c>
      <c r="G1681" s="15" t="s">
        <v>112</v>
      </c>
      <c r="H1681" s="15"/>
    </row>
    <row r="1682" customFormat="false" ht="26.25" hidden="false" customHeight="true" outlineLevel="0" collapsed="false">
      <c r="A1682" s="15" t="s">
        <v>238</v>
      </c>
      <c r="B1682" s="15" t="s">
        <v>239</v>
      </c>
      <c r="C1682" s="15" t="s">
        <v>754</v>
      </c>
      <c r="D1682" s="15" t="s">
        <v>755</v>
      </c>
      <c r="E1682" s="15"/>
      <c r="F1682" s="15" t="s">
        <v>876</v>
      </c>
      <c r="G1682" s="15" t="s">
        <v>112</v>
      </c>
      <c r="H1682" s="15"/>
    </row>
    <row r="1683" customFormat="false" ht="26.25" hidden="false" customHeight="true" outlineLevel="0" collapsed="false">
      <c r="A1683" s="15" t="s">
        <v>238</v>
      </c>
      <c r="B1683" s="15" t="s">
        <v>239</v>
      </c>
      <c r="C1683" s="15" t="s">
        <v>884</v>
      </c>
      <c r="D1683" s="15" t="s">
        <v>755</v>
      </c>
      <c r="E1683" s="15"/>
      <c r="F1683" s="15" t="s">
        <v>876</v>
      </c>
      <c r="G1683" s="15" t="s">
        <v>112</v>
      </c>
      <c r="H1683" s="15"/>
    </row>
    <row r="1684" customFormat="false" ht="26.25" hidden="false" customHeight="true" outlineLevel="0" collapsed="false">
      <c r="A1684" s="15" t="s">
        <v>238</v>
      </c>
      <c r="B1684" s="15" t="s">
        <v>239</v>
      </c>
      <c r="C1684" s="15" t="s">
        <v>756</v>
      </c>
      <c r="D1684" s="15" t="s">
        <v>847</v>
      </c>
      <c r="E1684" s="15"/>
      <c r="F1684" s="15" t="s">
        <v>876</v>
      </c>
      <c r="G1684" s="15" t="s">
        <v>112</v>
      </c>
      <c r="H1684" s="15"/>
    </row>
    <row r="1685" customFormat="false" ht="26.25" hidden="false" customHeight="true" outlineLevel="0" collapsed="false">
      <c r="A1685" s="15" t="s">
        <v>238</v>
      </c>
      <c r="B1685" s="15" t="s">
        <v>239</v>
      </c>
      <c r="C1685" s="15" t="s">
        <v>757</v>
      </c>
      <c r="D1685" s="15" t="s">
        <v>758</v>
      </c>
      <c r="E1685" s="15"/>
      <c r="F1685" s="15" t="s">
        <v>876</v>
      </c>
      <c r="G1685" s="15" t="s">
        <v>112</v>
      </c>
      <c r="H1685" s="15"/>
    </row>
    <row r="1686" customFormat="false" ht="26.25" hidden="false" customHeight="true" outlineLevel="0" collapsed="false">
      <c r="A1686" s="15" t="s">
        <v>238</v>
      </c>
      <c r="B1686" s="15" t="s">
        <v>239</v>
      </c>
      <c r="C1686" s="15" t="s">
        <v>759</v>
      </c>
      <c r="D1686" s="15" t="s">
        <v>760</v>
      </c>
      <c r="E1686" s="15"/>
      <c r="F1686" s="15" t="s">
        <v>876</v>
      </c>
      <c r="G1686" s="15" t="s">
        <v>112</v>
      </c>
      <c r="H1686" s="15"/>
    </row>
    <row r="1687" customFormat="false" ht="26.25" hidden="false" customHeight="true" outlineLevel="0" collapsed="false">
      <c r="A1687" s="15" t="s">
        <v>238</v>
      </c>
      <c r="B1687" s="15" t="s">
        <v>239</v>
      </c>
      <c r="C1687" s="15" t="s">
        <v>761</v>
      </c>
      <c r="D1687" s="15" t="s">
        <v>755</v>
      </c>
      <c r="E1687" s="15"/>
      <c r="F1687" s="15" t="s">
        <v>876</v>
      </c>
      <c r="G1687" s="15" t="s">
        <v>112</v>
      </c>
      <c r="H1687" s="15"/>
    </row>
    <row r="1688" customFormat="false" ht="26.25" hidden="false" customHeight="true" outlineLevel="0" collapsed="false">
      <c r="A1688" s="15" t="s">
        <v>238</v>
      </c>
      <c r="B1688" s="15" t="s">
        <v>239</v>
      </c>
      <c r="C1688" s="15" t="s">
        <v>762</v>
      </c>
      <c r="D1688" s="15" t="s">
        <v>755</v>
      </c>
      <c r="E1688" s="15"/>
      <c r="F1688" s="15" t="s">
        <v>876</v>
      </c>
      <c r="G1688" s="15" t="s">
        <v>112</v>
      </c>
      <c r="H1688" s="15"/>
    </row>
    <row r="1689" customFormat="false" ht="26.25" hidden="false" customHeight="true" outlineLevel="0" collapsed="false">
      <c r="A1689" s="15" t="s">
        <v>238</v>
      </c>
      <c r="B1689" s="15" t="s">
        <v>239</v>
      </c>
      <c r="C1689" s="15" t="s">
        <v>92</v>
      </c>
      <c r="D1689" s="15" t="s">
        <v>755</v>
      </c>
      <c r="E1689" s="15"/>
      <c r="F1689" s="15" t="s">
        <v>876</v>
      </c>
      <c r="G1689" s="15" t="s">
        <v>112</v>
      </c>
      <c r="H1689" s="15"/>
    </row>
    <row r="1690" customFormat="false" ht="26.25" hidden="false" customHeight="true" outlineLevel="0" collapsed="false">
      <c r="A1690" s="15" t="s">
        <v>238</v>
      </c>
      <c r="B1690" s="15" t="s">
        <v>239</v>
      </c>
      <c r="C1690" s="15" t="s">
        <v>848</v>
      </c>
      <c r="D1690" s="15" t="s">
        <v>849</v>
      </c>
      <c r="E1690" s="15"/>
      <c r="F1690" s="15" t="s">
        <v>876</v>
      </c>
      <c r="G1690" s="15" t="s">
        <v>112</v>
      </c>
      <c r="H1690" s="15"/>
    </row>
    <row r="1691" customFormat="false" ht="26.25" hidden="false" customHeight="true" outlineLevel="0" collapsed="false">
      <c r="A1691" s="15" t="s">
        <v>238</v>
      </c>
      <c r="B1691" s="15" t="s">
        <v>239</v>
      </c>
      <c r="C1691" s="15" t="s">
        <v>747</v>
      </c>
      <c r="D1691" s="15" t="s">
        <v>885</v>
      </c>
      <c r="E1691" s="15"/>
      <c r="F1691" s="15" t="s">
        <v>876</v>
      </c>
      <c r="G1691" s="15" t="s">
        <v>112</v>
      </c>
      <c r="H1691" s="15"/>
    </row>
    <row r="1692" customFormat="false" ht="26.25" hidden="false" customHeight="true" outlineLevel="0" collapsed="false">
      <c r="A1692" s="15" t="s">
        <v>238</v>
      </c>
      <c r="B1692" s="15" t="s">
        <v>239</v>
      </c>
      <c r="C1692" s="15" t="s">
        <v>851</v>
      </c>
      <c r="D1692" s="15" t="s">
        <v>852</v>
      </c>
      <c r="E1692" s="15"/>
      <c r="F1692" s="15" t="s">
        <v>876</v>
      </c>
      <c r="G1692" s="15" t="s">
        <v>112</v>
      </c>
      <c r="H1692" s="15"/>
    </row>
    <row r="1693" customFormat="false" ht="26.25" hidden="false" customHeight="true" outlineLevel="0" collapsed="false">
      <c r="A1693" s="15" t="s">
        <v>238</v>
      </c>
      <c r="B1693" s="15" t="s">
        <v>239</v>
      </c>
      <c r="C1693" s="15" t="s">
        <v>853</v>
      </c>
      <c r="D1693" s="15" t="s">
        <v>120</v>
      </c>
      <c r="E1693" s="15"/>
      <c r="F1693" s="15" t="s">
        <v>876</v>
      </c>
      <c r="G1693" s="15" t="s">
        <v>112</v>
      </c>
      <c r="H1693" s="15"/>
    </row>
    <row r="1694" customFormat="false" ht="26.25" hidden="false" customHeight="true" outlineLevel="0" collapsed="false">
      <c r="A1694" s="15" t="s">
        <v>238</v>
      </c>
      <c r="B1694" s="15" t="s">
        <v>239</v>
      </c>
      <c r="C1694" s="15" t="s">
        <v>854</v>
      </c>
      <c r="D1694" s="15" t="s">
        <v>755</v>
      </c>
      <c r="E1694" s="15"/>
      <c r="F1694" s="15" t="s">
        <v>876</v>
      </c>
      <c r="G1694" s="15" t="s">
        <v>112</v>
      </c>
      <c r="H1694" s="15"/>
    </row>
    <row r="1695" customFormat="false" ht="26.25" hidden="false" customHeight="true" outlineLevel="0" collapsed="false">
      <c r="A1695" s="15" t="s">
        <v>238</v>
      </c>
      <c r="B1695" s="15" t="s">
        <v>239</v>
      </c>
      <c r="C1695" s="15" t="s">
        <v>855</v>
      </c>
      <c r="D1695" s="15" t="s">
        <v>862</v>
      </c>
      <c r="E1695" s="15"/>
      <c r="F1695" s="15" t="s">
        <v>876</v>
      </c>
      <c r="G1695" s="15" t="s">
        <v>112</v>
      </c>
      <c r="H1695" s="15"/>
    </row>
    <row r="1696" customFormat="false" ht="26.25" hidden="false" customHeight="true" outlineLevel="0" collapsed="false">
      <c r="A1696" s="15" t="s">
        <v>238</v>
      </c>
      <c r="B1696" s="15" t="s">
        <v>239</v>
      </c>
      <c r="C1696" s="15" t="s">
        <v>857</v>
      </c>
      <c r="D1696" s="15" t="s">
        <v>755</v>
      </c>
      <c r="E1696" s="15"/>
      <c r="F1696" s="15" t="s">
        <v>876</v>
      </c>
      <c r="G1696" s="15" t="s">
        <v>112</v>
      </c>
      <c r="H1696" s="15"/>
    </row>
    <row r="1697" customFormat="false" ht="26.25" hidden="false" customHeight="true" outlineLevel="0" collapsed="false">
      <c r="A1697" s="15" t="s">
        <v>238</v>
      </c>
      <c r="B1697" s="15" t="s">
        <v>239</v>
      </c>
      <c r="C1697" s="15" t="s">
        <v>886</v>
      </c>
      <c r="D1697" s="15" t="s">
        <v>755</v>
      </c>
      <c r="E1697" s="15"/>
      <c r="F1697" s="15" t="s">
        <v>876</v>
      </c>
      <c r="G1697" s="15" t="s">
        <v>112</v>
      </c>
      <c r="H1697" s="15"/>
    </row>
    <row r="1698" customFormat="false" ht="15" hidden="false" customHeight="true" outlineLevel="0" collapsed="false">
      <c r="A1698" s="15" t="s">
        <v>207</v>
      </c>
      <c r="B1698" s="15" t="s">
        <v>891</v>
      </c>
      <c r="C1698" s="15" t="s">
        <v>714</v>
      </c>
      <c r="D1698" s="15" t="n">
        <v>380</v>
      </c>
      <c r="E1698" s="15" t="s">
        <v>715</v>
      </c>
      <c r="F1698" s="15" t="s">
        <v>876</v>
      </c>
      <c r="G1698" s="15" t="s">
        <v>112</v>
      </c>
      <c r="H1698" s="15"/>
    </row>
    <row r="1699" customFormat="false" ht="15" hidden="false" customHeight="true" outlineLevel="0" collapsed="false">
      <c r="A1699" s="15" t="s">
        <v>207</v>
      </c>
      <c r="B1699" s="15" t="s">
        <v>891</v>
      </c>
      <c r="C1699" s="15" t="s">
        <v>718</v>
      </c>
      <c r="D1699" s="15" t="s">
        <v>113</v>
      </c>
      <c r="E1699" s="15"/>
      <c r="F1699" s="15" t="s">
        <v>876</v>
      </c>
      <c r="G1699" s="15" t="s">
        <v>112</v>
      </c>
      <c r="H1699" s="15"/>
    </row>
    <row r="1700" customFormat="false" ht="15" hidden="false" customHeight="true" outlineLevel="0" collapsed="false">
      <c r="A1700" s="15" t="s">
        <v>207</v>
      </c>
      <c r="B1700" s="15" t="s">
        <v>891</v>
      </c>
      <c r="C1700" s="15" t="s">
        <v>719</v>
      </c>
      <c r="D1700" s="15" t="n">
        <v>20</v>
      </c>
      <c r="E1700" s="15" t="s">
        <v>720</v>
      </c>
      <c r="F1700" s="15" t="s">
        <v>876</v>
      </c>
      <c r="G1700" s="15" t="s">
        <v>112</v>
      </c>
      <c r="H1700" s="15"/>
    </row>
    <row r="1701" customFormat="false" ht="15" hidden="false" customHeight="true" outlineLevel="0" collapsed="false">
      <c r="A1701" s="15" t="s">
        <v>207</v>
      </c>
      <c r="B1701" s="15" t="s">
        <v>891</v>
      </c>
      <c r="C1701" s="15" t="s">
        <v>722</v>
      </c>
      <c r="D1701" s="15" t="s">
        <v>877</v>
      </c>
      <c r="E1701" s="15" t="s">
        <v>723</v>
      </c>
      <c r="F1701" s="15" t="s">
        <v>876</v>
      </c>
      <c r="G1701" s="15" t="s">
        <v>112</v>
      </c>
      <c r="H1701" s="15"/>
    </row>
    <row r="1702" customFormat="false" ht="15" hidden="false" customHeight="true" outlineLevel="0" collapsed="false">
      <c r="A1702" s="15" t="s">
        <v>207</v>
      </c>
      <c r="B1702" s="15" t="s">
        <v>891</v>
      </c>
      <c r="C1702" s="15" t="s">
        <v>724</v>
      </c>
      <c r="D1702" s="15" t="n">
        <v>150</v>
      </c>
      <c r="E1702" s="15" t="s">
        <v>723</v>
      </c>
      <c r="F1702" s="15" t="s">
        <v>876</v>
      </c>
      <c r="G1702" s="15" t="s">
        <v>112</v>
      </c>
      <c r="H1702" s="15"/>
    </row>
    <row r="1703" customFormat="false" ht="15" hidden="false" customHeight="true" outlineLevel="0" collapsed="false">
      <c r="A1703" s="15" t="s">
        <v>207</v>
      </c>
      <c r="B1703" s="15" t="s">
        <v>891</v>
      </c>
      <c r="C1703" s="15" t="s">
        <v>84</v>
      </c>
      <c r="D1703" s="15" t="n">
        <v>205</v>
      </c>
      <c r="E1703" s="15" t="s">
        <v>725</v>
      </c>
      <c r="F1703" s="15" t="s">
        <v>876</v>
      </c>
      <c r="G1703" s="15" t="s">
        <v>112</v>
      </c>
      <c r="H1703" s="15"/>
    </row>
    <row r="1704" customFormat="false" ht="15" hidden="false" customHeight="true" outlineLevel="0" collapsed="false">
      <c r="A1704" s="15" t="s">
        <v>207</v>
      </c>
      <c r="B1704" s="15" t="s">
        <v>891</v>
      </c>
      <c r="C1704" s="15" t="s">
        <v>726</v>
      </c>
      <c r="D1704" s="15" t="n">
        <v>4737</v>
      </c>
      <c r="E1704" s="15" t="s">
        <v>725</v>
      </c>
      <c r="F1704" s="15" t="s">
        <v>876</v>
      </c>
      <c r="G1704" s="15" t="s">
        <v>112</v>
      </c>
      <c r="H1704" s="15"/>
    </row>
    <row r="1705" customFormat="false" ht="15" hidden="false" customHeight="true" outlineLevel="0" collapsed="false">
      <c r="A1705" s="15" t="s">
        <v>207</v>
      </c>
      <c r="B1705" s="15" t="s">
        <v>891</v>
      </c>
      <c r="C1705" s="15" t="s">
        <v>727</v>
      </c>
      <c r="D1705" s="15" t="n">
        <v>1900</v>
      </c>
      <c r="E1705" s="15" t="s">
        <v>725</v>
      </c>
      <c r="F1705" s="15" t="s">
        <v>876</v>
      </c>
      <c r="G1705" s="15" t="s">
        <v>112</v>
      </c>
      <c r="H1705" s="15"/>
    </row>
    <row r="1706" customFormat="false" ht="15" hidden="false" customHeight="true" outlineLevel="0" collapsed="false">
      <c r="A1706" s="15" t="s">
        <v>207</v>
      </c>
      <c r="B1706" s="15" t="s">
        <v>891</v>
      </c>
      <c r="C1706" s="15" t="s">
        <v>728</v>
      </c>
      <c r="D1706" s="15" t="n">
        <v>1747</v>
      </c>
      <c r="E1706" s="15" t="s">
        <v>725</v>
      </c>
      <c r="F1706" s="15" t="s">
        <v>876</v>
      </c>
      <c r="G1706" s="15" t="s">
        <v>112</v>
      </c>
      <c r="H1706" s="15"/>
    </row>
    <row r="1707" customFormat="false" ht="15" hidden="false" customHeight="true" outlineLevel="0" collapsed="false">
      <c r="A1707" s="15" t="s">
        <v>207</v>
      </c>
      <c r="B1707" s="15" t="s">
        <v>891</v>
      </c>
      <c r="C1707" s="15" t="s">
        <v>729</v>
      </c>
      <c r="D1707" s="15" t="n">
        <v>2762</v>
      </c>
      <c r="E1707" s="15" t="s">
        <v>725</v>
      </c>
      <c r="F1707" s="15" t="s">
        <v>876</v>
      </c>
      <c r="G1707" s="15" t="s">
        <v>112</v>
      </c>
      <c r="H1707" s="15"/>
    </row>
    <row r="1708" customFormat="false" ht="15" hidden="false" customHeight="true" outlineLevel="0" collapsed="false">
      <c r="A1708" s="15" t="s">
        <v>207</v>
      </c>
      <c r="B1708" s="15" t="s">
        <v>891</v>
      </c>
      <c r="C1708" s="15" t="s">
        <v>730</v>
      </c>
      <c r="D1708" s="15" t="n">
        <v>10</v>
      </c>
      <c r="E1708" s="15" t="s">
        <v>731</v>
      </c>
      <c r="F1708" s="15" t="s">
        <v>876</v>
      </c>
      <c r="G1708" s="15" t="s">
        <v>112</v>
      </c>
      <c r="H1708" s="15"/>
    </row>
    <row r="1709" customFormat="false" ht="15" hidden="false" customHeight="true" outlineLevel="0" collapsed="false">
      <c r="A1709" s="15" t="s">
        <v>207</v>
      </c>
      <c r="B1709" s="15" t="s">
        <v>891</v>
      </c>
      <c r="C1709" s="15" t="s">
        <v>776</v>
      </c>
      <c r="D1709" s="15" t="s">
        <v>878</v>
      </c>
      <c r="E1709" s="15"/>
      <c r="F1709" s="15" t="s">
        <v>876</v>
      </c>
      <c r="G1709" s="15" t="s">
        <v>112</v>
      </c>
      <c r="H1709" s="15"/>
    </row>
    <row r="1710" customFormat="false" ht="15" hidden="false" customHeight="true" outlineLevel="0" collapsed="false">
      <c r="A1710" s="15" t="s">
        <v>207</v>
      </c>
      <c r="B1710" s="15" t="s">
        <v>891</v>
      </c>
      <c r="C1710" s="15" t="s">
        <v>780</v>
      </c>
      <c r="D1710" s="15" t="s">
        <v>781</v>
      </c>
      <c r="E1710" s="15"/>
      <c r="F1710" s="15" t="s">
        <v>876</v>
      </c>
      <c r="G1710" s="15" t="s">
        <v>112</v>
      </c>
      <c r="H1710" s="15"/>
    </row>
    <row r="1711" customFormat="false" ht="15" hidden="false" customHeight="true" outlineLevel="0" collapsed="false">
      <c r="A1711" s="15" t="s">
        <v>207</v>
      </c>
      <c r="B1711" s="15" t="s">
        <v>891</v>
      </c>
      <c r="C1711" s="15" t="s">
        <v>789</v>
      </c>
      <c r="D1711" s="15" t="s">
        <v>790</v>
      </c>
      <c r="E1711" s="15"/>
      <c r="F1711" s="15" t="s">
        <v>876</v>
      </c>
      <c r="G1711" s="15" t="s">
        <v>112</v>
      </c>
      <c r="H1711" s="15"/>
    </row>
    <row r="1712" customFormat="false" ht="15" hidden="false" customHeight="true" outlineLevel="0" collapsed="false">
      <c r="A1712" s="15" t="s">
        <v>207</v>
      </c>
      <c r="B1712" s="15" t="s">
        <v>891</v>
      </c>
      <c r="C1712" s="15" t="s">
        <v>784</v>
      </c>
      <c r="D1712" s="15" t="n">
        <v>11</v>
      </c>
      <c r="E1712" s="15" t="s">
        <v>738</v>
      </c>
      <c r="F1712" s="15" t="s">
        <v>879</v>
      </c>
      <c r="G1712" s="15" t="s">
        <v>112</v>
      </c>
      <c r="H1712" s="15"/>
    </row>
    <row r="1713" customFormat="false" ht="15" hidden="false" customHeight="true" outlineLevel="0" collapsed="false">
      <c r="A1713" s="15" t="s">
        <v>207</v>
      </c>
      <c r="B1713" s="15" t="s">
        <v>891</v>
      </c>
      <c r="C1713" s="15" t="s">
        <v>782</v>
      </c>
      <c r="D1713" s="15" t="n">
        <v>36</v>
      </c>
      <c r="E1713" s="15" t="s">
        <v>783</v>
      </c>
      <c r="F1713" s="15" t="s">
        <v>879</v>
      </c>
      <c r="G1713" s="15" t="s">
        <v>112</v>
      </c>
      <c r="H1713" s="15"/>
    </row>
    <row r="1714" customFormat="false" ht="15" hidden="false" customHeight="true" outlineLevel="0" collapsed="false">
      <c r="A1714" s="15" t="s">
        <v>207</v>
      </c>
      <c r="B1714" s="15" t="s">
        <v>891</v>
      </c>
      <c r="C1714" s="15" t="s">
        <v>90</v>
      </c>
      <c r="D1714" s="15" t="s">
        <v>880</v>
      </c>
      <c r="E1714" s="15"/>
      <c r="F1714" s="15" t="s">
        <v>876</v>
      </c>
      <c r="G1714" s="15" t="s">
        <v>112</v>
      </c>
      <c r="H1714" s="15"/>
    </row>
    <row r="1715" customFormat="false" ht="26.25" hidden="false" customHeight="true" outlineLevel="0" collapsed="false">
      <c r="A1715" s="15" t="s">
        <v>207</v>
      </c>
      <c r="B1715" s="15" t="s">
        <v>891</v>
      </c>
      <c r="C1715" s="15" t="s">
        <v>875</v>
      </c>
      <c r="D1715" s="15" t="n">
        <v>3.2</v>
      </c>
      <c r="E1715" s="15"/>
      <c r="F1715" s="15" t="s">
        <v>876</v>
      </c>
      <c r="G1715" s="15" t="s">
        <v>819</v>
      </c>
      <c r="H1715" s="15" t="s">
        <v>881</v>
      </c>
    </row>
    <row r="1716" customFormat="false" ht="15" hidden="false" customHeight="true" outlineLevel="0" collapsed="false">
      <c r="A1716" s="15" t="s">
        <v>207</v>
      </c>
      <c r="B1716" s="15" t="s">
        <v>891</v>
      </c>
      <c r="C1716" s="15" t="s">
        <v>772</v>
      </c>
      <c r="D1716" s="15" t="n">
        <v>60000</v>
      </c>
      <c r="E1716" s="15" t="s">
        <v>773</v>
      </c>
      <c r="F1716" s="15" t="s">
        <v>882</v>
      </c>
      <c r="G1716" s="15" t="s">
        <v>112</v>
      </c>
      <c r="H1716" s="15"/>
    </row>
    <row r="1717" customFormat="false" ht="15" hidden="false" customHeight="true" outlineLevel="0" collapsed="false">
      <c r="A1717" s="15" t="s">
        <v>207</v>
      </c>
      <c r="B1717" s="15" t="s">
        <v>891</v>
      </c>
      <c r="C1717" s="15" t="s">
        <v>775</v>
      </c>
      <c r="D1717" s="15" t="n">
        <v>75000</v>
      </c>
      <c r="E1717" s="15" t="s">
        <v>773</v>
      </c>
      <c r="F1717" s="15" t="s">
        <v>882</v>
      </c>
      <c r="G1717" s="15" t="s">
        <v>112</v>
      </c>
      <c r="H1717" s="15"/>
    </row>
    <row r="1718" customFormat="false" ht="26.25" hidden="false" customHeight="true" outlineLevel="0" collapsed="false">
      <c r="A1718" s="15" t="s">
        <v>207</v>
      </c>
      <c r="B1718" s="15" t="s">
        <v>891</v>
      </c>
      <c r="C1718" s="15" t="s">
        <v>98</v>
      </c>
      <c r="D1718" s="15" t="s">
        <v>732</v>
      </c>
      <c r="E1718" s="15"/>
      <c r="F1718" s="15" t="s">
        <v>876</v>
      </c>
      <c r="G1718" s="15" t="s">
        <v>112</v>
      </c>
      <c r="H1718" s="15"/>
    </row>
    <row r="1719" customFormat="false" ht="26.25" hidden="false" customHeight="true" outlineLevel="0" collapsed="false">
      <c r="A1719" s="15" t="s">
        <v>207</v>
      </c>
      <c r="B1719" s="15" t="s">
        <v>891</v>
      </c>
      <c r="C1719" s="15" t="s">
        <v>830</v>
      </c>
      <c r="D1719" s="15" t="s">
        <v>831</v>
      </c>
      <c r="E1719" s="15"/>
      <c r="F1719" s="15" t="s">
        <v>883</v>
      </c>
      <c r="G1719" s="15" t="s">
        <v>112</v>
      </c>
      <c r="H1719" s="15"/>
    </row>
    <row r="1720" customFormat="false" ht="15" hidden="false" customHeight="true" outlineLevel="0" collapsed="false">
      <c r="A1720" s="15" t="s">
        <v>207</v>
      </c>
      <c r="B1720" s="15" t="s">
        <v>891</v>
      </c>
      <c r="C1720" s="15" t="s">
        <v>833</v>
      </c>
      <c r="D1720" s="15" t="s">
        <v>834</v>
      </c>
      <c r="E1720" s="15"/>
      <c r="F1720" s="15" t="s">
        <v>883</v>
      </c>
      <c r="G1720" s="15" t="s">
        <v>112</v>
      </c>
      <c r="H1720" s="15"/>
    </row>
    <row r="1721" customFormat="false" ht="15" hidden="false" customHeight="true" outlineLevel="0" collapsed="false">
      <c r="A1721" s="15" t="s">
        <v>207</v>
      </c>
      <c r="B1721" s="15" t="s">
        <v>891</v>
      </c>
      <c r="C1721" s="15" t="s">
        <v>835</v>
      </c>
      <c r="D1721" s="15" t="s">
        <v>836</v>
      </c>
      <c r="E1721" s="15"/>
      <c r="F1721" s="15" t="s">
        <v>883</v>
      </c>
      <c r="G1721" s="15" t="s">
        <v>112</v>
      </c>
      <c r="H1721" s="15"/>
    </row>
    <row r="1722" customFormat="false" ht="15" hidden="false" customHeight="true" outlineLevel="0" collapsed="false">
      <c r="A1722" s="15" t="s">
        <v>207</v>
      </c>
      <c r="B1722" s="15" t="s">
        <v>891</v>
      </c>
      <c r="C1722" s="15" t="s">
        <v>837</v>
      </c>
      <c r="D1722" s="15" t="n">
        <v>10000</v>
      </c>
      <c r="E1722" s="15" t="s">
        <v>838</v>
      </c>
      <c r="F1722" s="15" t="s">
        <v>883</v>
      </c>
      <c r="G1722" s="15" t="s">
        <v>112</v>
      </c>
      <c r="H1722" s="15"/>
    </row>
    <row r="1723" customFormat="false" ht="26.25" hidden="false" customHeight="true" outlineLevel="0" collapsed="false">
      <c r="A1723" s="15" t="s">
        <v>207</v>
      </c>
      <c r="B1723" s="15" t="s">
        <v>891</v>
      </c>
      <c r="C1723" s="15" t="s">
        <v>839</v>
      </c>
      <c r="D1723" s="15" t="s">
        <v>840</v>
      </c>
      <c r="E1723" s="15"/>
      <c r="F1723" s="15" t="s">
        <v>883</v>
      </c>
      <c r="G1723" s="15" t="s">
        <v>112</v>
      </c>
      <c r="H1723" s="15"/>
    </row>
    <row r="1724" customFormat="false" ht="15" hidden="false" customHeight="true" outlineLevel="0" collapsed="false">
      <c r="A1724" s="15" t="s">
        <v>207</v>
      </c>
      <c r="B1724" s="15" t="s">
        <v>891</v>
      </c>
      <c r="C1724" s="15" t="s">
        <v>841</v>
      </c>
      <c r="D1724" s="15" t="s">
        <v>842</v>
      </c>
      <c r="E1724" s="15"/>
      <c r="F1724" s="15" t="s">
        <v>883</v>
      </c>
      <c r="G1724" s="15" t="s">
        <v>112</v>
      </c>
      <c r="H1724" s="15"/>
    </row>
    <row r="1725" customFormat="false" ht="15" hidden="false" customHeight="true" outlineLevel="0" collapsed="false">
      <c r="A1725" s="15" t="s">
        <v>207</v>
      </c>
      <c r="B1725" s="15" t="s">
        <v>891</v>
      </c>
      <c r="C1725" s="15" t="s">
        <v>843</v>
      </c>
      <c r="D1725" s="15" t="s">
        <v>844</v>
      </c>
      <c r="E1725" s="15"/>
      <c r="F1725" s="15" t="s">
        <v>876</v>
      </c>
      <c r="G1725" s="15" t="s">
        <v>112</v>
      </c>
      <c r="H1725" s="15"/>
    </row>
    <row r="1726" customFormat="false" ht="15" hidden="false" customHeight="true" outlineLevel="0" collapsed="false">
      <c r="A1726" s="15" t="s">
        <v>207</v>
      </c>
      <c r="B1726" s="15" t="s">
        <v>891</v>
      </c>
      <c r="C1726" s="15" t="s">
        <v>737</v>
      </c>
      <c r="D1726" s="15" t="n">
        <v>180</v>
      </c>
      <c r="E1726" s="15" t="s">
        <v>738</v>
      </c>
      <c r="F1726" s="15" t="s">
        <v>876</v>
      </c>
      <c r="G1726" s="15" t="s">
        <v>112</v>
      </c>
      <c r="H1726" s="15"/>
    </row>
    <row r="1727" customFormat="false" ht="15" hidden="false" customHeight="true" outlineLevel="0" collapsed="false">
      <c r="A1727" s="15" t="s">
        <v>207</v>
      </c>
      <c r="B1727" s="15" t="s">
        <v>891</v>
      </c>
      <c r="C1727" s="15" t="s">
        <v>739</v>
      </c>
      <c r="D1727" s="15" t="n">
        <v>160</v>
      </c>
      <c r="E1727" s="15" t="s">
        <v>738</v>
      </c>
      <c r="F1727" s="15" t="s">
        <v>876</v>
      </c>
      <c r="G1727" s="15" t="s">
        <v>112</v>
      </c>
      <c r="H1727" s="15"/>
    </row>
    <row r="1728" customFormat="false" ht="26.25" hidden="false" customHeight="true" outlineLevel="0" collapsed="false">
      <c r="A1728" s="15" t="s">
        <v>207</v>
      </c>
      <c r="B1728" s="15" t="s">
        <v>891</v>
      </c>
      <c r="C1728" s="15" t="s">
        <v>740</v>
      </c>
      <c r="D1728" s="15" t="n">
        <v>7</v>
      </c>
      <c r="E1728" s="15" t="s">
        <v>741</v>
      </c>
      <c r="F1728" s="15" t="s">
        <v>876</v>
      </c>
      <c r="G1728" s="15" t="s">
        <v>112</v>
      </c>
      <c r="H1728" s="15"/>
    </row>
    <row r="1729" customFormat="false" ht="15" hidden="false" customHeight="true" outlineLevel="0" collapsed="false">
      <c r="A1729" s="15" t="s">
        <v>207</v>
      </c>
      <c r="B1729" s="15" t="s">
        <v>891</v>
      </c>
      <c r="C1729" s="15" t="s">
        <v>742</v>
      </c>
      <c r="D1729" s="15" t="n">
        <v>10.2</v>
      </c>
      <c r="E1729" s="15" t="s">
        <v>741</v>
      </c>
      <c r="F1729" s="15" t="s">
        <v>876</v>
      </c>
      <c r="G1729" s="15" t="s">
        <v>112</v>
      </c>
      <c r="H1729" s="15"/>
    </row>
    <row r="1730" customFormat="false" ht="15" hidden="false" customHeight="true" outlineLevel="0" collapsed="false">
      <c r="A1730" s="15" t="s">
        <v>207</v>
      </c>
      <c r="B1730" s="15" t="s">
        <v>891</v>
      </c>
      <c r="C1730" s="15" t="s">
        <v>733</v>
      </c>
      <c r="D1730" s="15" t="s">
        <v>805</v>
      </c>
      <c r="E1730" s="15"/>
      <c r="F1730" s="15" t="s">
        <v>882</v>
      </c>
      <c r="G1730" s="15" t="s">
        <v>112</v>
      </c>
      <c r="H1730" s="15"/>
    </row>
    <row r="1731" customFormat="false" ht="15" hidden="false" customHeight="true" outlineLevel="0" collapsed="false">
      <c r="A1731" s="15" t="s">
        <v>207</v>
      </c>
      <c r="B1731" s="15" t="s">
        <v>891</v>
      </c>
      <c r="C1731" s="15" t="s">
        <v>785</v>
      </c>
      <c r="D1731" s="15" t="n">
        <v>358</v>
      </c>
      <c r="E1731" s="15" t="s">
        <v>786</v>
      </c>
      <c r="F1731" s="15" t="s">
        <v>879</v>
      </c>
      <c r="G1731" s="15" t="s">
        <v>112</v>
      </c>
      <c r="H1731" s="15"/>
    </row>
    <row r="1732" customFormat="false" ht="15" hidden="false" customHeight="true" outlineLevel="0" collapsed="false">
      <c r="A1732" s="15" t="s">
        <v>207</v>
      </c>
      <c r="B1732" s="15" t="s">
        <v>891</v>
      </c>
      <c r="C1732" s="15" t="s">
        <v>769</v>
      </c>
      <c r="D1732" s="15" t="s">
        <v>892</v>
      </c>
      <c r="E1732" s="15" t="s">
        <v>721</v>
      </c>
      <c r="F1732" s="15" t="s">
        <v>876</v>
      </c>
      <c r="G1732" s="15" t="s">
        <v>112</v>
      </c>
      <c r="H1732" s="15"/>
    </row>
    <row r="1733" customFormat="false" ht="15" hidden="false" customHeight="true" outlineLevel="0" collapsed="false">
      <c r="A1733" s="15" t="s">
        <v>207</v>
      </c>
      <c r="B1733" s="15" t="s">
        <v>891</v>
      </c>
      <c r="C1733" s="15" t="s">
        <v>86</v>
      </c>
      <c r="D1733" s="15" t="n">
        <v>6</v>
      </c>
      <c r="E1733" s="15" t="s">
        <v>721</v>
      </c>
      <c r="F1733" s="15" t="s">
        <v>876</v>
      </c>
      <c r="G1733" s="15" t="s">
        <v>112</v>
      </c>
      <c r="H1733" s="15"/>
    </row>
    <row r="1734" customFormat="false" ht="15" hidden="false" customHeight="true" outlineLevel="0" collapsed="false">
      <c r="A1734" s="15" t="s">
        <v>207</v>
      </c>
      <c r="B1734" s="15" t="s">
        <v>891</v>
      </c>
      <c r="C1734" s="15" t="s">
        <v>764</v>
      </c>
      <c r="D1734" s="15" t="s">
        <v>755</v>
      </c>
      <c r="E1734" s="15"/>
      <c r="F1734" s="15" t="s">
        <v>876</v>
      </c>
      <c r="G1734" s="15" t="s">
        <v>112</v>
      </c>
      <c r="H1734" s="15"/>
    </row>
    <row r="1735" customFormat="false" ht="15" hidden="false" customHeight="true" outlineLevel="0" collapsed="false">
      <c r="A1735" s="15" t="s">
        <v>207</v>
      </c>
      <c r="B1735" s="15" t="s">
        <v>891</v>
      </c>
      <c r="C1735" s="15" t="s">
        <v>749</v>
      </c>
      <c r="D1735" s="15" t="s">
        <v>806</v>
      </c>
      <c r="E1735" s="15"/>
      <c r="F1735" s="15" t="s">
        <v>876</v>
      </c>
      <c r="G1735" s="15" t="s">
        <v>112</v>
      </c>
      <c r="H1735" s="15"/>
    </row>
    <row r="1736" customFormat="false" ht="15" hidden="false" customHeight="true" outlineLevel="0" collapsed="false">
      <c r="A1736" s="15" t="s">
        <v>207</v>
      </c>
      <c r="B1736" s="15" t="s">
        <v>891</v>
      </c>
      <c r="C1736" s="15" t="s">
        <v>752</v>
      </c>
      <c r="D1736" s="15" t="s">
        <v>865</v>
      </c>
      <c r="E1736" s="15"/>
      <c r="F1736" s="15" t="s">
        <v>876</v>
      </c>
      <c r="G1736" s="15" t="s">
        <v>112</v>
      </c>
      <c r="H1736" s="15"/>
    </row>
    <row r="1737" customFormat="false" ht="15" hidden="false" customHeight="true" outlineLevel="0" collapsed="false">
      <c r="A1737" s="15" t="s">
        <v>207</v>
      </c>
      <c r="B1737" s="15" t="s">
        <v>891</v>
      </c>
      <c r="C1737" s="15" t="s">
        <v>754</v>
      </c>
      <c r="D1737" s="15" t="s">
        <v>803</v>
      </c>
      <c r="E1737" s="15"/>
      <c r="F1737" s="15" t="s">
        <v>876</v>
      </c>
      <c r="G1737" s="15" t="s">
        <v>112</v>
      </c>
      <c r="H1737" s="15"/>
    </row>
    <row r="1738" customFormat="false" ht="15" hidden="false" customHeight="true" outlineLevel="0" collapsed="false">
      <c r="A1738" s="15" t="s">
        <v>207</v>
      </c>
      <c r="B1738" s="15" t="s">
        <v>891</v>
      </c>
      <c r="C1738" s="15" t="s">
        <v>884</v>
      </c>
      <c r="D1738" s="15" t="s">
        <v>755</v>
      </c>
      <c r="E1738" s="15"/>
      <c r="F1738" s="15" t="s">
        <v>876</v>
      </c>
      <c r="G1738" s="15" t="s">
        <v>112</v>
      </c>
      <c r="H1738" s="15"/>
    </row>
    <row r="1739" customFormat="false" ht="15" hidden="false" customHeight="true" outlineLevel="0" collapsed="false">
      <c r="A1739" s="15" t="s">
        <v>207</v>
      </c>
      <c r="B1739" s="15" t="s">
        <v>891</v>
      </c>
      <c r="C1739" s="15" t="s">
        <v>756</v>
      </c>
      <c r="D1739" s="15" t="s">
        <v>858</v>
      </c>
      <c r="E1739" s="15"/>
      <c r="F1739" s="15" t="s">
        <v>876</v>
      </c>
      <c r="G1739" s="15" t="s">
        <v>112</v>
      </c>
      <c r="H1739" s="15"/>
    </row>
    <row r="1740" customFormat="false" ht="15" hidden="false" customHeight="true" outlineLevel="0" collapsed="false">
      <c r="A1740" s="15" t="s">
        <v>207</v>
      </c>
      <c r="B1740" s="15" t="s">
        <v>891</v>
      </c>
      <c r="C1740" s="15" t="s">
        <v>757</v>
      </c>
      <c r="D1740" s="15" t="s">
        <v>797</v>
      </c>
      <c r="E1740" s="15"/>
      <c r="F1740" s="15" t="s">
        <v>876</v>
      </c>
      <c r="G1740" s="15" t="s">
        <v>112</v>
      </c>
      <c r="H1740" s="15"/>
    </row>
    <row r="1741" customFormat="false" ht="15" hidden="false" customHeight="true" outlineLevel="0" collapsed="false">
      <c r="A1741" s="15" t="s">
        <v>207</v>
      </c>
      <c r="B1741" s="15" t="s">
        <v>891</v>
      </c>
      <c r="C1741" s="15" t="s">
        <v>759</v>
      </c>
      <c r="D1741" s="15" t="s">
        <v>798</v>
      </c>
      <c r="E1741" s="15"/>
      <c r="F1741" s="15" t="s">
        <v>876</v>
      </c>
      <c r="G1741" s="15" t="s">
        <v>112</v>
      </c>
      <c r="H1741" s="15"/>
    </row>
    <row r="1742" customFormat="false" ht="15" hidden="false" customHeight="true" outlineLevel="0" collapsed="false">
      <c r="A1742" s="15" t="s">
        <v>207</v>
      </c>
      <c r="B1742" s="15" t="s">
        <v>891</v>
      </c>
      <c r="C1742" s="15" t="s">
        <v>761</v>
      </c>
      <c r="D1742" s="15" t="s">
        <v>755</v>
      </c>
      <c r="E1742" s="15"/>
      <c r="F1742" s="15" t="s">
        <v>876</v>
      </c>
      <c r="G1742" s="15" t="s">
        <v>112</v>
      </c>
      <c r="H1742" s="15"/>
    </row>
    <row r="1743" customFormat="false" ht="15" hidden="false" customHeight="true" outlineLevel="0" collapsed="false">
      <c r="A1743" s="15" t="s">
        <v>207</v>
      </c>
      <c r="B1743" s="15" t="s">
        <v>891</v>
      </c>
      <c r="C1743" s="15" t="s">
        <v>762</v>
      </c>
      <c r="D1743" s="15" t="s">
        <v>755</v>
      </c>
      <c r="E1743" s="15"/>
      <c r="F1743" s="15" t="s">
        <v>876</v>
      </c>
      <c r="G1743" s="15" t="s">
        <v>112</v>
      </c>
      <c r="H1743" s="15"/>
    </row>
    <row r="1744" customFormat="false" ht="15" hidden="false" customHeight="true" outlineLevel="0" collapsed="false">
      <c r="A1744" s="15" t="s">
        <v>207</v>
      </c>
      <c r="B1744" s="15" t="s">
        <v>891</v>
      </c>
      <c r="C1744" s="15" t="s">
        <v>92</v>
      </c>
      <c r="D1744" s="15" t="s">
        <v>755</v>
      </c>
      <c r="E1744" s="15"/>
      <c r="F1744" s="15" t="s">
        <v>876</v>
      </c>
      <c r="G1744" s="15" t="s">
        <v>112</v>
      </c>
      <c r="H1744" s="15"/>
    </row>
    <row r="1745" customFormat="false" ht="15" hidden="false" customHeight="true" outlineLevel="0" collapsed="false">
      <c r="A1745" s="15" t="s">
        <v>207</v>
      </c>
      <c r="B1745" s="15" t="s">
        <v>891</v>
      </c>
      <c r="C1745" s="15" t="s">
        <v>848</v>
      </c>
      <c r="D1745" s="15" t="s">
        <v>859</v>
      </c>
      <c r="E1745" s="15"/>
      <c r="F1745" s="15" t="s">
        <v>876</v>
      </c>
      <c r="G1745" s="15" t="s">
        <v>112</v>
      </c>
      <c r="H1745" s="15"/>
    </row>
    <row r="1746" customFormat="false" ht="15" hidden="false" customHeight="true" outlineLevel="0" collapsed="false">
      <c r="A1746" s="15" t="s">
        <v>207</v>
      </c>
      <c r="B1746" s="15" t="s">
        <v>891</v>
      </c>
      <c r="C1746" s="15" t="s">
        <v>747</v>
      </c>
      <c r="D1746" s="15" t="s">
        <v>893</v>
      </c>
      <c r="E1746" s="15"/>
      <c r="F1746" s="15" t="s">
        <v>876</v>
      </c>
      <c r="G1746" s="15" t="s">
        <v>112</v>
      </c>
      <c r="H1746" s="15"/>
    </row>
    <row r="1747" customFormat="false" ht="15" hidden="false" customHeight="true" outlineLevel="0" collapsed="false">
      <c r="A1747" s="15" t="s">
        <v>207</v>
      </c>
      <c r="B1747" s="15" t="s">
        <v>891</v>
      </c>
      <c r="C1747" s="15" t="s">
        <v>851</v>
      </c>
      <c r="D1747" s="15" t="s">
        <v>860</v>
      </c>
      <c r="E1747" s="15"/>
      <c r="F1747" s="15" t="s">
        <v>876</v>
      </c>
      <c r="G1747" s="15" t="s">
        <v>112</v>
      </c>
      <c r="H1747" s="15"/>
    </row>
    <row r="1748" customFormat="false" ht="15" hidden="false" customHeight="true" outlineLevel="0" collapsed="false">
      <c r="A1748" s="15" t="s">
        <v>207</v>
      </c>
      <c r="B1748" s="15" t="s">
        <v>891</v>
      </c>
      <c r="C1748" s="15" t="s">
        <v>853</v>
      </c>
      <c r="D1748" s="15" t="s">
        <v>861</v>
      </c>
      <c r="E1748" s="15"/>
      <c r="F1748" s="15" t="s">
        <v>876</v>
      </c>
      <c r="G1748" s="15" t="s">
        <v>112</v>
      </c>
      <c r="H1748" s="15"/>
    </row>
    <row r="1749" customFormat="false" ht="15" hidden="false" customHeight="true" outlineLevel="0" collapsed="false">
      <c r="A1749" s="15" t="s">
        <v>207</v>
      </c>
      <c r="B1749" s="15" t="s">
        <v>891</v>
      </c>
      <c r="C1749" s="15" t="s">
        <v>854</v>
      </c>
      <c r="D1749" s="15" t="s">
        <v>755</v>
      </c>
      <c r="E1749" s="15"/>
      <c r="F1749" s="15" t="s">
        <v>876</v>
      </c>
      <c r="G1749" s="15" t="s">
        <v>112</v>
      </c>
      <c r="H1749" s="15"/>
    </row>
    <row r="1750" customFormat="false" ht="15" hidden="false" customHeight="true" outlineLevel="0" collapsed="false">
      <c r="A1750" s="15" t="s">
        <v>207</v>
      </c>
      <c r="B1750" s="15" t="s">
        <v>891</v>
      </c>
      <c r="C1750" s="15" t="s">
        <v>855</v>
      </c>
      <c r="D1750" s="15" t="s">
        <v>862</v>
      </c>
      <c r="E1750" s="15"/>
      <c r="F1750" s="15" t="s">
        <v>876</v>
      </c>
      <c r="G1750" s="15" t="s">
        <v>112</v>
      </c>
      <c r="H1750" s="15"/>
    </row>
    <row r="1751" customFormat="false" ht="15" hidden="false" customHeight="true" outlineLevel="0" collapsed="false">
      <c r="A1751" s="15" t="s">
        <v>207</v>
      </c>
      <c r="B1751" s="15" t="s">
        <v>891</v>
      </c>
      <c r="C1751" s="15" t="s">
        <v>857</v>
      </c>
      <c r="D1751" s="15" t="s">
        <v>803</v>
      </c>
      <c r="E1751" s="15"/>
      <c r="F1751" s="15" t="s">
        <v>876</v>
      </c>
      <c r="G1751" s="15" t="s">
        <v>112</v>
      </c>
      <c r="H1751" s="15"/>
    </row>
    <row r="1752" customFormat="false" ht="15" hidden="false" customHeight="true" outlineLevel="0" collapsed="false">
      <c r="A1752" s="15" t="s">
        <v>207</v>
      </c>
      <c r="B1752" s="15" t="s">
        <v>891</v>
      </c>
      <c r="C1752" s="15" t="s">
        <v>886</v>
      </c>
      <c r="D1752" s="15" t="s">
        <v>755</v>
      </c>
      <c r="E1752" s="15"/>
      <c r="F1752" s="15" t="s">
        <v>876</v>
      </c>
      <c r="G1752" s="15" t="s">
        <v>112</v>
      </c>
      <c r="H1752" s="15"/>
    </row>
    <row r="1753" customFormat="false" ht="26.25" hidden="false" customHeight="true" outlineLevel="0" collapsed="false">
      <c r="A1753" s="15" t="s">
        <v>245</v>
      </c>
      <c r="B1753" s="15" t="s">
        <v>246</v>
      </c>
      <c r="C1753" s="15" t="s">
        <v>714</v>
      </c>
      <c r="D1753" s="15" t="n">
        <v>380</v>
      </c>
      <c r="E1753" s="15" t="s">
        <v>715</v>
      </c>
      <c r="F1753" s="15" t="s">
        <v>876</v>
      </c>
      <c r="G1753" s="15" t="s">
        <v>112</v>
      </c>
      <c r="H1753" s="15"/>
    </row>
    <row r="1754" customFormat="false" ht="26.25" hidden="false" customHeight="true" outlineLevel="0" collapsed="false">
      <c r="A1754" s="15" t="s">
        <v>245</v>
      </c>
      <c r="B1754" s="15" t="s">
        <v>246</v>
      </c>
      <c r="C1754" s="15" t="s">
        <v>718</v>
      </c>
      <c r="D1754" s="15" t="s">
        <v>113</v>
      </c>
      <c r="E1754" s="15"/>
      <c r="F1754" s="15" t="s">
        <v>876</v>
      </c>
      <c r="G1754" s="15" t="s">
        <v>112</v>
      </c>
      <c r="H1754" s="15"/>
    </row>
    <row r="1755" customFormat="false" ht="26.25" hidden="false" customHeight="true" outlineLevel="0" collapsed="false">
      <c r="A1755" s="15" t="s">
        <v>245</v>
      </c>
      <c r="B1755" s="15" t="s">
        <v>246</v>
      </c>
      <c r="C1755" s="15" t="s">
        <v>719</v>
      </c>
      <c r="D1755" s="15" t="n">
        <v>20</v>
      </c>
      <c r="E1755" s="15" t="s">
        <v>720</v>
      </c>
      <c r="F1755" s="15" t="s">
        <v>876</v>
      </c>
      <c r="G1755" s="15" t="s">
        <v>112</v>
      </c>
      <c r="H1755" s="15"/>
    </row>
    <row r="1756" customFormat="false" ht="26.25" hidden="false" customHeight="true" outlineLevel="0" collapsed="false">
      <c r="A1756" s="15" t="s">
        <v>245</v>
      </c>
      <c r="B1756" s="15" t="s">
        <v>246</v>
      </c>
      <c r="C1756" s="15" t="s">
        <v>722</v>
      </c>
      <c r="D1756" s="15" t="s">
        <v>877</v>
      </c>
      <c r="E1756" s="15" t="s">
        <v>723</v>
      </c>
      <c r="F1756" s="15" t="s">
        <v>876</v>
      </c>
      <c r="G1756" s="15" t="s">
        <v>112</v>
      </c>
      <c r="H1756" s="15"/>
    </row>
    <row r="1757" customFormat="false" ht="26.25" hidden="false" customHeight="true" outlineLevel="0" collapsed="false">
      <c r="A1757" s="15" t="s">
        <v>245</v>
      </c>
      <c r="B1757" s="15" t="s">
        <v>246</v>
      </c>
      <c r="C1757" s="15" t="s">
        <v>724</v>
      </c>
      <c r="D1757" s="15" t="n">
        <v>150</v>
      </c>
      <c r="E1757" s="15" t="s">
        <v>723</v>
      </c>
      <c r="F1757" s="15" t="s">
        <v>876</v>
      </c>
      <c r="G1757" s="15" t="s">
        <v>112</v>
      </c>
      <c r="H1757" s="15"/>
    </row>
    <row r="1758" customFormat="false" ht="26.25" hidden="false" customHeight="true" outlineLevel="0" collapsed="false">
      <c r="A1758" s="15" t="s">
        <v>245</v>
      </c>
      <c r="B1758" s="15" t="s">
        <v>246</v>
      </c>
      <c r="C1758" s="15" t="s">
        <v>84</v>
      </c>
      <c r="D1758" s="15" t="n">
        <v>205</v>
      </c>
      <c r="E1758" s="15" t="s">
        <v>725</v>
      </c>
      <c r="F1758" s="15" t="s">
        <v>876</v>
      </c>
      <c r="G1758" s="15" t="s">
        <v>112</v>
      </c>
      <c r="H1758" s="15"/>
    </row>
    <row r="1759" customFormat="false" ht="26.25" hidden="false" customHeight="true" outlineLevel="0" collapsed="false">
      <c r="A1759" s="15" t="s">
        <v>245</v>
      </c>
      <c r="B1759" s="15" t="s">
        <v>246</v>
      </c>
      <c r="C1759" s="15" t="s">
        <v>726</v>
      </c>
      <c r="D1759" s="15" t="n">
        <v>4737</v>
      </c>
      <c r="E1759" s="15" t="s">
        <v>725</v>
      </c>
      <c r="F1759" s="15" t="s">
        <v>876</v>
      </c>
      <c r="G1759" s="15" t="s">
        <v>112</v>
      </c>
      <c r="H1759" s="15"/>
    </row>
    <row r="1760" customFormat="false" ht="26.25" hidden="false" customHeight="true" outlineLevel="0" collapsed="false">
      <c r="A1760" s="15" t="s">
        <v>245</v>
      </c>
      <c r="B1760" s="15" t="s">
        <v>246</v>
      </c>
      <c r="C1760" s="15" t="s">
        <v>727</v>
      </c>
      <c r="D1760" s="15" t="n">
        <v>1900</v>
      </c>
      <c r="E1760" s="15" t="s">
        <v>725</v>
      </c>
      <c r="F1760" s="15" t="s">
        <v>876</v>
      </c>
      <c r="G1760" s="15" t="s">
        <v>112</v>
      </c>
      <c r="H1760" s="15"/>
    </row>
    <row r="1761" customFormat="false" ht="26.25" hidden="false" customHeight="true" outlineLevel="0" collapsed="false">
      <c r="A1761" s="15" t="s">
        <v>245</v>
      </c>
      <c r="B1761" s="15" t="s">
        <v>246</v>
      </c>
      <c r="C1761" s="15" t="s">
        <v>728</v>
      </c>
      <c r="D1761" s="15" t="n">
        <v>1747</v>
      </c>
      <c r="E1761" s="15" t="s">
        <v>725</v>
      </c>
      <c r="F1761" s="15" t="s">
        <v>876</v>
      </c>
      <c r="G1761" s="15" t="s">
        <v>112</v>
      </c>
      <c r="H1761" s="15"/>
    </row>
    <row r="1762" customFormat="false" ht="26.25" hidden="false" customHeight="true" outlineLevel="0" collapsed="false">
      <c r="A1762" s="15" t="s">
        <v>245</v>
      </c>
      <c r="B1762" s="15" t="s">
        <v>246</v>
      </c>
      <c r="C1762" s="15" t="s">
        <v>729</v>
      </c>
      <c r="D1762" s="15" t="n">
        <v>2762</v>
      </c>
      <c r="E1762" s="15" t="s">
        <v>725</v>
      </c>
      <c r="F1762" s="15" t="s">
        <v>876</v>
      </c>
      <c r="G1762" s="15" t="s">
        <v>112</v>
      </c>
      <c r="H1762" s="15"/>
    </row>
    <row r="1763" customFormat="false" ht="26.25" hidden="false" customHeight="true" outlineLevel="0" collapsed="false">
      <c r="A1763" s="15" t="s">
        <v>245</v>
      </c>
      <c r="B1763" s="15" t="s">
        <v>246</v>
      </c>
      <c r="C1763" s="15" t="s">
        <v>730</v>
      </c>
      <c r="D1763" s="15" t="n">
        <v>10</v>
      </c>
      <c r="E1763" s="15" t="s">
        <v>731</v>
      </c>
      <c r="F1763" s="15" t="s">
        <v>876</v>
      </c>
      <c r="G1763" s="15" t="s">
        <v>112</v>
      </c>
      <c r="H1763" s="15"/>
    </row>
    <row r="1764" customFormat="false" ht="26.25" hidden="false" customHeight="true" outlineLevel="0" collapsed="false">
      <c r="A1764" s="15" t="s">
        <v>245</v>
      </c>
      <c r="B1764" s="15" t="s">
        <v>246</v>
      </c>
      <c r="C1764" s="15" t="s">
        <v>776</v>
      </c>
      <c r="D1764" s="15" t="s">
        <v>878</v>
      </c>
      <c r="E1764" s="15"/>
      <c r="F1764" s="15" t="s">
        <v>876</v>
      </c>
      <c r="G1764" s="15" t="s">
        <v>112</v>
      </c>
      <c r="H1764" s="15"/>
    </row>
    <row r="1765" customFormat="false" ht="26.25" hidden="false" customHeight="true" outlineLevel="0" collapsed="false">
      <c r="A1765" s="15" t="s">
        <v>245</v>
      </c>
      <c r="B1765" s="15" t="s">
        <v>246</v>
      </c>
      <c r="C1765" s="15" t="s">
        <v>780</v>
      </c>
      <c r="D1765" s="15" t="s">
        <v>781</v>
      </c>
      <c r="E1765" s="15"/>
      <c r="F1765" s="15" t="s">
        <v>876</v>
      </c>
      <c r="G1765" s="15" t="s">
        <v>112</v>
      </c>
      <c r="H1765" s="15"/>
    </row>
    <row r="1766" customFormat="false" ht="26.25" hidden="false" customHeight="true" outlineLevel="0" collapsed="false">
      <c r="A1766" s="15" t="s">
        <v>245</v>
      </c>
      <c r="B1766" s="15" t="s">
        <v>246</v>
      </c>
      <c r="C1766" s="15" t="s">
        <v>789</v>
      </c>
      <c r="D1766" s="15" t="s">
        <v>790</v>
      </c>
      <c r="E1766" s="15"/>
      <c r="F1766" s="15" t="s">
        <v>876</v>
      </c>
      <c r="G1766" s="15" t="s">
        <v>112</v>
      </c>
      <c r="H1766" s="15"/>
    </row>
    <row r="1767" customFormat="false" ht="26.25" hidden="false" customHeight="true" outlineLevel="0" collapsed="false">
      <c r="A1767" s="15" t="s">
        <v>245</v>
      </c>
      <c r="B1767" s="15" t="s">
        <v>246</v>
      </c>
      <c r="C1767" s="15" t="s">
        <v>784</v>
      </c>
      <c r="D1767" s="15" t="n">
        <v>11</v>
      </c>
      <c r="E1767" s="15" t="s">
        <v>738</v>
      </c>
      <c r="F1767" s="15" t="s">
        <v>879</v>
      </c>
      <c r="G1767" s="15" t="s">
        <v>112</v>
      </c>
      <c r="H1767" s="15"/>
    </row>
    <row r="1768" customFormat="false" ht="26.25" hidden="false" customHeight="true" outlineLevel="0" collapsed="false">
      <c r="A1768" s="15" t="s">
        <v>245</v>
      </c>
      <c r="B1768" s="15" t="s">
        <v>246</v>
      </c>
      <c r="C1768" s="15" t="s">
        <v>782</v>
      </c>
      <c r="D1768" s="15" t="n">
        <v>36</v>
      </c>
      <c r="E1768" s="15" t="s">
        <v>783</v>
      </c>
      <c r="F1768" s="15" t="s">
        <v>879</v>
      </c>
      <c r="G1768" s="15" t="s">
        <v>112</v>
      </c>
      <c r="H1768" s="15"/>
    </row>
    <row r="1769" customFormat="false" ht="26.25" hidden="false" customHeight="true" outlineLevel="0" collapsed="false">
      <c r="A1769" s="15" t="s">
        <v>245</v>
      </c>
      <c r="B1769" s="15" t="s">
        <v>246</v>
      </c>
      <c r="C1769" s="15" t="s">
        <v>90</v>
      </c>
      <c r="D1769" s="15" t="s">
        <v>880</v>
      </c>
      <c r="E1769" s="15"/>
      <c r="F1769" s="15" t="s">
        <v>876</v>
      </c>
      <c r="G1769" s="15" t="s">
        <v>112</v>
      </c>
      <c r="H1769" s="15"/>
    </row>
    <row r="1770" customFormat="false" ht="26.25" hidden="false" customHeight="true" outlineLevel="0" collapsed="false">
      <c r="A1770" s="15" t="s">
        <v>245</v>
      </c>
      <c r="B1770" s="15" t="s">
        <v>246</v>
      </c>
      <c r="C1770" s="15" t="s">
        <v>875</v>
      </c>
      <c r="D1770" s="15" t="n">
        <v>3.2</v>
      </c>
      <c r="E1770" s="15"/>
      <c r="F1770" s="15" t="s">
        <v>876</v>
      </c>
      <c r="G1770" s="15" t="s">
        <v>819</v>
      </c>
      <c r="H1770" s="15" t="s">
        <v>881</v>
      </c>
    </row>
    <row r="1771" customFormat="false" ht="26.25" hidden="false" customHeight="true" outlineLevel="0" collapsed="false">
      <c r="A1771" s="15" t="s">
        <v>245</v>
      </c>
      <c r="B1771" s="15" t="s">
        <v>246</v>
      </c>
      <c r="C1771" s="15" t="s">
        <v>772</v>
      </c>
      <c r="D1771" s="15" t="n">
        <v>60000</v>
      </c>
      <c r="E1771" s="15" t="s">
        <v>773</v>
      </c>
      <c r="F1771" s="15" t="s">
        <v>882</v>
      </c>
      <c r="G1771" s="15" t="s">
        <v>112</v>
      </c>
      <c r="H1771" s="15"/>
    </row>
    <row r="1772" customFormat="false" ht="26.25" hidden="false" customHeight="true" outlineLevel="0" collapsed="false">
      <c r="A1772" s="15" t="s">
        <v>245</v>
      </c>
      <c r="B1772" s="15" t="s">
        <v>246</v>
      </c>
      <c r="C1772" s="15" t="s">
        <v>775</v>
      </c>
      <c r="D1772" s="15" t="n">
        <v>75000</v>
      </c>
      <c r="E1772" s="15" t="s">
        <v>773</v>
      </c>
      <c r="F1772" s="15" t="s">
        <v>882</v>
      </c>
      <c r="G1772" s="15" t="s">
        <v>112</v>
      </c>
      <c r="H1772" s="15"/>
    </row>
    <row r="1773" customFormat="false" ht="26.25" hidden="false" customHeight="true" outlineLevel="0" collapsed="false">
      <c r="A1773" s="15" t="s">
        <v>245</v>
      </c>
      <c r="B1773" s="15" t="s">
        <v>246</v>
      </c>
      <c r="C1773" s="15" t="s">
        <v>98</v>
      </c>
      <c r="D1773" s="15" t="s">
        <v>732</v>
      </c>
      <c r="E1773" s="15"/>
      <c r="F1773" s="15" t="s">
        <v>876</v>
      </c>
      <c r="G1773" s="15" t="s">
        <v>112</v>
      </c>
      <c r="H1773" s="15"/>
    </row>
    <row r="1774" customFormat="false" ht="26.25" hidden="false" customHeight="true" outlineLevel="0" collapsed="false">
      <c r="A1774" s="15" t="s">
        <v>245</v>
      </c>
      <c r="B1774" s="15" t="s">
        <v>246</v>
      </c>
      <c r="C1774" s="15" t="s">
        <v>830</v>
      </c>
      <c r="D1774" s="15" t="s">
        <v>831</v>
      </c>
      <c r="E1774" s="15"/>
      <c r="F1774" s="15" t="s">
        <v>883</v>
      </c>
      <c r="G1774" s="15" t="s">
        <v>112</v>
      </c>
      <c r="H1774" s="15"/>
    </row>
    <row r="1775" customFormat="false" ht="26.25" hidden="false" customHeight="true" outlineLevel="0" collapsed="false">
      <c r="A1775" s="15" t="s">
        <v>245</v>
      </c>
      <c r="B1775" s="15" t="s">
        <v>246</v>
      </c>
      <c r="C1775" s="15" t="s">
        <v>833</v>
      </c>
      <c r="D1775" s="15" t="s">
        <v>834</v>
      </c>
      <c r="E1775" s="15"/>
      <c r="F1775" s="15" t="s">
        <v>883</v>
      </c>
      <c r="G1775" s="15" t="s">
        <v>112</v>
      </c>
      <c r="H1775" s="15"/>
    </row>
    <row r="1776" customFormat="false" ht="26.25" hidden="false" customHeight="true" outlineLevel="0" collapsed="false">
      <c r="A1776" s="15" t="s">
        <v>245</v>
      </c>
      <c r="B1776" s="15" t="s">
        <v>246</v>
      </c>
      <c r="C1776" s="15" t="s">
        <v>835</v>
      </c>
      <c r="D1776" s="15" t="s">
        <v>836</v>
      </c>
      <c r="E1776" s="15"/>
      <c r="F1776" s="15" t="s">
        <v>883</v>
      </c>
      <c r="G1776" s="15" t="s">
        <v>112</v>
      </c>
      <c r="H1776" s="15"/>
    </row>
    <row r="1777" customFormat="false" ht="26.25" hidden="false" customHeight="true" outlineLevel="0" collapsed="false">
      <c r="A1777" s="15" t="s">
        <v>245</v>
      </c>
      <c r="B1777" s="15" t="s">
        <v>246</v>
      </c>
      <c r="C1777" s="15" t="s">
        <v>837</v>
      </c>
      <c r="D1777" s="15" t="n">
        <v>10000</v>
      </c>
      <c r="E1777" s="15" t="s">
        <v>838</v>
      </c>
      <c r="F1777" s="15" t="s">
        <v>883</v>
      </c>
      <c r="G1777" s="15" t="s">
        <v>112</v>
      </c>
      <c r="H1777" s="15"/>
    </row>
    <row r="1778" customFormat="false" ht="26.25" hidden="false" customHeight="true" outlineLevel="0" collapsed="false">
      <c r="A1778" s="15" t="s">
        <v>245</v>
      </c>
      <c r="B1778" s="15" t="s">
        <v>246</v>
      </c>
      <c r="C1778" s="15" t="s">
        <v>839</v>
      </c>
      <c r="D1778" s="15" t="s">
        <v>840</v>
      </c>
      <c r="E1778" s="15"/>
      <c r="F1778" s="15" t="s">
        <v>883</v>
      </c>
      <c r="G1778" s="15" t="s">
        <v>112</v>
      </c>
      <c r="H1778" s="15"/>
    </row>
    <row r="1779" customFormat="false" ht="26.25" hidden="false" customHeight="true" outlineLevel="0" collapsed="false">
      <c r="A1779" s="15" t="s">
        <v>245</v>
      </c>
      <c r="B1779" s="15" t="s">
        <v>246</v>
      </c>
      <c r="C1779" s="15" t="s">
        <v>841</v>
      </c>
      <c r="D1779" s="15" t="s">
        <v>842</v>
      </c>
      <c r="E1779" s="15"/>
      <c r="F1779" s="15" t="s">
        <v>883</v>
      </c>
      <c r="G1779" s="15" t="s">
        <v>112</v>
      </c>
      <c r="H1779" s="15"/>
    </row>
    <row r="1780" customFormat="false" ht="26.25" hidden="false" customHeight="true" outlineLevel="0" collapsed="false">
      <c r="A1780" s="15" t="s">
        <v>245</v>
      </c>
      <c r="B1780" s="15" t="s">
        <v>246</v>
      </c>
      <c r="C1780" s="15" t="s">
        <v>843</v>
      </c>
      <c r="D1780" s="15" t="s">
        <v>844</v>
      </c>
      <c r="E1780" s="15"/>
      <c r="F1780" s="15" t="s">
        <v>876</v>
      </c>
      <c r="G1780" s="15" t="s">
        <v>112</v>
      </c>
      <c r="H1780" s="15"/>
    </row>
    <row r="1781" customFormat="false" ht="26.25" hidden="false" customHeight="true" outlineLevel="0" collapsed="false">
      <c r="A1781" s="15" t="s">
        <v>245</v>
      </c>
      <c r="B1781" s="15" t="s">
        <v>246</v>
      </c>
      <c r="C1781" s="15" t="s">
        <v>737</v>
      </c>
      <c r="D1781" s="15" t="n">
        <v>180</v>
      </c>
      <c r="E1781" s="15" t="s">
        <v>738</v>
      </c>
      <c r="F1781" s="15" t="s">
        <v>876</v>
      </c>
      <c r="G1781" s="15" t="s">
        <v>112</v>
      </c>
      <c r="H1781" s="15"/>
    </row>
    <row r="1782" customFormat="false" ht="26.25" hidden="false" customHeight="true" outlineLevel="0" collapsed="false">
      <c r="A1782" s="15" t="s">
        <v>245</v>
      </c>
      <c r="B1782" s="15" t="s">
        <v>246</v>
      </c>
      <c r="C1782" s="15" t="s">
        <v>739</v>
      </c>
      <c r="D1782" s="15" t="n">
        <v>160</v>
      </c>
      <c r="E1782" s="15" t="s">
        <v>738</v>
      </c>
      <c r="F1782" s="15" t="s">
        <v>876</v>
      </c>
      <c r="G1782" s="15" t="s">
        <v>112</v>
      </c>
      <c r="H1782" s="15"/>
    </row>
    <row r="1783" customFormat="false" ht="26.25" hidden="false" customHeight="true" outlineLevel="0" collapsed="false">
      <c r="A1783" s="15" t="s">
        <v>245</v>
      </c>
      <c r="B1783" s="15" t="s">
        <v>246</v>
      </c>
      <c r="C1783" s="15" t="s">
        <v>740</v>
      </c>
      <c r="D1783" s="15" t="n">
        <v>7</v>
      </c>
      <c r="E1783" s="15" t="s">
        <v>741</v>
      </c>
      <c r="F1783" s="15" t="s">
        <v>876</v>
      </c>
      <c r="G1783" s="15" t="s">
        <v>112</v>
      </c>
      <c r="H1783" s="15"/>
    </row>
    <row r="1784" customFormat="false" ht="26.25" hidden="false" customHeight="true" outlineLevel="0" collapsed="false">
      <c r="A1784" s="15" t="s">
        <v>245</v>
      </c>
      <c r="B1784" s="15" t="s">
        <v>246</v>
      </c>
      <c r="C1784" s="15" t="s">
        <v>742</v>
      </c>
      <c r="D1784" s="15" t="n">
        <v>10.2</v>
      </c>
      <c r="E1784" s="15" t="s">
        <v>741</v>
      </c>
      <c r="F1784" s="15" t="s">
        <v>876</v>
      </c>
      <c r="G1784" s="15" t="s">
        <v>112</v>
      </c>
      <c r="H1784" s="15"/>
    </row>
    <row r="1785" customFormat="false" ht="26.25" hidden="false" customHeight="true" outlineLevel="0" collapsed="false">
      <c r="A1785" s="15" t="s">
        <v>245</v>
      </c>
      <c r="B1785" s="15" t="s">
        <v>246</v>
      </c>
      <c r="C1785" s="15" t="s">
        <v>733</v>
      </c>
      <c r="D1785" s="15" t="s">
        <v>805</v>
      </c>
      <c r="E1785" s="15"/>
      <c r="F1785" s="15" t="s">
        <v>882</v>
      </c>
      <c r="G1785" s="15" t="s">
        <v>112</v>
      </c>
      <c r="H1785" s="15"/>
    </row>
    <row r="1786" customFormat="false" ht="26.25" hidden="false" customHeight="true" outlineLevel="0" collapsed="false">
      <c r="A1786" s="15" t="s">
        <v>245</v>
      </c>
      <c r="B1786" s="15" t="s">
        <v>246</v>
      </c>
      <c r="C1786" s="15" t="s">
        <v>785</v>
      </c>
      <c r="D1786" s="15" t="n">
        <v>358</v>
      </c>
      <c r="E1786" s="15" t="s">
        <v>786</v>
      </c>
      <c r="F1786" s="15" t="s">
        <v>879</v>
      </c>
      <c r="G1786" s="15" t="s">
        <v>112</v>
      </c>
      <c r="H1786" s="15"/>
    </row>
    <row r="1787" customFormat="false" ht="26.25" hidden="false" customHeight="true" outlineLevel="0" collapsed="false">
      <c r="A1787" s="15" t="s">
        <v>245</v>
      </c>
      <c r="B1787" s="15" t="s">
        <v>246</v>
      </c>
      <c r="C1787" s="15" t="s">
        <v>769</v>
      </c>
      <c r="D1787" s="15" t="s">
        <v>892</v>
      </c>
      <c r="E1787" s="15" t="s">
        <v>721</v>
      </c>
      <c r="F1787" s="15" t="s">
        <v>876</v>
      </c>
      <c r="G1787" s="15" t="s">
        <v>112</v>
      </c>
      <c r="H1787" s="15"/>
    </row>
    <row r="1788" customFormat="false" ht="26.25" hidden="false" customHeight="true" outlineLevel="0" collapsed="false">
      <c r="A1788" s="15" t="s">
        <v>245</v>
      </c>
      <c r="B1788" s="15" t="s">
        <v>246</v>
      </c>
      <c r="C1788" s="15" t="s">
        <v>86</v>
      </c>
      <c r="D1788" s="15" t="n">
        <v>6</v>
      </c>
      <c r="E1788" s="15" t="s">
        <v>721</v>
      </c>
      <c r="F1788" s="15" t="s">
        <v>876</v>
      </c>
      <c r="G1788" s="15" t="s">
        <v>112</v>
      </c>
      <c r="H1788" s="15"/>
    </row>
    <row r="1789" customFormat="false" ht="26.25" hidden="false" customHeight="true" outlineLevel="0" collapsed="false">
      <c r="A1789" s="15" t="s">
        <v>245</v>
      </c>
      <c r="B1789" s="15" t="s">
        <v>246</v>
      </c>
      <c r="C1789" s="15" t="s">
        <v>764</v>
      </c>
      <c r="D1789" s="15" t="s">
        <v>755</v>
      </c>
      <c r="E1789" s="15"/>
      <c r="F1789" s="15" t="s">
        <v>876</v>
      </c>
      <c r="G1789" s="15" t="s">
        <v>112</v>
      </c>
      <c r="H1789" s="15"/>
    </row>
    <row r="1790" customFormat="false" ht="26.25" hidden="false" customHeight="true" outlineLevel="0" collapsed="false">
      <c r="A1790" s="15" t="s">
        <v>245</v>
      </c>
      <c r="B1790" s="15" t="s">
        <v>246</v>
      </c>
      <c r="C1790" s="15" t="s">
        <v>749</v>
      </c>
      <c r="D1790" s="15" t="s">
        <v>806</v>
      </c>
      <c r="E1790" s="15"/>
      <c r="F1790" s="15" t="s">
        <v>876</v>
      </c>
      <c r="G1790" s="15" t="s">
        <v>112</v>
      </c>
      <c r="H1790" s="15"/>
    </row>
    <row r="1791" customFormat="false" ht="26.25" hidden="false" customHeight="true" outlineLevel="0" collapsed="false">
      <c r="A1791" s="15" t="s">
        <v>245</v>
      </c>
      <c r="B1791" s="15" t="s">
        <v>246</v>
      </c>
      <c r="C1791" s="15" t="s">
        <v>752</v>
      </c>
      <c r="D1791" s="15" t="s">
        <v>865</v>
      </c>
      <c r="E1791" s="15"/>
      <c r="F1791" s="15" t="s">
        <v>876</v>
      </c>
      <c r="G1791" s="15" t="s">
        <v>112</v>
      </c>
      <c r="H1791" s="15"/>
    </row>
    <row r="1792" customFormat="false" ht="26.25" hidden="false" customHeight="true" outlineLevel="0" collapsed="false">
      <c r="A1792" s="15" t="s">
        <v>245</v>
      </c>
      <c r="B1792" s="15" t="s">
        <v>246</v>
      </c>
      <c r="C1792" s="15" t="s">
        <v>754</v>
      </c>
      <c r="D1792" s="15" t="s">
        <v>803</v>
      </c>
      <c r="E1792" s="15"/>
      <c r="F1792" s="15" t="s">
        <v>876</v>
      </c>
      <c r="G1792" s="15" t="s">
        <v>112</v>
      </c>
      <c r="H1792" s="15"/>
    </row>
    <row r="1793" customFormat="false" ht="26.25" hidden="false" customHeight="true" outlineLevel="0" collapsed="false">
      <c r="A1793" s="15" t="s">
        <v>245</v>
      </c>
      <c r="B1793" s="15" t="s">
        <v>246</v>
      </c>
      <c r="C1793" s="15" t="s">
        <v>884</v>
      </c>
      <c r="D1793" s="15" t="s">
        <v>755</v>
      </c>
      <c r="E1793" s="15"/>
      <c r="F1793" s="15" t="s">
        <v>876</v>
      </c>
      <c r="G1793" s="15" t="s">
        <v>112</v>
      </c>
      <c r="H1793" s="15"/>
    </row>
    <row r="1794" customFormat="false" ht="26.25" hidden="false" customHeight="true" outlineLevel="0" collapsed="false">
      <c r="A1794" s="15" t="s">
        <v>245</v>
      </c>
      <c r="B1794" s="15" t="s">
        <v>246</v>
      </c>
      <c r="C1794" s="15" t="s">
        <v>756</v>
      </c>
      <c r="D1794" s="15" t="s">
        <v>858</v>
      </c>
      <c r="E1794" s="15"/>
      <c r="F1794" s="15" t="s">
        <v>876</v>
      </c>
      <c r="G1794" s="15" t="s">
        <v>112</v>
      </c>
      <c r="H1794" s="15"/>
    </row>
    <row r="1795" customFormat="false" ht="26.25" hidden="false" customHeight="true" outlineLevel="0" collapsed="false">
      <c r="A1795" s="15" t="s">
        <v>245</v>
      </c>
      <c r="B1795" s="15" t="s">
        <v>246</v>
      </c>
      <c r="C1795" s="15" t="s">
        <v>757</v>
      </c>
      <c r="D1795" s="15" t="s">
        <v>797</v>
      </c>
      <c r="E1795" s="15"/>
      <c r="F1795" s="15" t="s">
        <v>876</v>
      </c>
      <c r="G1795" s="15" t="s">
        <v>112</v>
      </c>
      <c r="H1795" s="15"/>
    </row>
    <row r="1796" customFormat="false" ht="26.25" hidden="false" customHeight="true" outlineLevel="0" collapsed="false">
      <c r="A1796" s="15" t="s">
        <v>245</v>
      </c>
      <c r="B1796" s="15" t="s">
        <v>246</v>
      </c>
      <c r="C1796" s="15" t="s">
        <v>759</v>
      </c>
      <c r="D1796" s="15" t="s">
        <v>798</v>
      </c>
      <c r="E1796" s="15"/>
      <c r="F1796" s="15" t="s">
        <v>876</v>
      </c>
      <c r="G1796" s="15" t="s">
        <v>112</v>
      </c>
      <c r="H1796" s="15"/>
    </row>
    <row r="1797" customFormat="false" ht="26.25" hidden="false" customHeight="true" outlineLevel="0" collapsed="false">
      <c r="A1797" s="15" t="s">
        <v>245</v>
      </c>
      <c r="B1797" s="15" t="s">
        <v>246</v>
      </c>
      <c r="C1797" s="15" t="s">
        <v>761</v>
      </c>
      <c r="D1797" s="15" t="s">
        <v>755</v>
      </c>
      <c r="E1797" s="15"/>
      <c r="F1797" s="15" t="s">
        <v>876</v>
      </c>
      <c r="G1797" s="15" t="s">
        <v>112</v>
      </c>
      <c r="H1797" s="15"/>
    </row>
    <row r="1798" customFormat="false" ht="26.25" hidden="false" customHeight="true" outlineLevel="0" collapsed="false">
      <c r="A1798" s="15" t="s">
        <v>245</v>
      </c>
      <c r="B1798" s="15" t="s">
        <v>246</v>
      </c>
      <c r="C1798" s="15" t="s">
        <v>762</v>
      </c>
      <c r="D1798" s="15" t="s">
        <v>755</v>
      </c>
      <c r="E1798" s="15"/>
      <c r="F1798" s="15" t="s">
        <v>876</v>
      </c>
      <c r="G1798" s="15" t="s">
        <v>112</v>
      </c>
      <c r="H1798" s="15"/>
    </row>
    <row r="1799" customFormat="false" ht="26.25" hidden="false" customHeight="true" outlineLevel="0" collapsed="false">
      <c r="A1799" s="15" t="s">
        <v>245</v>
      </c>
      <c r="B1799" s="15" t="s">
        <v>246</v>
      </c>
      <c r="C1799" s="15" t="s">
        <v>92</v>
      </c>
      <c r="D1799" s="15" t="s">
        <v>755</v>
      </c>
      <c r="E1799" s="15"/>
      <c r="F1799" s="15" t="s">
        <v>876</v>
      </c>
      <c r="G1799" s="15" t="s">
        <v>112</v>
      </c>
      <c r="H1799" s="15"/>
    </row>
    <row r="1800" customFormat="false" ht="26.25" hidden="false" customHeight="true" outlineLevel="0" collapsed="false">
      <c r="A1800" s="15" t="s">
        <v>245</v>
      </c>
      <c r="B1800" s="15" t="s">
        <v>246</v>
      </c>
      <c r="C1800" s="15" t="s">
        <v>848</v>
      </c>
      <c r="D1800" s="15" t="s">
        <v>859</v>
      </c>
      <c r="E1800" s="15"/>
      <c r="F1800" s="15" t="s">
        <v>876</v>
      </c>
      <c r="G1800" s="15" t="s">
        <v>112</v>
      </c>
      <c r="H1800" s="15"/>
    </row>
    <row r="1801" customFormat="false" ht="26.25" hidden="false" customHeight="true" outlineLevel="0" collapsed="false">
      <c r="A1801" s="15" t="s">
        <v>245</v>
      </c>
      <c r="B1801" s="15" t="s">
        <v>246</v>
      </c>
      <c r="C1801" s="15" t="s">
        <v>747</v>
      </c>
      <c r="D1801" s="15" t="s">
        <v>893</v>
      </c>
      <c r="E1801" s="15"/>
      <c r="F1801" s="15" t="s">
        <v>876</v>
      </c>
      <c r="G1801" s="15" t="s">
        <v>112</v>
      </c>
      <c r="H1801" s="15"/>
    </row>
    <row r="1802" customFormat="false" ht="26.25" hidden="false" customHeight="true" outlineLevel="0" collapsed="false">
      <c r="A1802" s="15" t="s">
        <v>245</v>
      </c>
      <c r="B1802" s="15" t="s">
        <v>246</v>
      </c>
      <c r="C1802" s="15" t="s">
        <v>851</v>
      </c>
      <c r="D1802" s="15" t="s">
        <v>860</v>
      </c>
      <c r="E1802" s="15"/>
      <c r="F1802" s="15" t="s">
        <v>876</v>
      </c>
      <c r="G1802" s="15" t="s">
        <v>112</v>
      </c>
      <c r="H1802" s="15"/>
    </row>
    <row r="1803" customFormat="false" ht="26.25" hidden="false" customHeight="true" outlineLevel="0" collapsed="false">
      <c r="A1803" s="15" t="s">
        <v>245</v>
      </c>
      <c r="B1803" s="15" t="s">
        <v>246</v>
      </c>
      <c r="C1803" s="15" t="s">
        <v>853</v>
      </c>
      <c r="D1803" s="15" t="s">
        <v>861</v>
      </c>
      <c r="E1803" s="15"/>
      <c r="F1803" s="15" t="s">
        <v>876</v>
      </c>
      <c r="G1803" s="15" t="s">
        <v>112</v>
      </c>
      <c r="H1803" s="15"/>
    </row>
    <row r="1804" customFormat="false" ht="26.25" hidden="false" customHeight="true" outlineLevel="0" collapsed="false">
      <c r="A1804" s="15" t="s">
        <v>245</v>
      </c>
      <c r="B1804" s="15" t="s">
        <v>246</v>
      </c>
      <c r="C1804" s="15" t="s">
        <v>854</v>
      </c>
      <c r="D1804" s="15" t="s">
        <v>755</v>
      </c>
      <c r="E1804" s="15"/>
      <c r="F1804" s="15" t="s">
        <v>876</v>
      </c>
      <c r="G1804" s="15" t="s">
        <v>112</v>
      </c>
      <c r="H1804" s="15"/>
    </row>
    <row r="1805" customFormat="false" ht="26.25" hidden="false" customHeight="true" outlineLevel="0" collapsed="false">
      <c r="A1805" s="15" t="s">
        <v>245</v>
      </c>
      <c r="B1805" s="15" t="s">
        <v>246</v>
      </c>
      <c r="C1805" s="15" t="s">
        <v>855</v>
      </c>
      <c r="D1805" s="15" t="s">
        <v>862</v>
      </c>
      <c r="E1805" s="15"/>
      <c r="F1805" s="15" t="s">
        <v>876</v>
      </c>
      <c r="G1805" s="15" t="s">
        <v>112</v>
      </c>
      <c r="H1805" s="15"/>
    </row>
    <row r="1806" customFormat="false" ht="26.25" hidden="false" customHeight="true" outlineLevel="0" collapsed="false">
      <c r="A1806" s="15" t="s">
        <v>245</v>
      </c>
      <c r="B1806" s="15" t="s">
        <v>246</v>
      </c>
      <c r="C1806" s="15" t="s">
        <v>857</v>
      </c>
      <c r="D1806" s="15" t="s">
        <v>803</v>
      </c>
      <c r="E1806" s="15"/>
      <c r="F1806" s="15" t="s">
        <v>876</v>
      </c>
      <c r="G1806" s="15" t="s">
        <v>112</v>
      </c>
      <c r="H1806" s="15"/>
    </row>
    <row r="1807" customFormat="false" ht="26.25" hidden="false" customHeight="true" outlineLevel="0" collapsed="false">
      <c r="A1807" s="15" t="s">
        <v>245</v>
      </c>
      <c r="B1807" s="15" t="s">
        <v>246</v>
      </c>
      <c r="C1807" s="15" t="s">
        <v>886</v>
      </c>
      <c r="D1807" s="15" t="s">
        <v>755</v>
      </c>
      <c r="E1807" s="15"/>
      <c r="F1807" s="15" t="s">
        <v>876</v>
      </c>
      <c r="G1807" s="15" t="s">
        <v>112</v>
      </c>
      <c r="H1807" s="15"/>
    </row>
    <row r="1808" customFormat="false" ht="15" hidden="false" customHeight="true" outlineLevel="0" collapsed="false">
      <c r="A1808" s="15" t="s">
        <v>215</v>
      </c>
      <c r="B1808" s="15" t="s">
        <v>894</v>
      </c>
      <c r="C1808" s="15" t="s">
        <v>714</v>
      </c>
      <c r="D1808" s="15" t="n">
        <v>380</v>
      </c>
      <c r="E1808" s="15" t="s">
        <v>715</v>
      </c>
      <c r="F1808" s="15" t="s">
        <v>876</v>
      </c>
      <c r="G1808" s="15" t="s">
        <v>112</v>
      </c>
      <c r="H1808" s="15"/>
    </row>
    <row r="1809" customFormat="false" ht="15" hidden="false" customHeight="true" outlineLevel="0" collapsed="false">
      <c r="A1809" s="15" t="s">
        <v>215</v>
      </c>
      <c r="B1809" s="15" t="s">
        <v>894</v>
      </c>
      <c r="C1809" s="15" t="s">
        <v>718</v>
      </c>
      <c r="D1809" s="15" t="s">
        <v>113</v>
      </c>
      <c r="E1809" s="15"/>
      <c r="F1809" s="15" t="s">
        <v>876</v>
      </c>
      <c r="G1809" s="15" t="s">
        <v>112</v>
      </c>
      <c r="H1809" s="15"/>
    </row>
    <row r="1810" customFormat="false" ht="15" hidden="false" customHeight="true" outlineLevel="0" collapsed="false">
      <c r="A1810" s="15" t="s">
        <v>215</v>
      </c>
      <c r="B1810" s="15" t="s">
        <v>894</v>
      </c>
      <c r="C1810" s="15" t="s">
        <v>719</v>
      </c>
      <c r="D1810" s="15" t="n">
        <v>20</v>
      </c>
      <c r="E1810" s="15" t="s">
        <v>720</v>
      </c>
      <c r="F1810" s="15" t="s">
        <v>876</v>
      </c>
      <c r="G1810" s="15" t="s">
        <v>112</v>
      </c>
      <c r="H1810" s="15"/>
    </row>
    <row r="1811" customFormat="false" ht="15" hidden="false" customHeight="true" outlineLevel="0" collapsed="false">
      <c r="A1811" s="15" t="s">
        <v>215</v>
      </c>
      <c r="B1811" s="15" t="s">
        <v>894</v>
      </c>
      <c r="C1811" s="15" t="s">
        <v>722</v>
      </c>
      <c r="D1811" s="15" t="s">
        <v>877</v>
      </c>
      <c r="E1811" s="15" t="s">
        <v>723</v>
      </c>
      <c r="F1811" s="15" t="s">
        <v>876</v>
      </c>
      <c r="G1811" s="15" t="s">
        <v>112</v>
      </c>
      <c r="H1811" s="15"/>
    </row>
    <row r="1812" customFormat="false" ht="15" hidden="false" customHeight="true" outlineLevel="0" collapsed="false">
      <c r="A1812" s="15" t="s">
        <v>215</v>
      </c>
      <c r="B1812" s="15" t="s">
        <v>894</v>
      </c>
      <c r="C1812" s="15" t="s">
        <v>724</v>
      </c>
      <c r="D1812" s="15" t="n">
        <v>150</v>
      </c>
      <c r="E1812" s="15" t="s">
        <v>723</v>
      </c>
      <c r="F1812" s="15" t="s">
        <v>876</v>
      </c>
      <c r="G1812" s="15" t="s">
        <v>112</v>
      </c>
      <c r="H1812" s="15"/>
    </row>
    <row r="1813" customFormat="false" ht="15" hidden="false" customHeight="true" outlineLevel="0" collapsed="false">
      <c r="A1813" s="15" t="s">
        <v>215</v>
      </c>
      <c r="B1813" s="15" t="s">
        <v>894</v>
      </c>
      <c r="C1813" s="15" t="s">
        <v>84</v>
      </c>
      <c r="D1813" s="15" t="n">
        <v>205</v>
      </c>
      <c r="E1813" s="15" t="s">
        <v>725</v>
      </c>
      <c r="F1813" s="15" t="s">
        <v>876</v>
      </c>
      <c r="G1813" s="15" t="s">
        <v>112</v>
      </c>
      <c r="H1813" s="15"/>
    </row>
    <row r="1814" customFormat="false" ht="15" hidden="false" customHeight="true" outlineLevel="0" collapsed="false">
      <c r="A1814" s="15" t="s">
        <v>215</v>
      </c>
      <c r="B1814" s="15" t="s">
        <v>894</v>
      </c>
      <c r="C1814" s="15" t="s">
        <v>726</v>
      </c>
      <c r="D1814" s="15" t="n">
        <v>4737</v>
      </c>
      <c r="E1814" s="15" t="s">
        <v>725</v>
      </c>
      <c r="F1814" s="15" t="s">
        <v>876</v>
      </c>
      <c r="G1814" s="15" t="s">
        <v>112</v>
      </c>
      <c r="H1814" s="15"/>
    </row>
    <row r="1815" customFormat="false" ht="15" hidden="false" customHeight="true" outlineLevel="0" collapsed="false">
      <c r="A1815" s="15" t="s">
        <v>215</v>
      </c>
      <c r="B1815" s="15" t="s">
        <v>894</v>
      </c>
      <c r="C1815" s="15" t="s">
        <v>727</v>
      </c>
      <c r="D1815" s="15" t="n">
        <v>1900</v>
      </c>
      <c r="E1815" s="15" t="s">
        <v>725</v>
      </c>
      <c r="F1815" s="15" t="s">
        <v>876</v>
      </c>
      <c r="G1815" s="15" t="s">
        <v>112</v>
      </c>
      <c r="H1815" s="15"/>
    </row>
    <row r="1816" customFormat="false" ht="15" hidden="false" customHeight="true" outlineLevel="0" collapsed="false">
      <c r="A1816" s="15" t="s">
        <v>215</v>
      </c>
      <c r="B1816" s="15" t="s">
        <v>894</v>
      </c>
      <c r="C1816" s="15" t="s">
        <v>728</v>
      </c>
      <c r="D1816" s="15" t="n">
        <v>1747</v>
      </c>
      <c r="E1816" s="15" t="s">
        <v>725</v>
      </c>
      <c r="F1816" s="15" t="s">
        <v>876</v>
      </c>
      <c r="G1816" s="15" t="s">
        <v>112</v>
      </c>
      <c r="H1816" s="15"/>
    </row>
    <row r="1817" customFormat="false" ht="15" hidden="false" customHeight="true" outlineLevel="0" collapsed="false">
      <c r="A1817" s="15" t="s">
        <v>215</v>
      </c>
      <c r="B1817" s="15" t="s">
        <v>894</v>
      </c>
      <c r="C1817" s="15" t="s">
        <v>729</v>
      </c>
      <c r="D1817" s="15" t="n">
        <v>2762</v>
      </c>
      <c r="E1817" s="15" t="s">
        <v>725</v>
      </c>
      <c r="F1817" s="15" t="s">
        <v>876</v>
      </c>
      <c r="G1817" s="15" t="s">
        <v>112</v>
      </c>
      <c r="H1817" s="15"/>
    </row>
    <row r="1818" customFormat="false" ht="15" hidden="false" customHeight="true" outlineLevel="0" collapsed="false">
      <c r="A1818" s="15" t="s">
        <v>215</v>
      </c>
      <c r="B1818" s="15" t="s">
        <v>894</v>
      </c>
      <c r="C1818" s="15" t="s">
        <v>730</v>
      </c>
      <c r="D1818" s="15" t="n">
        <v>10</v>
      </c>
      <c r="E1818" s="15" t="s">
        <v>731</v>
      </c>
      <c r="F1818" s="15" t="s">
        <v>876</v>
      </c>
      <c r="G1818" s="15" t="s">
        <v>112</v>
      </c>
      <c r="H1818" s="15"/>
    </row>
    <row r="1819" customFormat="false" ht="15" hidden="false" customHeight="true" outlineLevel="0" collapsed="false">
      <c r="A1819" s="15" t="s">
        <v>215</v>
      </c>
      <c r="B1819" s="15" t="s">
        <v>894</v>
      </c>
      <c r="C1819" s="15" t="s">
        <v>776</v>
      </c>
      <c r="D1819" s="15" t="s">
        <v>878</v>
      </c>
      <c r="E1819" s="15"/>
      <c r="F1819" s="15" t="s">
        <v>876</v>
      </c>
      <c r="G1819" s="15" t="s">
        <v>112</v>
      </c>
      <c r="H1819" s="15"/>
    </row>
    <row r="1820" customFormat="false" ht="15" hidden="false" customHeight="true" outlineLevel="0" collapsed="false">
      <c r="A1820" s="15" t="s">
        <v>215</v>
      </c>
      <c r="B1820" s="15" t="s">
        <v>894</v>
      </c>
      <c r="C1820" s="15" t="s">
        <v>780</v>
      </c>
      <c r="D1820" s="15" t="s">
        <v>781</v>
      </c>
      <c r="E1820" s="15"/>
      <c r="F1820" s="15" t="s">
        <v>876</v>
      </c>
      <c r="G1820" s="15" t="s">
        <v>112</v>
      </c>
      <c r="H1820" s="15"/>
    </row>
    <row r="1821" customFormat="false" ht="15" hidden="false" customHeight="true" outlineLevel="0" collapsed="false">
      <c r="A1821" s="15" t="s">
        <v>215</v>
      </c>
      <c r="B1821" s="15" t="s">
        <v>894</v>
      </c>
      <c r="C1821" s="15" t="s">
        <v>789</v>
      </c>
      <c r="D1821" s="15" t="s">
        <v>790</v>
      </c>
      <c r="E1821" s="15"/>
      <c r="F1821" s="15" t="s">
        <v>876</v>
      </c>
      <c r="G1821" s="15" t="s">
        <v>112</v>
      </c>
      <c r="H1821" s="15"/>
    </row>
    <row r="1822" customFormat="false" ht="15" hidden="false" customHeight="true" outlineLevel="0" collapsed="false">
      <c r="A1822" s="15" t="s">
        <v>215</v>
      </c>
      <c r="B1822" s="15" t="s">
        <v>894</v>
      </c>
      <c r="C1822" s="15" t="s">
        <v>784</v>
      </c>
      <c r="D1822" s="15" t="n">
        <v>11</v>
      </c>
      <c r="E1822" s="15" t="s">
        <v>738</v>
      </c>
      <c r="F1822" s="15" t="s">
        <v>879</v>
      </c>
      <c r="G1822" s="15" t="s">
        <v>112</v>
      </c>
      <c r="H1822" s="15"/>
    </row>
    <row r="1823" customFormat="false" ht="15" hidden="false" customHeight="true" outlineLevel="0" collapsed="false">
      <c r="A1823" s="15" t="s">
        <v>215</v>
      </c>
      <c r="B1823" s="15" t="s">
        <v>894</v>
      </c>
      <c r="C1823" s="15" t="s">
        <v>782</v>
      </c>
      <c r="D1823" s="15" t="n">
        <v>36</v>
      </c>
      <c r="E1823" s="15" t="s">
        <v>783</v>
      </c>
      <c r="F1823" s="15" t="s">
        <v>879</v>
      </c>
      <c r="G1823" s="15" t="s">
        <v>112</v>
      </c>
      <c r="H1823" s="15"/>
    </row>
    <row r="1824" customFormat="false" ht="15" hidden="false" customHeight="true" outlineLevel="0" collapsed="false">
      <c r="A1824" s="15" t="s">
        <v>215</v>
      </c>
      <c r="B1824" s="15" t="s">
        <v>894</v>
      </c>
      <c r="C1824" s="15" t="s">
        <v>90</v>
      </c>
      <c r="D1824" s="15" t="s">
        <v>880</v>
      </c>
      <c r="E1824" s="15"/>
      <c r="F1824" s="15" t="s">
        <v>876</v>
      </c>
      <c r="G1824" s="15" t="s">
        <v>112</v>
      </c>
      <c r="H1824" s="15"/>
    </row>
    <row r="1825" customFormat="false" ht="26.25" hidden="false" customHeight="true" outlineLevel="0" collapsed="false">
      <c r="A1825" s="15" t="s">
        <v>215</v>
      </c>
      <c r="B1825" s="15" t="s">
        <v>894</v>
      </c>
      <c r="C1825" s="15" t="s">
        <v>875</v>
      </c>
      <c r="D1825" s="15" t="n">
        <v>3.2</v>
      </c>
      <c r="E1825" s="15"/>
      <c r="F1825" s="15" t="s">
        <v>876</v>
      </c>
      <c r="G1825" s="15" t="s">
        <v>819</v>
      </c>
      <c r="H1825" s="15" t="s">
        <v>881</v>
      </c>
    </row>
    <row r="1826" customFormat="false" ht="15" hidden="false" customHeight="true" outlineLevel="0" collapsed="false">
      <c r="A1826" s="15" t="s">
        <v>215</v>
      </c>
      <c r="B1826" s="15" t="s">
        <v>894</v>
      </c>
      <c r="C1826" s="15" t="s">
        <v>772</v>
      </c>
      <c r="D1826" s="15" t="n">
        <v>60000</v>
      </c>
      <c r="E1826" s="15" t="s">
        <v>773</v>
      </c>
      <c r="F1826" s="15" t="s">
        <v>882</v>
      </c>
      <c r="G1826" s="15" t="s">
        <v>112</v>
      </c>
      <c r="H1826" s="15"/>
    </row>
    <row r="1827" customFormat="false" ht="15" hidden="false" customHeight="true" outlineLevel="0" collapsed="false">
      <c r="A1827" s="15" t="s">
        <v>215</v>
      </c>
      <c r="B1827" s="15" t="s">
        <v>894</v>
      </c>
      <c r="C1827" s="15" t="s">
        <v>775</v>
      </c>
      <c r="D1827" s="15" t="n">
        <v>75000</v>
      </c>
      <c r="E1827" s="15" t="s">
        <v>773</v>
      </c>
      <c r="F1827" s="15" t="s">
        <v>882</v>
      </c>
      <c r="G1827" s="15" t="s">
        <v>112</v>
      </c>
      <c r="H1827" s="15"/>
    </row>
    <row r="1828" customFormat="false" ht="26.25" hidden="false" customHeight="true" outlineLevel="0" collapsed="false">
      <c r="A1828" s="15" t="s">
        <v>215</v>
      </c>
      <c r="B1828" s="15" t="s">
        <v>894</v>
      </c>
      <c r="C1828" s="15" t="s">
        <v>98</v>
      </c>
      <c r="D1828" s="15" t="s">
        <v>732</v>
      </c>
      <c r="E1828" s="15"/>
      <c r="F1828" s="15" t="s">
        <v>876</v>
      </c>
      <c r="G1828" s="15" t="s">
        <v>112</v>
      </c>
      <c r="H1828" s="15"/>
    </row>
    <row r="1829" customFormat="false" ht="26.25" hidden="false" customHeight="true" outlineLevel="0" collapsed="false">
      <c r="A1829" s="15" t="s">
        <v>215</v>
      </c>
      <c r="B1829" s="15" t="s">
        <v>894</v>
      </c>
      <c r="C1829" s="15" t="s">
        <v>830</v>
      </c>
      <c r="D1829" s="15" t="s">
        <v>831</v>
      </c>
      <c r="E1829" s="15"/>
      <c r="F1829" s="15" t="s">
        <v>883</v>
      </c>
      <c r="G1829" s="15" t="s">
        <v>112</v>
      </c>
      <c r="H1829" s="15"/>
    </row>
    <row r="1830" customFormat="false" ht="15" hidden="false" customHeight="true" outlineLevel="0" collapsed="false">
      <c r="A1830" s="15" t="s">
        <v>215</v>
      </c>
      <c r="B1830" s="15" t="s">
        <v>894</v>
      </c>
      <c r="C1830" s="15" t="s">
        <v>833</v>
      </c>
      <c r="D1830" s="15" t="s">
        <v>834</v>
      </c>
      <c r="E1830" s="15"/>
      <c r="F1830" s="15" t="s">
        <v>883</v>
      </c>
      <c r="G1830" s="15" t="s">
        <v>112</v>
      </c>
      <c r="H1830" s="15"/>
    </row>
    <row r="1831" customFormat="false" ht="15" hidden="false" customHeight="true" outlineLevel="0" collapsed="false">
      <c r="A1831" s="15" t="s">
        <v>215</v>
      </c>
      <c r="B1831" s="15" t="s">
        <v>894</v>
      </c>
      <c r="C1831" s="15" t="s">
        <v>835</v>
      </c>
      <c r="D1831" s="15" t="s">
        <v>836</v>
      </c>
      <c r="E1831" s="15"/>
      <c r="F1831" s="15" t="s">
        <v>883</v>
      </c>
      <c r="G1831" s="15" t="s">
        <v>112</v>
      </c>
      <c r="H1831" s="15"/>
    </row>
    <row r="1832" customFormat="false" ht="15" hidden="false" customHeight="true" outlineLevel="0" collapsed="false">
      <c r="A1832" s="15" t="s">
        <v>215</v>
      </c>
      <c r="B1832" s="15" t="s">
        <v>894</v>
      </c>
      <c r="C1832" s="15" t="s">
        <v>837</v>
      </c>
      <c r="D1832" s="15" t="n">
        <v>10000</v>
      </c>
      <c r="E1832" s="15" t="s">
        <v>838</v>
      </c>
      <c r="F1832" s="15" t="s">
        <v>883</v>
      </c>
      <c r="G1832" s="15" t="s">
        <v>112</v>
      </c>
      <c r="H1832" s="15"/>
    </row>
    <row r="1833" customFormat="false" ht="26.25" hidden="false" customHeight="true" outlineLevel="0" collapsed="false">
      <c r="A1833" s="15" t="s">
        <v>215</v>
      </c>
      <c r="B1833" s="15" t="s">
        <v>894</v>
      </c>
      <c r="C1833" s="15" t="s">
        <v>839</v>
      </c>
      <c r="D1833" s="15" t="s">
        <v>840</v>
      </c>
      <c r="E1833" s="15"/>
      <c r="F1833" s="15" t="s">
        <v>883</v>
      </c>
      <c r="G1833" s="15" t="s">
        <v>112</v>
      </c>
      <c r="H1833" s="15"/>
    </row>
    <row r="1834" customFormat="false" ht="15" hidden="false" customHeight="true" outlineLevel="0" collapsed="false">
      <c r="A1834" s="15" t="s">
        <v>215</v>
      </c>
      <c r="B1834" s="15" t="s">
        <v>894</v>
      </c>
      <c r="C1834" s="15" t="s">
        <v>841</v>
      </c>
      <c r="D1834" s="15" t="s">
        <v>842</v>
      </c>
      <c r="E1834" s="15"/>
      <c r="F1834" s="15" t="s">
        <v>883</v>
      </c>
      <c r="G1834" s="15" t="s">
        <v>112</v>
      </c>
      <c r="H1834" s="15"/>
    </row>
    <row r="1835" customFormat="false" ht="15" hidden="false" customHeight="true" outlineLevel="0" collapsed="false">
      <c r="A1835" s="15" t="s">
        <v>215</v>
      </c>
      <c r="B1835" s="15" t="s">
        <v>894</v>
      </c>
      <c r="C1835" s="15" t="s">
        <v>843</v>
      </c>
      <c r="D1835" s="15" t="s">
        <v>844</v>
      </c>
      <c r="E1835" s="15"/>
      <c r="F1835" s="15" t="s">
        <v>876</v>
      </c>
      <c r="G1835" s="15" t="s">
        <v>112</v>
      </c>
      <c r="H1835" s="15"/>
    </row>
    <row r="1836" customFormat="false" ht="15" hidden="false" customHeight="true" outlineLevel="0" collapsed="false">
      <c r="A1836" s="15" t="s">
        <v>215</v>
      </c>
      <c r="B1836" s="15" t="s">
        <v>894</v>
      </c>
      <c r="C1836" s="15" t="s">
        <v>737</v>
      </c>
      <c r="D1836" s="15" t="n">
        <v>210</v>
      </c>
      <c r="E1836" s="15" t="s">
        <v>738</v>
      </c>
      <c r="F1836" s="15" t="s">
        <v>876</v>
      </c>
      <c r="G1836" s="15" t="s">
        <v>112</v>
      </c>
      <c r="H1836" s="15"/>
    </row>
    <row r="1837" customFormat="false" ht="15" hidden="false" customHeight="true" outlineLevel="0" collapsed="false">
      <c r="A1837" s="15" t="s">
        <v>215</v>
      </c>
      <c r="B1837" s="15" t="s">
        <v>894</v>
      </c>
      <c r="C1837" s="15" t="s">
        <v>739</v>
      </c>
      <c r="D1837" s="15" t="n">
        <v>180</v>
      </c>
      <c r="E1837" s="15" t="s">
        <v>738</v>
      </c>
      <c r="F1837" s="15" t="s">
        <v>876</v>
      </c>
      <c r="G1837" s="15" t="s">
        <v>112</v>
      </c>
      <c r="H1837" s="15"/>
    </row>
    <row r="1838" customFormat="false" ht="26.25" hidden="false" customHeight="true" outlineLevel="0" collapsed="false">
      <c r="A1838" s="15" t="s">
        <v>215</v>
      </c>
      <c r="B1838" s="15" t="s">
        <v>894</v>
      </c>
      <c r="C1838" s="15" t="s">
        <v>740</v>
      </c>
      <c r="D1838" s="15" t="n">
        <v>8</v>
      </c>
      <c r="E1838" s="15" t="s">
        <v>741</v>
      </c>
      <c r="F1838" s="15" t="s">
        <v>876</v>
      </c>
      <c r="G1838" s="15" t="s">
        <v>112</v>
      </c>
      <c r="H1838" s="15"/>
    </row>
    <row r="1839" customFormat="false" ht="15" hidden="false" customHeight="true" outlineLevel="0" collapsed="false">
      <c r="A1839" s="15" t="s">
        <v>215</v>
      </c>
      <c r="B1839" s="15" t="s">
        <v>894</v>
      </c>
      <c r="C1839" s="15" t="s">
        <v>742</v>
      </c>
      <c r="D1839" s="15" t="n">
        <v>11.7</v>
      </c>
      <c r="E1839" s="15" t="s">
        <v>741</v>
      </c>
      <c r="F1839" s="15" t="s">
        <v>876</v>
      </c>
      <c r="G1839" s="15" t="s">
        <v>112</v>
      </c>
      <c r="H1839" s="15"/>
    </row>
    <row r="1840" customFormat="false" ht="15" hidden="false" customHeight="true" outlineLevel="0" collapsed="false">
      <c r="A1840" s="15" t="s">
        <v>215</v>
      </c>
      <c r="B1840" s="15" t="s">
        <v>894</v>
      </c>
      <c r="C1840" s="15" t="s">
        <v>733</v>
      </c>
      <c r="D1840" s="15" t="s">
        <v>808</v>
      </c>
      <c r="E1840" s="15"/>
      <c r="F1840" s="15" t="s">
        <v>882</v>
      </c>
      <c r="G1840" s="15" t="s">
        <v>112</v>
      </c>
      <c r="H1840" s="15"/>
    </row>
    <row r="1841" customFormat="false" ht="15" hidden="false" customHeight="true" outlineLevel="0" collapsed="false">
      <c r="A1841" s="15" t="s">
        <v>215</v>
      </c>
      <c r="B1841" s="15" t="s">
        <v>894</v>
      </c>
      <c r="C1841" s="15" t="s">
        <v>785</v>
      </c>
      <c r="D1841" s="15" t="n">
        <v>409</v>
      </c>
      <c r="E1841" s="15" t="s">
        <v>786</v>
      </c>
      <c r="F1841" s="15" t="s">
        <v>879</v>
      </c>
      <c r="G1841" s="15" t="s">
        <v>112</v>
      </c>
      <c r="H1841" s="15"/>
    </row>
    <row r="1842" customFormat="false" ht="26.25" hidden="false" customHeight="true" outlineLevel="0" collapsed="false">
      <c r="A1842" s="15" t="s">
        <v>215</v>
      </c>
      <c r="B1842" s="15" t="s">
        <v>894</v>
      </c>
      <c r="C1842" s="15" t="s">
        <v>887</v>
      </c>
      <c r="D1842" s="15" t="s">
        <v>888</v>
      </c>
      <c r="E1842" s="15"/>
      <c r="F1842" s="15" t="s">
        <v>889</v>
      </c>
      <c r="G1842" s="15" t="s">
        <v>112</v>
      </c>
      <c r="H1842" s="15" t="s">
        <v>890</v>
      </c>
    </row>
    <row r="1843" customFormat="false" ht="15" hidden="false" customHeight="true" outlineLevel="0" collapsed="false">
      <c r="A1843" s="15" t="s">
        <v>215</v>
      </c>
      <c r="B1843" s="15" t="s">
        <v>894</v>
      </c>
      <c r="C1843" s="15" t="s">
        <v>769</v>
      </c>
      <c r="D1843" s="15" t="s">
        <v>892</v>
      </c>
      <c r="E1843" s="15" t="s">
        <v>721</v>
      </c>
      <c r="F1843" s="15" t="s">
        <v>876</v>
      </c>
      <c r="G1843" s="15" t="s">
        <v>112</v>
      </c>
      <c r="H1843" s="15"/>
    </row>
    <row r="1844" customFormat="false" ht="15" hidden="false" customHeight="true" outlineLevel="0" collapsed="false">
      <c r="A1844" s="15" t="s">
        <v>215</v>
      </c>
      <c r="B1844" s="15" t="s">
        <v>894</v>
      </c>
      <c r="C1844" s="15" t="s">
        <v>86</v>
      </c>
      <c r="D1844" s="15" t="n">
        <v>6</v>
      </c>
      <c r="E1844" s="15" t="s">
        <v>721</v>
      </c>
      <c r="F1844" s="15" t="s">
        <v>876</v>
      </c>
      <c r="G1844" s="15" t="s">
        <v>112</v>
      </c>
      <c r="H1844" s="15"/>
    </row>
    <row r="1845" customFormat="false" ht="15" hidden="false" customHeight="true" outlineLevel="0" collapsed="false">
      <c r="A1845" s="15" t="s">
        <v>215</v>
      </c>
      <c r="B1845" s="15" t="s">
        <v>894</v>
      </c>
      <c r="C1845" s="15" t="s">
        <v>764</v>
      </c>
      <c r="D1845" s="15" t="s">
        <v>755</v>
      </c>
      <c r="E1845" s="15"/>
      <c r="F1845" s="15" t="s">
        <v>876</v>
      </c>
      <c r="G1845" s="15" t="s">
        <v>112</v>
      </c>
      <c r="H1845" s="15"/>
    </row>
    <row r="1846" customFormat="false" ht="15" hidden="false" customHeight="true" outlineLevel="0" collapsed="false">
      <c r="A1846" s="15" t="s">
        <v>215</v>
      </c>
      <c r="B1846" s="15" t="s">
        <v>894</v>
      </c>
      <c r="C1846" s="15" t="s">
        <v>749</v>
      </c>
      <c r="D1846" s="15" t="s">
        <v>806</v>
      </c>
      <c r="E1846" s="15"/>
      <c r="F1846" s="15" t="s">
        <v>876</v>
      </c>
      <c r="G1846" s="15" t="s">
        <v>112</v>
      </c>
      <c r="H1846" s="15"/>
    </row>
    <row r="1847" customFormat="false" ht="15" hidden="false" customHeight="true" outlineLevel="0" collapsed="false">
      <c r="A1847" s="15" t="s">
        <v>215</v>
      </c>
      <c r="B1847" s="15" t="s">
        <v>894</v>
      </c>
      <c r="C1847" s="15" t="s">
        <v>752</v>
      </c>
      <c r="D1847" s="15" t="s">
        <v>865</v>
      </c>
      <c r="E1847" s="15"/>
      <c r="F1847" s="15" t="s">
        <v>876</v>
      </c>
      <c r="G1847" s="15" t="s">
        <v>112</v>
      </c>
      <c r="H1847" s="15"/>
    </row>
    <row r="1848" customFormat="false" ht="15" hidden="false" customHeight="true" outlineLevel="0" collapsed="false">
      <c r="A1848" s="15" t="s">
        <v>215</v>
      </c>
      <c r="B1848" s="15" t="s">
        <v>894</v>
      </c>
      <c r="C1848" s="15" t="s">
        <v>754</v>
      </c>
      <c r="D1848" s="15" t="s">
        <v>803</v>
      </c>
      <c r="E1848" s="15"/>
      <c r="F1848" s="15" t="s">
        <v>876</v>
      </c>
      <c r="G1848" s="15" t="s">
        <v>112</v>
      </c>
      <c r="H1848" s="15"/>
    </row>
    <row r="1849" customFormat="false" ht="15" hidden="false" customHeight="true" outlineLevel="0" collapsed="false">
      <c r="A1849" s="15" t="s">
        <v>215</v>
      </c>
      <c r="B1849" s="15" t="s">
        <v>894</v>
      </c>
      <c r="C1849" s="15" t="s">
        <v>884</v>
      </c>
      <c r="D1849" s="15" t="s">
        <v>755</v>
      </c>
      <c r="E1849" s="15"/>
      <c r="F1849" s="15" t="s">
        <v>876</v>
      </c>
      <c r="G1849" s="15" t="s">
        <v>112</v>
      </c>
      <c r="H1849" s="15"/>
    </row>
    <row r="1850" customFormat="false" ht="15" hidden="false" customHeight="true" outlineLevel="0" collapsed="false">
      <c r="A1850" s="15" t="s">
        <v>215</v>
      </c>
      <c r="B1850" s="15" t="s">
        <v>894</v>
      </c>
      <c r="C1850" s="15" t="s">
        <v>756</v>
      </c>
      <c r="D1850" s="15" t="s">
        <v>858</v>
      </c>
      <c r="E1850" s="15"/>
      <c r="F1850" s="15" t="s">
        <v>876</v>
      </c>
      <c r="G1850" s="15" t="s">
        <v>112</v>
      </c>
      <c r="H1850" s="15"/>
    </row>
    <row r="1851" customFormat="false" ht="15" hidden="false" customHeight="true" outlineLevel="0" collapsed="false">
      <c r="A1851" s="15" t="s">
        <v>215</v>
      </c>
      <c r="B1851" s="15" t="s">
        <v>894</v>
      </c>
      <c r="C1851" s="15" t="s">
        <v>757</v>
      </c>
      <c r="D1851" s="15" t="s">
        <v>797</v>
      </c>
      <c r="E1851" s="15"/>
      <c r="F1851" s="15" t="s">
        <v>876</v>
      </c>
      <c r="G1851" s="15" t="s">
        <v>112</v>
      </c>
      <c r="H1851" s="15"/>
    </row>
    <row r="1852" customFormat="false" ht="15" hidden="false" customHeight="true" outlineLevel="0" collapsed="false">
      <c r="A1852" s="15" t="s">
        <v>215</v>
      </c>
      <c r="B1852" s="15" t="s">
        <v>894</v>
      </c>
      <c r="C1852" s="15" t="s">
        <v>759</v>
      </c>
      <c r="D1852" s="15" t="s">
        <v>798</v>
      </c>
      <c r="E1852" s="15"/>
      <c r="F1852" s="15" t="s">
        <v>876</v>
      </c>
      <c r="G1852" s="15" t="s">
        <v>112</v>
      </c>
      <c r="H1852" s="15"/>
    </row>
    <row r="1853" customFormat="false" ht="15" hidden="false" customHeight="true" outlineLevel="0" collapsed="false">
      <c r="A1853" s="15" t="s">
        <v>215</v>
      </c>
      <c r="B1853" s="15" t="s">
        <v>894</v>
      </c>
      <c r="C1853" s="15" t="s">
        <v>761</v>
      </c>
      <c r="D1853" s="15" t="s">
        <v>755</v>
      </c>
      <c r="E1853" s="15"/>
      <c r="F1853" s="15" t="s">
        <v>876</v>
      </c>
      <c r="G1853" s="15" t="s">
        <v>112</v>
      </c>
      <c r="H1853" s="15"/>
    </row>
    <row r="1854" customFormat="false" ht="15" hidden="false" customHeight="true" outlineLevel="0" collapsed="false">
      <c r="A1854" s="15" t="s">
        <v>215</v>
      </c>
      <c r="B1854" s="15" t="s">
        <v>894</v>
      </c>
      <c r="C1854" s="15" t="s">
        <v>762</v>
      </c>
      <c r="D1854" s="15" t="s">
        <v>755</v>
      </c>
      <c r="E1854" s="15"/>
      <c r="F1854" s="15" t="s">
        <v>876</v>
      </c>
      <c r="G1854" s="15" t="s">
        <v>112</v>
      </c>
      <c r="H1854" s="15"/>
    </row>
    <row r="1855" customFormat="false" ht="15" hidden="false" customHeight="true" outlineLevel="0" collapsed="false">
      <c r="A1855" s="15" t="s">
        <v>215</v>
      </c>
      <c r="B1855" s="15" t="s">
        <v>894</v>
      </c>
      <c r="C1855" s="15" t="s">
        <v>92</v>
      </c>
      <c r="D1855" s="15" t="s">
        <v>755</v>
      </c>
      <c r="E1855" s="15"/>
      <c r="F1855" s="15" t="s">
        <v>876</v>
      </c>
      <c r="G1855" s="15" t="s">
        <v>112</v>
      </c>
      <c r="H1855" s="15"/>
    </row>
    <row r="1856" customFormat="false" ht="15" hidden="false" customHeight="true" outlineLevel="0" collapsed="false">
      <c r="A1856" s="15" t="s">
        <v>215</v>
      </c>
      <c r="B1856" s="15" t="s">
        <v>894</v>
      </c>
      <c r="C1856" s="15" t="s">
        <v>848</v>
      </c>
      <c r="D1856" s="15" t="s">
        <v>859</v>
      </c>
      <c r="E1856" s="15"/>
      <c r="F1856" s="15" t="s">
        <v>876</v>
      </c>
      <c r="G1856" s="15" t="s">
        <v>112</v>
      </c>
      <c r="H1856" s="15"/>
    </row>
    <row r="1857" customFormat="false" ht="15" hidden="false" customHeight="true" outlineLevel="0" collapsed="false">
      <c r="A1857" s="15" t="s">
        <v>215</v>
      </c>
      <c r="B1857" s="15" t="s">
        <v>894</v>
      </c>
      <c r="C1857" s="15" t="s">
        <v>747</v>
      </c>
      <c r="D1857" s="15" t="s">
        <v>893</v>
      </c>
      <c r="E1857" s="15"/>
      <c r="F1857" s="15" t="s">
        <v>876</v>
      </c>
      <c r="G1857" s="15" t="s">
        <v>112</v>
      </c>
      <c r="H1857" s="15"/>
    </row>
    <row r="1858" customFormat="false" ht="15" hidden="false" customHeight="true" outlineLevel="0" collapsed="false">
      <c r="A1858" s="15" t="s">
        <v>215</v>
      </c>
      <c r="B1858" s="15" t="s">
        <v>894</v>
      </c>
      <c r="C1858" s="15" t="s">
        <v>851</v>
      </c>
      <c r="D1858" s="15" t="s">
        <v>860</v>
      </c>
      <c r="E1858" s="15"/>
      <c r="F1858" s="15" t="s">
        <v>876</v>
      </c>
      <c r="G1858" s="15" t="s">
        <v>112</v>
      </c>
      <c r="H1858" s="15"/>
    </row>
    <row r="1859" customFormat="false" ht="15" hidden="false" customHeight="true" outlineLevel="0" collapsed="false">
      <c r="A1859" s="15" t="s">
        <v>215</v>
      </c>
      <c r="B1859" s="15" t="s">
        <v>894</v>
      </c>
      <c r="C1859" s="15" t="s">
        <v>853</v>
      </c>
      <c r="D1859" s="15" t="s">
        <v>861</v>
      </c>
      <c r="E1859" s="15"/>
      <c r="F1859" s="15" t="s">
        <v>876</v>
      </c>
      <c r="G1859" s="15" t="s">
        <v>112</v>
      </c>
      <c r="H1859" s="15"/>
    </row>
    <row r="1860" customFormat="false" ht="15" hidden="false" customHeight="true" outlineLevel="0" collapsed="false">
      <c r="A1860" s="15" t="s">
        <v>215</v>
      </c>
      <c r="B1860" s="15" t="s">
        <v>894</v>
      </c>
      <c r="C1860" s="15" t="s">
        <v>854</v>
      </c>
      <c r="D1860" s="15" t="s">
        <v>755</v>
      </c>
      <c r="E1860" s="15"/>
      <c r="F1860" s="15" t="s">
        <v>876</v>
      </c>
      <c r="G1860" s="15" t="s">
        <v>112</v>
      </c>
      <c r="H1860" s="15"/>
    </row>
    <row r="1861" customFormat="false" ht="15" hidden="false" customHeight="true" outlineLevel="0" collapsed="false">
      <c r="A1861" s="15" t="s">
        <v>215</v>
      </c>
      <c r="B1861" s="15" t="s">
        <v>894</v>
      </c>
      <c r="C1861" s="15" t="s">
        <v>855</v>
      </c>
      <c r="D1861" s="15" t="s">
        <v>862</v>
      </c>
      <c r="E1861" s="15"/>
      <c r="F1861" s="15" t="s">
        <v>876</v>
      </c>
      <c r="G1861" s="15" t="s">
        <v>112</v>
      </c>
      <c r="H1861" s="15"/>
    </row>
    <row r="1862" customFormat="false" ht="15" hidden="false" customHeight="true" outlineLevel="0" collapsed="false">
      <c r="A1862" s="15" t="s">
        <v>215</v>
      </c>
      <c r="B1862" s="15" t="s">
        <v>894</v>
      </c>
      <c r="C1862" s="15" t="s">
        <v>857</v>
      </c>
      <c r="D1862" s="15" t="s">
        <v>803</v>
      </c>
      <c r="E1862" s="15"/>
      <c r="F1862" s="15" t="s">
        <v>876</v>
      </c>
      <c r="G1862" s="15" t="s">
        <v>112</v>
      </c>
      <c r="H1862" s="15"/>
    </row>
    <row r="1863" customFormat="false" ht="15" hidden="false" customHeight="true" outlineLevel="0" collapsed="false">
      <c r="A1863" s="15" t="s">
        <v>215</v>
      </c>
      <c r="B1863" s="15" t="s">
        <v>894</v>
      </c>
      <c r="C1863" s="15" t="s">
        <v>886</v>
      </c>
      <c r="D1863" s="15" t="s">
        <v>755</v>
      </c>
      <c r="E1863" s="15"/>
      <c r="F1863" s="15" t="s">
        <v>876</v>
      </c>
      <c r="G1863" s="15" t="s">
        <v>112</v>
      </c>
      <c r="H1863" s="15"/>
    </row>
    <row r="1864" customFormat="false" ht="26.25" hidden="false" customHeight="true" outlineLevel="0" collapsed="false">
      <c r="A1864" s="15" t="s">
        <v>241</v>
      </c>
      <c r="B1864" s="15" t="s">
        <v>242</v>
      </c>
      <c r="C1864" s="15" t="s">
        <v>714</v>
      </c>
      <c r="D1864" s="15" t="n">
        <v>380</v>
      </c>
      <c r="E1864" s="15" t="s">
        <v>715</v>
      </c>
      <c r="F1864" s="15" t="s">
        <v>876</v>
      </c>
      <c r="G1864" s="15" t="s">
        <v>112</v>
      </c>
      <c r="H1864" s="15"/>
    </row>
    <row r="1865" customFormat="false" ht="26.25" hidden="false" customHeight="true" outlineLevel="0" collapsed="false">
      <c r="A1865" s="15" t="s">
        <v>241</v>
      </c>
      <c r="B1865" s="15" t="s">
        <v>242</v>
      </c>
      <c r="C1865" s="15" t="s">
        <v>718</v>
      </c>
      <c r="D1865" s="15" t="s">
        <v>113</v>
      </c>
      <c r="E1865" s="15"/>
      <c r="F1865" s="15" t="s">
        <v>876</v>
      </c>
      <c r="G1865" s="15" t="s">
        <v>112</v>
      </c>
      <c r="H1865" s="15"/>
    </row>
    <row r="1866" customFormat="false" ht="26.25" hidden="false" customHeight="true" outlineLevel="0" collapsed="false">
      <c r="A1866" s="15" t="s">
        <v>241</v>
      </c>
      <c r="B1866" s="15" t="s">
        <v>242</v>
      </c>
      <c r="C1866" s="15" t="s">
        <v>719</v>
      </c>
      <c r="D1866" s="15" t="n">
        <v>20</v>
      </c>
      <c r="E1866" s="15" t="s">
        <v>720</v>
      </c>
      <c r="F1866" s="15" t="s">
        <v>876</v>
      </c>
      <c r="G1866" s="15" t="s">
        <v>112</v>
      </c>
      <c r="H1866" s="15"/>
    </row>
    <row r="1867" customFormat="false" ht="26.25" hidden="false" customHeight="true" outlineLevel="0" collapsed="false">
      <c r="A1867" s="15" t="s">
        <v>241</v>
      </c>
      <c r="B1867" s="15" t="s">
        <v>242</v>
      </c>
      <c r="C1867" s="15" t="s">
        <v>722</v>
      </c>
      <c r="D1867" s="15" t="s">
        <v>877</v>
      </c>
      <c r="E1867" s="15" t="s">
        <v>723</v>
      </c>
      <c r="F1867" s="15" t="s">
        <v>876</v>
      </c>
      <c r="G1867" s="15" t="s">
        <v>112</v>
      </c>
      <c r="H1867" s="15"/>
    </row>
    <row r="1868" customFormat="false" ht="26.25" hidden="false" customHeight="true" outlineLevel="0" collapsed="false">
      <c r="A1868" s="15" t="s">
        <v>241</v>
      </c>
      <c r="B1868" s="15" t="s">
        <v>242</v>
      </c>
      <c r="C1868" s="15" t="s">
        <v>724</v>
      </c>
      <c r="D1868" s="15" t="n">
        <v>150</v>
      </c>
      <c r="E1868" s="15" t="s">
        <v>723</v>
      </c>
      <c r="F1868" s="15" t="s">
        <v>876</v>
      </c>
      <c r="G1868" s="15" t="s">
        <v>112</v>
      </c>
      <c r="H1868" s="15"/>
    </row>
    <row r="1869" customFormat="false" ht="26.25" hidden="false" customHeight="true" outlineLevel="0" collapsed="false">
      <c r="A1869" s="15" t="s">
        <v>241</v>
      </c>
      <c r="B1869" s="15" t="s">
        <v>242</v>
      </c>
      <c r="C1869" s="15" t="s">
        <v>84</v>
      </c>
      <c r="D1869" s="15" t="n">
        <v>205</v>
      </c>
      <c r="E1869" s="15" t="s">
        <v>725</v>
      </c>
      <c r="F1869" s="15" t="s">
        <v>876</v>
      </c>
      <c r="G1869" s="15" t="s">
        <v>112</v>
      </c>
      <c r="H1869" s="15"/>
    </row>
    <row r="1870" customFormat="false" ht="26.25" hidden="false" customHeight="true" outlineLevel="0" collapsed="false">
      <c r="A1870" s="15" t="s">
        <v>241</v>
      </c>
      <c r="B1870" s="15" t="s">
        <v>242</v>
      </c>
      <c r="C1870" s="15" t="s">
        <v>726</v>
      </c>
      <c r="D1870" s="15" t="n">
        <v>4737</v>
      </c>
      <c r="E1870" s="15" t="s">
        <v>725</v>
      </c>
      <c r="F1870" s="15" t="s">
        <v>876</v>
      </c>
      <c r="G1870" s="15" t="s">
        <v>112</v>
      </c>
      <c r="H1870" s="15"/>
    </row>
    <row r="1871" customFormat="false" ht="26.25" hidden="false" customHeight="true" outlineLevel="0" collapsed="false">
      <c r="A1871" s="15" t="s">
        <v>241</v>
      </c>
      <c r="B1871" s="15" t="s">
        <v>242</v>
      </c>
      <c r="C1871" s="15" t="s">
        <v>727</v>
      </c>
      <c r="D1871" s="15" t="n">
        <v>1900</v>
      </c>
      <c r="E1871" s="15" t="s">
        <v>725</v>
      </c>
      <c r="F1871" s="15" t="s">
        <v>876</v>
      </c>
      <c r="G1871" s="15" t="s">
        <v>112</v>
      </c>
      <c r="H1871" s="15"/>
    </row>
    <row r="1872" customFormat="false" ht="26.25" hidden="false" customHeight="true" outlineLevel="0" collapsed="false">
      <c r="A1872" s="15" t="s">
        <v>241</v>
      </c>
      <c r="B1872" s="15" t="s">
        <v>242</v>
      </c>
      <c r="C1872" s="15" t="s">
        <v>728</v>
      </c>
      <c r="D1872" s="15" t="n">
        <v>1747</v>
      </c>
      <c r="E1872" s="15" t="s">
        <v>725</v>
      </c>
      <c r="F1872" s="15" t="s">
        <v>876</v>
      </c>
      <c r="G1872" s="15" t="s">
        <v>112</v>
      </c>
      <c r="H1872" s="15"/>
    </row>
    <row r="1873" customFormat="false" ht="26.25" hidden="false" customHeight="true" outlineLevel="0" collapsed="false">
      <c r="A1873" s="15" t="s">
        <v>241</v>
      </c>
      <c r="B1873" s="15" t="s">
        <v>242</v>
      </c>
      <c r="C1873" s="15" t="s">
        <v>729</v>
      </c>
      <c r="D1873" s="15" t="n">
        <v>2762</v>
      </c>
      <c r="E1873" s="15" t="s">
        <v>725</v>
      </c>
      <c r="F1873" s="15" t="s">
        <v>876</v>
      </c>
      <c r="G1873" s="15" t="s">
        <v>112</v>
      </c>
      <c r="H1873" s="15"/>
    </row>
    <row r="1874" customFormat="false" ht="26.25" hidden="false" customHeight="true" outlineLevel="0" collapsed="false">
      <c r="A1874" s="15" t="s">
        <v>241</v>
      </c>
      <c r="B1874" s="15" t="s">
        <v>242</v>
      </c>
      <c r="C1874" s="15" t="s">
        <v>730</v>
      </c>
      <c r="D1874" s="15" t="n">
        <v>10</v>
      </c>
      <c r="E1874" s="15" t="s">
        <v>731</v>
      </c>
      <c r="F1874" s="15" t="s">
        <v>876</v>
      </c>
      <c r="G1874" s="15" t="s">
        <v>112</v>
      </c>
      <c r="H1874" s="15"/>
    </row>
    <row r="1875" customFormat="false" ht="26.25" hidden="false" customHeight="true" outlineLevel="0" collapsed="false">
      <c r="A1875" s="15" t="s">
        <v>241</v>
      </c>
      <c r="B1875" s="15" t="s">
        <v>242</v>
      </c>
      <c r="C1875" s="15" t="s">
        <v>776</v>
      </c>
      <c r="D1875" s="15" t="s">
        <v>878</v>
      </c>
      <c r="E1875" s="15"/>
      <c r="F1875" s="15" t="s">
        <v>876</v>
      </c>
      <c r="G1875" s="15" t="s">
        <v>112</v>
      </c>
      <c r="H1875" s="15"/>
    </row>
    <row r="1876" customFormat="false" ht="26.25" hidden="false" customHeight="true" outlineLevel="0" collapsed="false">
      <c r="A1876" s="15" t="s">
        <v>241</v>
      </c>
      <c r="B1876" s="15" t="s">
        <v>242</v>
      </c>
      <c r="C1876" s="15" t="s">
        <v>780</v>
      </c>
      <c r="D1876" s="15" t="s">
        <v>781</v>
      </c>
      <c r="E1876" s="15"/>
      <c r="F1876" s="15" t="s">
        <v>876</v>
      </c>
      <c r="G1876" s="15" t="s">
        <v>112</v>
      </c>
      <c r="H1876" s="15"/>
    </row>
    <row r="1877" customFormat="false" ht="26.25" hidden="false" customHeight="true" outlineLevel="0" collapsed="false">
      <c r="A1877" s="15" t="s">
        <v>241</v>
      </c>
      <c r="B1877" s="15" t="s">
        <v>242</v>
      </c>
      <c r="C1877" s="15" t="s">
        <v>789</v>
      </c>
      <c r="D1877" s="15" t="s">
        <v>790</v>
      </c>
      <c r="E1877" s="15"/>
      <c r="F1877" s="15" t="s">
        <v>876</v>
      </c>
      <c r="G1877" s="15" t="s">
        <v>112</v>
      </c>
      <c r="H1877" s="15"/>
    </row>
    <row r="1878" customFormat="false" ht="26.25" hidden="false" customHeight="true" outlineLevel="0" collapsed="false">
      <c r="A1878" s="15" t="s">
        <v>241</v>
      </c>
      <c r="B1878" s="15" t="s">
        <v>242</v>
      </c>
      <c r="C1878" s="15" t="s">
        <v>784</v>
      </c>
      <c r="D1878" s="15" t="n">
        <v>11</v>
      </c>
      <c r="E1878" s="15" t="s">
        <v>738</v>
      </c>
      <c r="F1878" s="15" t="s">
        <v>879</v>
      </c>
      <c r="G1878" s="15" t="s">
        <v>112</v>
      </c>
      <c r="H1878" s="15"/>
    </row>
    <row r="1879" customFormat="false" ht="26.25" hidden="false" customHeight="true" outlineLevel="0" collapsed="false">
      <c r="A1879" s="15" t="s">
        <v>241</v>
      </c>
      <c r="B1879" s="15" t="s">
        <v>242</v>
      </c>
      <c r="C1879" s="15" t="s">
        <v>782</v>
      </c>
      <c r="D1879" s="15" t="n">
        <v>36</v>
      </c>
      <c r="E1879" s="15" t="s">
        <v>783</v>
      </c>
      <c r="F1879" s="15" t="s">
        <v>879</v>
      </c>
      <c r="G1879" s="15" t="s">
        <v>112</v>
      </c>
      <c r="H1879" s="15"/>
    </row>
    <row r="1880" customFormat="false" ht="26.25" hidden="false" customHeight="true" outlineLevel="0" collapsed="false">
      <c r="A1880" s="15" t="s">
        <v>241</v>
      </c>
      <c r="B1880" s="15" t="s">
        <v>242</v>
      </c>
      <c r="C1880" s="15" t="s">
        <v>90</v>
      </c>
      <c r="D1880" s="15" t="s">
        <v>880</v>
      </c>
      <c r="E1880" s="15"/>
      <c r="F1880" s="15" t="s">
        <v>876</v>
      </c>
      <c r="G1880" s="15" t="s">
        <v>112</v>
      </c>
      <c r="H1880" s="15"/>
    </row>
    <row r="1881" customFormat="false" ht="26.25" hidden="false" customHeight="true" outlineLevel="0" collapsed="false">
      <c r="A1881" s="15" t="s">
        <v>241</v>
      </c>
      <c r="B1881" s="15" t="s">
        <v>242</v>
      </c>
      <c r="C1881" s="15" t="s">
        <v>875</v>
      </c>
      <c r="D1881" s="15" t="n">
        <v>3.2</v>
      </c>
      <c r="E1881" s="15"/>
      <c r="F1881" s="15" t="s">
        <v>876</v>
      </c>
      <c r="G1881" s="15" t="s">
        <v>819</v>
      </c>
      <c r="H1881" s="15" t="s">
        <v>881</v>
      </c>
    </row>
    <row r="1882" customFormat="false" ht="26.25" hidden="false" customHeight="true" outlineLevel="0" collapsed="false">
      <c r="A1882" s="15" t="s">
        <v>241</v>
      </c>
      <c r="B1882" s="15" t="s">
        <v>242</v>
      </c>
      <c r="C1882" s="15" t="s">
        <v>772</v>
      </c>
      <c r="D1882" s="15" t="n">
        <v>60000</v>
      </c>
      <c r="E1882" s="15" t="s">
        <v>773</v>
      </c>
      <c r="F1882" s="15" t="s">
        <v>882</v>
      </c>
      <c r="G1882" s="15" t="s">
        <v>112</v>
      </c>
      <c r="H1882" s="15"/>
    </row>
    <row r="1883" customFormat="false" ht="26.25" hidden="false" customHeight="true" outlineLevel="0" collapsed="false">
      <c r="A1883" s="15" t="s">
        <v>241</v>
      </c>
      <c r="B1883" s="15" t="s">
        <v>242</v>
      </c>
      <c r="C1883" s="15" t="s">
        <v>775</v>
      </c>
      <c r="D1883" s="15" t="n">
        <v>75000</v>
      </c>
      <c r="E1883" s="15" t="s">
        <v>773</v>
      </c>
      <c r="F1883" s="15" t="s">
        <v>882</v>
      </c>
      <c r="G1883" s="15" t="s">
        <v>112</v>
      </c>
      <c r="H1883" s="15"/>
    </row>
    <row r="1884" customFormat="false" ht="26.25" hidden="false" customHeight="true" outlineLevel="0" collapsed="false">
      <c r="A1884" s="15" t="s">
        <v>241</v>
      </c>
      <c r="B1884" s="15" t="s">
        <v>242</v>
      </c>
      <c r="C1884" s="15" t="s">
        <v>98</v>
      </c>
      <c r="D1884" s="15" t="s">
        <v>732</v>
      </c>
      <c r="E1884" s="15"/>
      <c r="F1884" s="15" t="s">
        <v>876</v>
      </c>
      <c r="G1884" s="15" t="s">
        <v>112</v>
      </c>
      <c r="H1884" s="15"/>
    </row>
    <row r="1885" customFormat="false" ht="26.25" hidden="false" customHeight="true" outlineLevel="0" collapsed="false">
      <c r="A1885" s="15" t="s">
        <v>241</v>
      </c>
      <c r="B1885" s="15" t="s">
        <v>242</v>
      </c>
      <c r="C1885" s="15" t="s">
        <v>830</v>
      </c>
      <c r="D1885" s="15" t="s">
        <v>831</v>
      </c>
      <c r="E1885" s="15"/>
      <c r="F1885" s="15" t="s">
        <v>883</v>
      </c>
      <c r="G1885" s="15" t="s">
        <v>112</v>
      </c>
      <c r="H1885" s="15"/>
    </row>
    <row r="1886" customFormat="false" ht="26.25" hidden="false" customHeight="true" outlineLevel="0" collapsed="false">
      <c r="A1886" s="15" t="s">
        <v>241</v>
      </c>
      <c r="B1886" s="15" t="s">
        <v>242</v>
      </c>
      <c r="C1886" s="15" t="s">
        <v>833</v>
      </c>
      <c r="D1886" s="15" t="s">
        <v>834</v>
      </c>
      <c r="E1886" s="15"/>
      <c r="F1886" s="15" t="s">
        <v>883</v>
      </c>
      <c r="G1886" s="15" t="s">
        <v>112</v>
      </c>
      <c r="H1886" s="15"/>
    </row>
    <row r="1887" customFormat="false" ht="26.25" hidden="false" customHeight="true" outlineLevel="0" collapsed="false">
      <c r="A1887" s="15" t="s">
        <v>241</v>
      </c>
      <c r="B1887" s="15" t="s">
        <v>242</v>
      </c>
      <c r="C1887" s="15" t="s">
        <v>835</v>
      </c>
      <c r="D1887" s="15" t="s">
        <v>836</v>
      </c>
      <c r="E1887" s="15"/>
      <c r="F1887" s="15" t="s">
        <v>883</v>
      </c>
      <c r="G1887" s="15" t="s">
        <v>112</v>
      </c>
      <c r="H1887" s="15"/>
    </row>
    <row r="1888" customFormat="false" ht="26.25" hidden="false" customHeight="true" outlineLevel="0" collapsed="false">
      <c r="A1888" s="15" t="s">
        <v>241</v>
      </c>
      <c r="B1888" s="15" t="s">
        <v>242</v>
      </c>
      <c r="C1888" s="15" t="s">
        <v>837</v>
      </c>
      <c r="D1888" s="15" t="n">
        <v>10000</v>
      </c>
      <c r="E1888" s="15" t="s">
        <v>838</v>
      </c>
      <c r="F1888" s="15" t="s">
        <v>883</v>
      </c>
      <c r="G1888" s="15" t="s">
        <v>112</v>
      </c>
      <c r="H1888" s="15"/>
    </row>
    <row r="1889" customFormat="false" ht="26.25" hidden="false" customHeight="true" outlineLevel="0" collapsed="false">
      <c r="A1889" s="15" t="s">
        <v>241</v>
      </c>
      <c r="B1889" s="15" t="s">
        <v>242</v>
      </c>
      <c r="C1889" s="15" t="s">
        <v>839</v>
      </c>
      <c r="D1889" s="15" t="s">
        <v>840</v>
      </c>
      <c r="E1889" s="15"/>
      <c r="F1889" s="15" t="s">
        <v>883</v>
      </c>
      <c r="G1889" s="15" t="s">
        <v>112</v>
      </c>
      <c r="H1889" s="15"/>
    </row>
    <row r="1890" customFormat="false" ht="26.25" hidden="false" customHeight="true" outlineLevel="0" collapsed="false">
      <c r="A1890" s="15" t="s">
        <v>241</v>
      </c>
      <c r="B1890" s="15" t="s">
        <v>242</v>
      </c>
      <c r="C1890" s="15" t="s">
        <v>841</v>
      </c>
      <c r="D1890" s="15" t="s">
        <v>842</v>
      </c>
      <c r="E1890" s="15"/>
      <c r="F1890" s="15" t="s">
        <v>883</v>
      </c>
      <c r="G1890" s="15" t="s">
        <v>112</v>
      </c>
      <c r="H1890" s="15"/>
    </row>
    <row r="1891" customFormat="false" ht="26.25" hidden="false" customHeight="true" outlineLevel="0" collapsed="false">
      <c r="A1891" s="15" t="s">
        <v>241</v>
      </c>
      <c r="B1891" s="15" t="s">
        <v>242</v>
      </c>
      <c r="C1891" s="15" t="s">
        <v>843</v>
      </c>
      <c r="D1891" s="15" t="s">
        <v>844</v>
      </c>
      <c r="E1891" s="15"/>
      <c r="F1891" s="15" t="s">
        <v>876</v>
      </c>
      <c r="G1891" s="15" t="s">
        <v>112</v>
      </c>
      <c r="H1891" s="15"/>
    </row>
    <row r="1892" customFormat="false" ht="26.25" hidden="false" customHeight="true" outlineLevel="0" collapsed="false">
      <c r="A1892" s="15" t="s">
        <v>241</v>
      </c>
      <c r="B1892" s="15" t="s">
        <v>242</v>
      </c>
      <c r="C1892" s="15" t="s">
        <v>737</v>
      </c>
      <c r="D1892" s="15" t="n">
        <v>210</v>
      </c>
      <c r="E1892" s="15" t="s">
        <v>738</v>
      </c>
      <c r="F1892" s="15" t="s">
        <v>876</v>
      </c>
      <c r="G1892" s="15" t="s">
        <v>112</v>
      </c>
      <c r="H1892" s="15"/>
    </row>
    <row r="1893" customFormat="false" ht="26.25" hidden="false" customHeight="true" outlineLevel="0" collapsed="false">
      <c r="A1893" s="15" t="s">
        <v>241</v>
      </c>
      <c r="B1893" s="15" t="s">
        <v>242</v>
      </c>
      <c r="C1893" s="15" t="s">
        <v>739</v>
      </c>
      <c r="D1893" s="15" t="n">
        <v>180</v>
      </c>
      <c r="E1893" s="15" t="s">
        <v>738</v>
      </c>
      <c r="F1893" s="15" t="s">
        <v>876</v>
      </c>
      <c r="G1893" s="15" t="s">
        <v>112</v>
      </c>
      <c r="H1893" s="15"/>
    </row>
    <row r="1894" customFormat="false" ht="26.25" hidden="false" customHeight="true" outlineLevel="0" collapsed="false">
      <c r="A1894" s="15" t="s">
        <v>241</v>
      </c>
      <c r="B1894" s="15" t="s">
        <v>242</v>
      </c>
      <c r="C1894" s="15" t="s">
        <v>740</v>
      </c>
      <c r="D1894" s="15" t="n">
        <v>8</v>
      </c>
      <c r="E1894" s="15" t="s">
        <v>741</v>
      </c>
      <c r="F1894" s="15" t="s">
        <v>876</v>
      </c>
      <c r="G1894" s="15" t="s">
        <v>112</v>
      </c>
      <c r="H1894" s="15"/>
    </row>
    <row r="1895" customFormat="false" ht="26.25" hidden="false" customHeight="true" outlineLevel="0" collapsed="false">
      <c r="A1895" s="15" t="s">
        <v>241</v>
      </c>
      <c r="B1895" s="15" t="s">
        <v>242</v>
      </c>
      <c r="C1895" s="15" t="s">
        <v>742</v>
      </c>
      <c r="D1895" s="15" t="n">
        <v>11.7</v>
      </c>
      <c r="E1895" s="15" t="s">
        <v>741</v>
      </c>
      <c r="F1895" s="15" t="s">
        <v>876</v>
      </c>
      <c r="G1895" s="15" t="s">
        <v>112</v>
      </c>
      <c r="H1895" s="15"/>
    </row>
    <row r="1896" customFormat="false" ht="26.25" hidden="false" customHeight="true" outlineLevel="0" collapsed="false">
      <c r="A1896" s="15" t="s">
        <v>241</v>
      </c>
      <c r="B1896" s="15" t="s">
        <v>242</v>
      </c>
      <c r="C1896" s="15" t="s">
        <v>733</v>
      </c>
      <c r="D1896" s="15" t="s">
        <v>808</v>
      </c>
      <c r="E1896" s="15"/>
      <c r="F1896" s="15" t="s">
        <v>882</v>
      </c>
      <c r="G1896" s="15" t="s">
        <v>112</v>
      </c>
      <c r="H1896" s="15"/>
    </row>
    <row r="1897" customFormat="false" ht="26.25" hidden="false" customHeight="true" outlineLevel="0" collapsed="false">
      <c r="A1897" s="15" t="s">
        <v>241</v>
      </c>
      <c r="B1897" s="15" t="s">
        <v>242</v>
      </c>
      <c r="C1897" s="15" t="s">
        <v>785</v>
      </c>
      <c r="D1897" s="15" t="n">
        <v>409</v>
      </c>
      <c r="E1897" s="15" t="s">
        <v>786</v>
      </c>
      <c r="F1897" s="15" t="s">
        <v>879</v>
      </c>
      <c r="G1897" s="15" t="s">
        <v>112</v>
      </c>
      <c r="H1897" s="15"/>
    </row>
    <row r="1898" customFormat="false" ht="26.25" hidden="false" customHeight="true" outlineLevel="0" collapsed="false">
      <c r="A1898" s="15" t="s">
        <v>241</v>
      </c>
      <c r="B1898" s="15" t="s">
        <v>242</v>
      </c>
      <c r="C1898" s="15" t="s">
        <v>887</v>
      </c>
      <c r="D1898" s="15" t="s">
        <v>888</v>
      </c>
      <c r="E1898" s="15"/>
      <c r="F1898" s="15" t="s">
        <v>889</v>
      </c>
      <c r="G1898" s="15" t="s">
        <v>112</v>
      </c>
      <c r="H1898" s="15" t="s">
        <v>890</v>
      </c>
    </row>
    <row r="1899" customFormat="false" ht="26.25" hidden="false" customHeight="true" outlineLevel="0" collapsed="false">
      <c r="A1899" s="15" t="s">
        <v>241</v>
      </c>
      <c r="B1899" s="15" t="s">
        <v>242</v>
      </c>
      <c r="C1899" s="15" t="s">
        <v>769</v>
      </c>
      <c r="D1899" s="15" t="s">
        <v>892</v>
      </c>
      <c r="E1899" s="15" t="s">
        <v>721</v>
      </c>
      <c r="F1899" s="15" t="s">
        <v>876</v>
      </c>
      <c r="G1899" s="15" t="s">
        <v>112</v>
      </c>
      <c r="H1899" s="15"/>
    </row>
    <row r="1900" customFormat="false" ht="26.25" hidden="false" customHeight="true" outlineLevel="0" collapsed="false">
      <c r="A1900" s="15" t="s">
        <v>241</v>
      </c>
      <c r="B1900" s="15" t="s">
        <v>242</v>
      </c>
      <c r="C1900" s="15" t="s">
        <v>86</v>
      </c>
      <c r="D1900" s="15" t="n">
        <v>6</v>
      </c>
      <c r="E1900" s="15" t="s">
        <v>721</v>
      </c>
      <c r="F1900" s="15" t="s">
        <v>876</v>
      </c>
      <c r="G1900" s="15" t="s">
        <v>112</v>
      </c>
      <c r="H1900" s="15"/>
    </row>
    <row r="1901" customFormat="false" ht="26.25" hidden="false" customHeight="true" outlineLevel="0" collapsed="false">
      <c r="A1901" s="15" t="s">
        <v>241</v>
      </c>
      <c r="B1901" s="15" t="s">
        <v>242</v>
      </c>
      <c r="C1901" s="15" t="s">
        <v>764</v>
      </c>
      <c r="D1901" s="15" t="s">
        <v>755</v>
      </c>
      <c r="E1901" s="15"/>
      <c r="F1901" s="15" t="s">
        <v>876</v>
      </c>
      <c r="G1901" s="15" t="s">
        <v>112</v>
      </c>
      <c r="H1901" s="15"/>
    </row>
    <row r="1902" customFormat="false" ht="26.25" hidden="false" customHeight="true" outlineLevel="0" collapsed="false">
      <c r="A1902" s="15" t="s">
        <v>241</v>
      </c>
      <c r="B1902" s="15" t="s">
        <v>242</v>
      </c>
      <c r="C1902" s="15" t="s">
        <v>749</v>
      </c>
      <c r="D1902" s="15" t="s">
        <v>806</v>
      </c>
      <c r="E1902" s="15"/>
      <c r="F1902" s="15" t="s">
        <v>876</v>
      </c>
      <c r="G1902" s="15" t="s">
        <v>112</v>
      </c>
      <c r="H1902" s="15"/>
    </row>
    <row r="1903" customFormat="false" ht="26.25" hidden="false" customHeight="true" outlineLevel="0" collapsed="false">
      <c r="A1903" s="15" t="s">
        <v>241</v>
      </c>
      <c r="B1903" s="15" t="s">
        <v>242</v>
      </c>
      <c r="C1903" s="15" t="s">
        <v>752</v>
      </c>
      <c r="D1903" s="15" t="s">
        <v>865</v>
      </c>
      <c r="E1903" s="15"/>
      <c r="F1903" s="15" t="s">
        <v>876</v>
      </c>
      <c r="G1903" s="15" t="s">
        <v>112</v>
      </c>
      <c r="H1903" s="15"/>
    </row>
    <row r="1904" customFormat="false" ht="26.25" hidden="false" customHeight="true" outlineLevel="0" collapsed="false">
      <c r="A1904" s="15" t="s">
        <v>241</v>
      </c>
      <c r="B1904" s="15" t="s">
        <v>242</v>
      </c>
      <c r="C1904" s="15" t="s">
        <v>754</v>
      </c>
      <c r="D1904" s="15" t="s">
        <v>803</v>
      </c>
      <c r="E1904" s="15"/>
      <c r="F1904" s="15" t="s">
        <v>876</v>
      </c>
      <c r="G1904" s="15" t="s">
        <v>112</v>
      </c>
      <c r="H1904" s="15"/>
    </row>
    <row r="1905" customFormat="false" ht="26.25" hidden="false" customHeight="true" outlineLevel="0" collapsed="false">
      <c r="A1905" s="15" t="s">
        <v>241</v>
      </c>
      <c r="B1905" s="15" t="s">
        <v>242</v>
      </c>
      <c r="C1905" s="15" t="s">
        <v>884</v>
      </c>
      <c r="D1905" s="15" t="s">
        <v>755</v>
      </c>
      <c r="E1905" s="15"/>
      <c r="F1905" s="15" t="s">
        <v>876</v>
      </c>
      <c r="G1905" s="15" t="s">
        <v>112</v>
      </c>
      <c r="H1905" s="15"/>
    </row>
    <row r="1906" customFormat="false" ht="26.25" hidden="false" customHeight="true" outlineLevel="0" collapsed="false">
      <c r="A1906" s="15" t="s">
        <v>241</v>
      </c>
      <c r="B1906" s="15" t="s">
        <v>242</v>
      </c>
      <c r="C1906" s="15" t="s">
        <v>756</v>
      </c>
      <c r="D1906" s="15" t="s">
        <v>858</v>
      </c>
      <c r="E1906" s="15"/>
      <c r="F1906" s="15" t="s">
        <v>876</v>
      </c>
      <c r="G1906" s="15" t="s">
        <v>112</v>
      </c>
      <c r="H1906" s="15"/>
    </row>
    <row r="1907" customFormat="false" ht="26.25" hidden="false" customHeight="true" outlineLevel="0" collapsed="false">
      <c r="A1907" s="15" t="s">
        <v>241</v>
      </c>
      <c r="B1907" s="15" t="s">
        <v>242</v>
      </c>
      <c r="C1907" s="15" t="s">
        <v>757</v>
      </c>
      <c r="D1907" s="15" t="s">
        <v>797</v>
      </c>
      <c r="E1907" s="15"/>
      <c r="F1907" s="15" t="s">
        <v>876</v>
      </c>
      <c r="G1907" s="15" t="s">
        <v>112</v>
      </c>
      <c r="H1907" s="15"/>
    </row>
    <row r="1908" customFormat="false" ht="26.25" hidden="false" customHeight="true" outlineLevel="0" collapsed="false">
      <c r="A1908" s="15" t="s">
        <v>241</v>
      </c>
      <c r="B1908" s="15" t="s">
        <v>242</v>
      </c>
      <c r="C1908" s="15" t="s">
        <v>759</v>
      </c>
      <c r="D1908" s="15" t="s">
        <v>798</v>
      </c>
      <c r="E1908" s="15"/>
      <c r="F1908" s="15" t="s">
        <v>876</v>
      </c>
      <c r="G1908" s="15" t="s">
        <v>112</v>
      </c>
      <c r="H1908" s="15"/>
    </row>
    <row r="1909" customFormat="false" ht="26.25" hidden="false" customHeight="true" outlineLevel="0" collapsed="false">
      <c r="A1909" s="15" t="s">
        <v>241</v>
      </c>
      <c r="B1909" s="15" t="s">
        <v>242</v>
      </c>
      <c r="C1909" s="15" t="s">
        <v>761</v>
      </c>
      <c r="D1909" s="15" t="s">
        <v>755</v>
      </c>
      <c r="E1909" s="15"/>
      <c r="F1909" s="15" t="s">
        <v>876</v>
      </c>
      <c r="G1909" s="15" t="s">
        <v>112</v>
      </c>
      <c r="H1909" s="15"/>
    </row>
    <row r="1910" customFormat="false" ht="26.25" hidden="false" customHeight="true" outlineLevel="0" collapsed="false">
      <c r="A1910" s="15" t="s">
        <v>241</v>
      </c>
      <c r="B1910" s="15" t="s">
        <v>242</v>
      </c>
      <c r="C1910" s="15" t="s">
        <v>762</v>
      </c>
      <c r="D1910" s="15" t="s">
        <v>755</v>
      </c>
      <c r="E1910" s="15"/>
      <c r="F1910" s="15" t="s">
        <v>876</v>
      </c>
      <c r="G1910" s="15" t="s">
        <v>112</v>
      </c>
      <c r="H1910" s="15"/>
    </row>
    <row r="1911" customFormat="false" ht="26.25" hidden="false" customHeight="true" outlineLevel="0" collapsed="false">
      <c r="A1911" s="15" t="s">
        <v>241</v>
      </c>
      <c r="B1911" s="15" t="s">
        <v>242</v>
      </c>
      <c r="C1911" s="15" t="s">
        <v>92</v>
      </c>
      <c r="D1911" s="15" t="s">
        <v>755</v>
      </c>
      <c r="E1911" s="15"/>
      <c r="F1911" s="15" t="s">
        <v>876</v>
      </c>
      <c r="G1911" s="15" t="s">
        <v>112</v>
      </c>
      <c r="H1911" s="15"/>
    </row>
    <row r="1912" customFormat="false" ht="26.25" hidden="false" customHeight="true" outlineLevel="0" collapsed="false">
      <c r="A1912" s="15" t="s">
        <v>241</v>
      </c>
      <c r="B1912" s="15" t="s">
        <v>242</v>
      </c>
      <c r="C1912" s="15" t="s">
        <v>848</v>
      </c>
      <c r="D1912" s="15" t="s">
        <v>859</v>
      </c>
      <c r="E1912" s="15"/>
      <c r="F1912" s="15" t="s">
        <v>876</v>
      </c>
      <c r="G1912" s="15" t="s">
        <v>112</v>
      </c>
      <c r="H1912" s="15"/>
    </row>
    <row r="1913" customFormat="false" ht="26.25" hidden="false" customHeight="true" outlineLevel="0" collapsed="false">
      <c r="A1913" s="15" t="s">
        <v>241</v>
      </c>
      <c r="B1913" s="15" t="s">
        <v>242</v>
      </c>
      <c r="C1913" s="15" t="s">
        <v>747</v>
      </c>
      <c r="D1913" s="15" t="s">
        <v>893</v>
      </c>
      <c r="E1913" s="15"/>
      <c r="F1913" s="15" t="s">
        <v>876</v>
      </c>
      <c r="G1913" s="15" t="s">
        <v>112</v>
      </c>
      <c r="H1913" s="15"/>
    </row>
    <row r="1914" customFormat="false" ht="26.25" hidden="false" customHeight="true" outlineLevel="0" collapsed="false">
      <c r="A1914" s="15" t="s">
        <v>241</v>
      </c>
      <c r="B1914" s="15" t="s">
        <v>242</v>
      </c>
      <c r="C1914" s="15" t="s">
        <v>851</v>
      </c>
      <c r="D1914" s="15" t="s">
        <v>860</v>
      </c>
      <c r="E1914" s="15"/>
      <c r="F1914" s="15" t="s">
        <v>876</v>
      </c>
      <c r="G1914" s="15" t="s">
        <v>112</v>
      </c>
      <c r="H1914" s="15"/>
    </row>
    <row r="1915" customFormat="false" ht="26.25" hidden="false" customHeight="true" outlineLevel="0" collapsed="false">
      <c r="A1915" s="15" t="s">
        <v>241</v>
      </c>
      <c r="B1915" s="15" t="s">
        <v>242</v>
      </c>
      <c r="C1915" s="15" t="s">
        <v>853</v>
      </c>
      <c r="D1915" s="15" t="s">
        <v>861</v>
      </c>
      <c r="E1915" s="15"/>
      <c r="F1915" s="15" t="s">
        <v>876</v>
      </c>
      <c r="G1915" s="15" t="s">
        <v>112</v>
      </c>
      <c r="H1915" s="15"/>
    </row>
    <row r="1916" customFormat="false" ht="26.25" hidden="false" customHeight="true" outlineLevel="0" collapsed="false">
      <c r="A1916" s="15" t="s">
        <v>241</v>
      </c>
      <c r="B1916" s="15" t="s">
        <v>242</v>
      </c>
      <c r="C1916" s="15" t="s">
        <v>854</v>
      </c>
      <c r="D1916" s="15" t="s">
        <v>755</v>
      </c>
      <c r="E1916" s="15"/>
      <c r="F1916" s="15" t="s">
        <v>876</v>
      </c>
      <c r="G1916" s="15" t="s">
        <v>112</v>
      </c>
      <c r="H1916" s="15"/>
    </row>
    <row r="1917" customFormat="false" ht="26.25" hidden="false" customHeight="true" outlineLevel="0" collapsed="false">
      <c r="A1917" s="15" t="s">
        <v>241</v>
      </c>
      <c r="B1917" s="15" t="s">
        <v>242</v>
      </c>
      <c r="C1917" s="15" t="s">
        <v>855</v>
      </c>
      <c r="D1917" s="15" t="s">
        <v>862</v>
      </c>
      <c r="E1917" s="15"/>
      <c r="F1917" s="15" t="s">
        <v>876</v>
      </c>
      <c r="G1917" s="15" t="s">
        <v>112</v>
      </c>
      <c r="H1917" s="15"/>
    </row>
    <row r="1918" customFormat="false" ht="26.25" hidden="false" customHeight="true" outlineLevel="0" collapsed="false">
      <c r="A1918" s="15" t="s">
        <v>241</v>
      </c>
      <c r="B1918" s="15" t="s">
        <v>242</v>
      </c>
      <c r="C1918" s="15" t="s">
        <v>857</v>
      </c>
      <c r="D1918" s="15" t="s">
        <v>803</v>
      </c>
      <c r="E1918" s="15"/>
      <c r="F1918" s="15" t="s">
        <v>876</v>
      </c>
      <c r="G1918" s="15" t="s">
        <v>112</v>
      </c>
      <c r="H1918" s="15"/>
    </row>
    <row r="1919" customFormat="false" ht="26.25" hidden="false" customHeight="true" outlineLevel="0" collapsed="false">
      <c r="A1919" s="15" t="s">
        <v>241</v>
      </c>
      <c r="B1919" s="15" t="s">
        <v>242</v>
      </c>
      <c r="C1919" s="15" t="s">
        <v>886</v>
      </c>
      <c r="D1919" s="15" t="s">
        <v>755</v>
      </c>
      <c r="E1919" s="15"/>
      <c r="F1919" s="15" t="s">
        <v>876</v>
      </c>
      <c r="G1919" s="15" t="s">
        <v>112</v>
      </c>
      <c r="H1919" s="15"/>
    </row>
    <row r="1920" customFormat="false" ht="15" hidden="false" customHeight="true" outlineLevel="0" collapsed="false">
      <c r="A1920" s="15" t="s">
        <v>221</v>
      </c>
      <c r="B1920" s="15" t="s">
        <v>276</v>
      </c>
      <c r="C1920" s="15" t="s">
        <v>714</v>
      </c>
      <c r="D1920" s="15" t="n">
        <v>380</v>
      </c>
      <c r="E1920" s="15" t="s">
        <v>715</v>
      </c>
      <c r="F1920" s="15" t="s">
        <v>876</v>
      </c>
      <c r="G1920" s="15" t="s">
        <v>112</v>
      </c>
      <c r="H1920" s="15"/>
    </row>
    <row r="1921" customFormat="false" ht="15" hidden="false" customHeight="true" outlineLevel="0" collapsed="false">
      <c r="A1921" s="15" t="s">
        <v>221</v>
      </c>
      <c r="B1921" s="15" t="s">
        <v>276</v>
      </c>
      <c r="C1921" s="15" t="s">
        <v>718</v>
      </c>
      <c r="D1921" s="15" t="s">
        <v>113</v>
      </c>
      <c r="E1921" s="15"/>
      <c r="F1921" s="15" t="s">
        <v>876</v>
      </c>
      <c r="G1921" s="15" t="s">
        <v>112</v>
      </c>
      <c r="H1921" s="15"/>
    </row>
    <row r="1922" customFormat="false" ht="15" hidden="false" customHeight="true" outlineLevel="0" collapsed="false">
      <c r="A1922" s="15" t="s">
        <v>221</v>
      </c>
      <c r="B1922" s="15" t="s">
        <v>276</v>
      </c>
      <c r="C1922" s="15" t="s">
        <v>719</v>
      </c>
      <c r="D1922" s="15" t="n">
        <v>20</v>
      </c>
      <c r="E1922" s="15" t="s">
        <v>720</v>
      </c>
      <c r="F1922" s="15" t="s">
        <v>876</v>
      </c>
      <c r="G1922" s="15" t="s">
        <v>112</v>
      </c>
      <c r="H1922" s="15"/>
    </row>
    <row r="1923" customFormat="false" ht="15" hidden="false" customHeight="true" outlineLevel="0" collapsed="false">
      <c r="A1923" s="15" t="s">
        <v>221</v>
      </c>
      <c r="B1923" s="15" t="s">
        <v>276</v>
      </c>
      <c r="C1923" s="15" t="s">
        <v>722</v>
      </c>
      <c r="D1923" s="15" t="s">
        <v>877</v>
      </c>
      <c r="E1923" s="15" t="s">
        <v>723</v>
      </c>
      <c r="F1923" s="15" t="s">
        <v>876</v>
      </c>
      <c r="G1923" s="15" t="s">
        <v>112</v>
      </c>
      <c r="H1923" s="15"/>
    </row>
    <row r="1924" customFormat="false" ht="15" hidden="false" customHeight="true" outlineLevel="0" collapsed="false">
      <c r="A1924" s="15" t="s">
        <v>221</v>
      </c>
      <c r="B1924" s="15" t="s">
        <v>276</v>
      </c>
      <c r="C1924" s="15" t="s">
        <v>724</v>
      </c>
      <c r="D1924" s="15" t="n">
        <v>150</v>
      </c>
      <c r="E1924" s="15" t="s">
        <v>723</v>
      </c>
      <c r="F1924" s="15" t="s">
        <v>876</v>
      </c>
      <c r="G1924" s="15" t="s">
        <v>112</v>
      </c>
      <c r="H1924" s="15"/>
    </row>
    <row r="1925" customFormat="false" ht="15" hidden="false" customHeight="true" outlineLevel="0" collapsed="false">
      <c r="A1925" s="15" t="s">
        <v>221</v>
      </c>
      <c r="B1925" s="15" t="s">
        <v>276</v>
      </c>
      <c r="C1925" s="15" t="s">
        <v>84</v>
      </c>
      <c r="D1925" s="15" t="n">
        <v>205</v>
      </c>
      <c r="E1925" s="15" t="s">
        <v>725</v>
      </c>
      <c r="F1925" s="15" t="s">
        <v>876</v>
      </c>
      <c r="G1925" s="15" t="s">
        <v>112</v>
      </c>
      <c r="H1925" s="15"/>
    </row>
    <row r="1926" customFormat="false" ht="15" hidden="false" customHeight="true" outlineLevel="0" collapsed="false">
      <c r="A1926" s="15" t="s">
        <v>221</v>
      </c>
      <c r="B1926" s="15" t="s">
        <v>276</v>
      </c>
      <c r="C1926" s="15" t="s">
        <v>726</v>
      </c>
      <c r="D1926" s="15" t="n">
        <v>4737</v>
      </c>
      <c r="E1926" s="15" t="s">
        <v>725</v>
      </c>
      <c r="F1926" s="15" t="s">
        <v>876</v>
      </c>
      <c r="G1926" s="15" t="s">
        <v>112</v>
      </c>
      <c r="H1926" s="15"/>
    </row>
    <row r="1927" customFormat="false" ht="15" hidden="false" customHeight="true" outlineLevel="0" collapsed="false">
      <c r="A1927" s="15" t="s">
        <v>221</v>
      </c>
      <c r="B1927" s="15" t="s">
        <v>276</v>
      </c>
      <c r="C1927" s="15" t="s">
        <v>727</v>
      </c>
      <c r="D1927" s="15" t="n">
        <v>1900</v>
      </c>
      <c r="E1927" s="15" t="s">
        <v>725</v>
      </c>
      <c r="F1927" s="15" t="s">
        <v>876</v>
      </c>
      <c r="G1927" s="15" t="s">
        <v>112</v>
      </c>
      <c r="H1927" s="15"/>
    </row>
    <row r="1928" customFormat="false" ht="15" hidden="false" customHeight="true" outlineLevel="0" collapsed="false">
      <c r="A1928" s="15" t="s">
        <v>221</v>
      </c>
      <c r="B1928" s="15" t="s">
        <v>276</v>
      </c>
      <c r="C1928" s="15" t="s">
        <v>728</v>
      </c>
      <c r="D1928" s="15" t="n">
        <v>1747</v>
      </c>
      <c r="E1928" s="15" t="s">
        <v>725</v>
      </c>
      <c r="F1928" s="15" t="s">
        <v>876</v>
      </c>
      <c r="G1928" s="15" t="s">
        <v>112</v>
      </c>
      <c r="H1928" s="15"/>
    </row>
    <row r="1929" customFormat="false" ht="15" hidden="false" customHeight="true" outlineLevel="0" collapsed="false">
      <c r="A1929" s="15" t="s">
        <v>221</v>
      </c>
      <c r="B1929" s="15" t="s">
        <v>276</v>
      </c>
      <c r="C1929" s="15" t="s">
        <v>729</v>
      </c>
      <c r="D1929" s="15" t="n">
        <v>2762</v>
      </c>
      <c r="E1929" s="15" t="s">
        <v>725</v>
      </c>
      <c r="F1929" s="15" t="s">
        <v>876</v>
      </c>
      <c r="G1929" s="15" t="s">
        <v>112</v>
      </c>
      <c r="H1929" s="15"/>
    </row>
    <row r="1930" customFormat="false" ht="15" hidden="false" customHeight="true" outlineLevel="0" collapsed="false">
      <c r="A1930" s="15" t="s">
        <v>221</v>
      </c>
      <c r="B1930" s="15" t="s">
        <v>276</v>
      </c>
      <c r="C1930" s="15" t="s">
        <v>730</v>
      </c>
      <c r="D1930" s="15" t="n">
        <v>10</v>
      </c>
      <c r="E1930" s="15" t="s">
        <v>731</v>
      </c>
      <c r="F1930" s="15" t="s">
        <v>876</v>
      </c>
      <c r="G1930" s="15" t="s">
        <v>112</v>
      </c>
      <c r="H1930" s="15"/>
    </row>
    <row r="1931" customFormat="false" ht="15" hidden="false" customHeight="true" outlineLevel="0" collapsed="false">
      <c r="A1931" s="15" t="s">
        <v>221</v>
      </c>
      <c r="B1931" s="15" t="s">
        <v>276</v>
      </c>
      <c r="C1931" s="15" t="s">
        <v>776</v>
      </c>
      <c r="D1931" s="15" t="s">
        <v>878</v>
      </c>
      <c r="E1931" s="15"/>
      <c r="F1931" s="15" t="s">
        <v>876</v>
      </c>
      <c r="G1931" s="15" t="s">
        <v>112</v>
      </c>
      <c r="H1931" s="15"/>
    </row>
    <row r="1932" customFormat="false" ht="15" hidden="false" customHeight="true" outlineLevel="0" collapsed="false">
      <c r="A1932" s="15" t="s">
        <v>221</v>
      </c>
      <c r="B1932" s="15" t="s">
        <v>276</v>
      </c>
      <c r="C1932" s="15" t="s">
        <v>780</v>
      </c>
      <c r="D1932" s="15" t="s">
        <v>781</v>
      </c>
      <c r="E1932" s="15"/>
      <c r="F1932" s="15" t="s">
        <v>876</v>
      </c>
      <c r="G1932" s="15" t="s">
        <v>112</v>
      </c>
      <c r="H1932" s="15"/>
    </row>
    <row r="1933" customFormat="false" ht="15" hidden="false" customHeight="true" outlineLevel="0" collapsed="false">
      <c r="A1933" s="15" t="s">
        <v>221</v>
      </c>
      <c r="B1933" s="15" t="s">
        <v>276</v>
      </c>
      <c r="C1933" s="15" t="s">
        <v>789</v>
      </c>
      <c r="D1933" s="15" t="s">
        <v>790</v>
      </c>
      <c r="E1933" s="15"/>
      <c r="F1933" s="15" t="s">
        <v>876</v>
      </c>
      <c r="G1933" s="15" t="s">
        <v>112</v>
      </c>
      <c r="H1933" s="15"/>
    </row>
    <row r="1934" customFormat="false" ht="15" hidden="false" customHeight="true" outlineLevel="0" collapsed="false">
      <c r="A1934" s="15" t="s">
        <v>221</v>
      </c>
      <c r="B1934" s="15" t="s">
        <v>276</v>
      </c>
      <c r="C1934" s="15" t="s">
        <v>784</v>
      </c>
      <c r="D1934" s="15" t="n">
        <v>11</v>
      </c>
      <c r="E1934" s="15" t="s">
        <v>738</v>
      </c>
      <c r="F1934" s="15" t="s">
        <v>879</v>
      </c>
      <c r="G1934" s="15" t="s">
        <v>112</v>
      </c>
      <c r="H1934" s="15"/>
    </row>
    <row r="1935" customFormat="false" ht="15" hidden="false" customHeight="true" outlineLevel="0" collapsed="false">
      <c r="A1935" s="15" t="s">
        <v>221</v>
      </c>
      <c r="B1935" s="15" t="s">
        <v>276</v>
      </c>
      <c r="C1935" s="15" t="s">
        <v>782</v>
      </c>
      <c r="D1935" s="15" t="n">
        <v>36</v>
      </c>
      <c r="E1935" s="15" t="s">
        <v>783</v>
      </c>
      <c r="F1935" s="15" t="s">
        <v>879</v>
      </c>
      <c r="G1935" s="15" t="s">
        <v>112</v>
      </c>
      <c r="H1935" s="15"/>
    </row>
    <row r="1936" customFormat="false" ht="15" hidden="false" customHeight="true" outlineLevel="0" collapsed="false">
      <c r="A1936" s="15" t="s">
        <v>221</v>
      </c>
      <c r="B1936" s="15" t="s">
        <v>276</v>
      </c>
      <c r="C1936" s="15" t="s">
        <v>90</v>
      </c>
      <c r="D1936" s="15" t="s">
        <v>880</v>
      </c>
      <c r="E1936" s="15"/>
      <c r="F1936" s="15" t="s">
        <v>876</v>
      </c>
      <c r="G1936" s="15" t="s">
        <v>112</v>
      </c>
      <c r="H1936" s="15"/>
    </row>
    <row r="1937" customFormat="false" ht="26.25" hidden="false" customHeight="true" outlineLevel="0" collapsed="false">
      <c r="A1937" s="15" t="s">
        <v>221</v>
      </c>
      <c r="B1937" s="15" t="s">
        <v>276</v>
      </c>
      <c r="C1937" s="15" t="s">
        <v>875</v>
      </c>
      <c r="D1937" s="15" t="n">
        <v>3.2</v>
      </c>
      <c r="E1937" s="15"/>
      <c r="F1937" s="15" t="s">
        <v>876</v>
      </c>
      <c r="G1937" s="15" t="s">
        <v>819</v>
      </c>
      <c r="H1937" s="15" t="s">
        <v>881</v>
      </c>
    </row>
    <row r="1938" customFormat="false" ht="15" hidden="false" customHeight="true" outlineLevel="0" collapsed="false">
      <c r="A1938" s="15" t="s">
        <v>221</v>
      </c>
      <c r="B1938" s="15" t="s">
        <v>276</v>
      </c>
      <c r="C1938" s="15" t="s">
        <v>772</v>
      </c>
      <c r="D1938" s="15" t="n">
        <v>60000</v>
      </c>
      <c r="E1938" s="15" t="s">
        <v>773</v>
      </c>
      <c r="F1938" s="15" t="s">
        <v>882</v>
      </c>
      <c r="G1938" s="15" t="s">
        <v>112</v>
      </c>
      <c r="H1938" s="15"/>
    </row>
    <row r="1939" customFormat="false" ht="15" hidden="false" customHeight="true" outlineLevel="0" collapsed="false">
      <c r="A1939" s="15" t="s">
        <v>221</v>
      </c>
      <c r="B1939" s="15" t="s">
        <v>276</v>
      </c>
      <c r="C1939" s="15" t="s">
        <v>775</v>
      </c>
      <c r="D1939" s="15" t="n">
        <v>75000</v>
      </c>
      <c r="E1939" s="15" t="s">
        <v>773</v>
      </c>
      <c r="F1939" s="15" t="s">
        <v>882</v>
      </c>
      <c r="G1939" s="15" t="s">
        <v>112</v>
      </c>
      <c r="H1939" s="15"/>
    </row>
    <row r="1940" customFormat="false" ht="26.25" hidden="false" customHeight="true" outlineLevel="0" collapsed="false">
      <c r="A1940" s="15" t="s">
        <v>221</v>
      </c>
      <c r="B1940" s="15" t="s">
        <v>276</v>
      </c>
      <c r="C1940" s="15" t="s">
        <v>98</v>
      </c>
      <c r="D1940" s="15" t="s">
        <v>732</v>
      </c>
      <c r="E1940" s="15"/>
      <c r="F1940" s="15" t="s">
        <v>876</v>
      </c>
      <c r="G1940" s="15" t="s">
        <v>112</v>
      </c>
      <c r="H1940" s="15"/>
    </row>
    <row r="1941" customFormat="false" ht="26.25" hidden="false" customHeight="true" outlineLevel="0" collapsed="false">
      <c r="A1941" s="15" t="s">
        <v>221</v>
      </c>
      <c r="B1941" s="15" t="s">
        <v>276</v>
      </c>
      <c r="C1941" s="15" t="s">
        <v>830</v>
      </c>
      <c r="D1941" s="15" t="s">
        <v>831</v>
      </c>
      <c r="E1941" s="15"/>
      <c r="F1941" s="15" t="s">
        <v>883</v>
      </c>
      <c r="G1941" s="15" t="s">
        <v>112</v>
      </c>
      <c r="H1941" s="15"/>
    </row>
    <row r="1942" customFormat="false" ht="15" hidden="false" customHeight="true" outlineLevel="0" collapsed="false">
      <c r="A1942" s="15" t="s">
        <v>221</v>
      </c>
      <c r="B1942" s="15" t="s">
        <v>276</v>
      </c>
      <c r="C1942" s="15" t="s">
        <v>833</v>
      </c>
      <c r="D1942" s="15" t="s">
        <v>834</v>
      </c>
      <c r="E1942" s="15"/>
      <c r="F1942" s="15" t="s">
        <v>883</v>
      </c>
      <c r="G1942" s="15" t="s">
        <v>112</v>
      </c>
      <c r="H1942" s="15"/>
    </row>
    <row r="1943" customFormat="false" ht="15" hidden="false" customHeight="true" outlineLevel="0" collapsed="false">
      <c r="A1943" s="15" t="s">
        <v>221</v>
      </c>
      <c r="B1943" s="15" t="s">
        <v>276</v>
      </c>
      <c r="C1943" s="15" t="s">
        <v>835</v>
      </c>
      <c r="D1943" s="15" t="s">
        <v>836</v>
      </c>
      <c r="E1943" s="15"/>
      <c r="F1943" s="15" t="s">
        <v>883</v>
      </c>
      <c r="G1943" s="15" t="s">
        <v>112</v>
      </c>
      <c r="H1943" s="15"/>
    </row>
    <row r="1944" customFormat="false" ht="15" hidden="false" customHeight="true" outlineLevel="0" collapsed="false">
      <c r="A1944" s="15" t="s">
        <v>221</v>
      </c>
      <c r="B1944" s="15" t="s">
        <v>276</v>
      </c>
      <c r="C1944" s="15" t="s">
        <v>837</v>
      </c>
      <c r="D1944" s="15" t="n">
        <v>10000</v>
      </c>
      <c r="E1944" s="15" t="s">
        <v>838</v>
      </c>
      <c r="F1944" s="15" t="s">
        <v>883</v>
      </c>
      <c r="G1944" s="15" t="s">
        <v>112</v>
      </c>
      <c r="H1944" s="15"/>
    </row>
    <row r="1945" customFormat="false" ht="26.25" hidden="false" customHeight="true" outlineLevel="0" collapsed="false">
      <c r="A1945" s="15" t="s">
        <v>221</v>
      </c>
      <c r="B1945" s="15" t="s">
        <v>276</v>
      </c>
      <c r="C1945" s="15" t="s">
        <v>839</v>
      </c>
      <c r="D1945" s="15" t="s">
        <v>840</v>
      </c>
      <c r="E1945" s="15"/>
      <c r="F1945" s="15" t="s">
        <v>883</v>
      </c>
      <c r="G1945" s="15" t="s">
        <v>112</v>
      </c>
      <c r="H1945" s="15"/>
    </row>
    <row r="1946" customFormat="false" ht="15" hidden="false" customHeight="true" outlineLevel="0" collapsed="false">
      <c r="A1946" s="15" t="s">
        <v>221</v>
      </c>
      <c r="B1946" s="15" t="s">
        <v>276</v>
      </c>
      <c r="C1946" s="15" t="s">
        <v>841</v>
      </c>
      <c r="D1946" s="15" t="s">
        <v>842</v>
      </c>
      <c r="E1946" s="15"/>
      <c r="F1946" s="15" t="s">
        <v>883</v>
      </c>
      <c r="G1946" s="15" t="s">
        <v>112</v>
      </c>
      <c r="H1946" s="15"/>
    </row>
    <row r="1947" customFormat="false" ht="15" hidden="false" customHeight="true" outlineLevel="0" collapsed="false">
      <c r="A1947" s="15" t="s">
        <v>221</v>
      </c>
      <c r="B1947" s="15" t="s">
        <v>276</v>
      </c>
      <c r="C1947" s="15" t="s">
        <v>843</v>
      </c>
      <c r="D1947" s="15" t="s">
        <v>844</v>
      </c>
      <c r="E1947" s="15"/>
      <c r="F1947" s="15" t="s">
        <v>876</v>
      </c>
      <c r="G1947" s="15" t="s">
        <v>112</v>
      </c>
      <c r="H1947" s="15"/>
    </row>
    <row r="1948" customFormat="false" ht="15" hidden="false" customHeight="true" outlineLevel="0" collapsed="false">
      <c r="A1948" s="15" t="s">
        <v>221</v>
      </c>
      <c r="B1948" s="15" t="s">
        <v>276</v>
      </c>
      <c r="C1948" s="15" t="s">
        <v>737</v>
      </c>
      <c r="D1948" s="15" t="n">
        <v>210</v>
      </c>
      <c r="E1948" s="15" t="s">
        <v>738</v>
      </c>
      <c r="F1948" s="15" t="s">
        <v>876</v>
      </c>
      <c r="G1948" s="15" t="s">
        <v>112</v>
      </c>
      <c r="H1948" s="15"/>
    </row>
    <row r="1949" customFormat="false" ht="15" hidden="false" customHeight="true" outlineLevel="0" collapsed="false">
      <c r="A1949" s="15" t="s">
        <v>221</v>
      </c>
      <c r="B1949" s="15" t="s">
        <v>276</v>
      </c>
      <c r="C1949" s="15" t="s">
        <v>739</v>
      </c>
      <c r="D1949" s="15" t="n">
        <v>180</v>
      </c>
      <c r="E1949" s="15" t="s">
        <v>738</v>
      </c>
      <c r="F1949" s="15" t="s">
        <v>876</v>
      </c>
      <c r="G1949" s="15" t="s">
        <v>112</v>
      </c>
      <c r="H1949" s="15"/>
    </row>
    <row r="1950" customFormat="false" ht="26.25" hidden="false" customHeight="true" outlineLevel="0" collapsed="false">
      <c r="A1950" s="15" t="s">
        <v>221</v>
      </c>
      <c r="B1950" s="15" t="s">
        <v>276</v>
      </c>
      <c r="C1950" s="15" t="s">
        <v>740</v>
      </c>
      <c r="D1950" s="15" t="n">
        <v>8</v>
      </c>
      <c r="E1950" s="15" t="s">
        <v>741</v>
      </c>
      <c r="F1950" s="15" t="s">
        <v>876</v>
      </c>
      <c r="G1950" s="15" t="s">
        <v>112</v>
      </c>
      <c r="H1950" s="15"/>
    </row>
    <row r="1951" customFormat="false" ht="15" hidden="false" customHeight="true" outlineLevel="0" collapsed="false">
      <c r="A1951" s="15" t="s">
        <v>221</v>
      </c>
      <c r="B1951" s="15" t="s">
        <v>276</v>
      </c>
      <c r="C1951" s="15" t="s">
        <v>742</v>
      </c>
      <c r="D1951" s="15" t="n">
        <v>11.7</v>
      </c>
      <c r="E1951" s="15" t="s">
        <v>741</v>
      </c>
      <c r="F1951" s="15" t="s">
        <v>876</v>
      </c>
      <c r="G1951" s="15" t="s">
        <v>112</v>
      </c>
      <c r="H1951" s="15"/>
    </row>
    <row r="1952" customFormat="false" ht="15" hidden="false" customHeight="true" outlineLevel="0" collapsed="false">
      <c r="A1952" s="15" t="s">
        <v>221</v>
      </c>
      <c r="B1952" s="15" t="s">
        <v>276</v>
      </c>
      <c r="C1952" s="15" t="s">
        <v>733</v>
      </c>
      <c r="D1952" s="15" t="s">
        <v>808</v>
      </c>
      <c r="E1952" s="15"/>
      <c r="F1952" s="15" t="s">
        <v>882</v>
      </c>
      <c r="G1952" s="15" t="s">
        <v>112</v>
      </c>
      <c r="H1952" s="15"/>
    </row>
    <row r="1953" customFormat="false" ht="15" hidden="false" customHeight="true" outlineLevel="0" collapsed="false">
      <c r="A1953" s="15" t="s">
        <v>221</v>
      </c>
      <c r="B1953" s="15" t="s">
        <v>276</v>
      </c>
      <c r="C1953" s="15" t="s">
        <v>785</v>
      </c>
      <c r="D1953" s="15" t="n">
        <v>409</v>
      </c>
      <c r="E1953" s="15" t="s">
        <v>786</v>
      </c>
      <c r="F1953" s="15" t="s">
        <v>879</v>
      </c>
      <c r="G1953" s="15" t="s">
        <v>112</v>
      </c>
      <c r="H1953" s="15"/>
    </row>
    <row r="1954" customFormat="false" ht="26.25" hidden="false" customHeight="true" outlineLevel="0" collapsed="false">
      <c r="A1954" s="15" t="s">
        <v>221</v>
      </c>
      <c r="B1954" s="15" t="s">
        <v>276</v>
      </c>
      <c r="C1954" s="15" t="s">
        <v>887</v>
      </c>
      <c r="D1954" s="15" t="s">
        <v>888</v>
      </c>
      <c r="E1954" s="15"/>
      <c r="F1954" s="15" t="s">
        <v>889</v>
      </c>
      <c r="G1954" s="15" t="s">
        <v>112</v>
      </c>
      <c r="H1954" s="15" t="s">
        <v>890</v>
      </c>
    </row>
    <row r="1955" customFormat="false" ht="15" hidden="false" customHeight="true" outlineLevel="0" collapsed="false">
      <c r="A1955" s="15" t="s">
        <v>221</v>
      </c>
      <c r="B1955" s="15" t="s">
        <v>276</v>
      </c>
      <c r="C1955" s="15" t="s">
        <v>769</v>
      </c>
      <c r="D1955" s="15" t="s">
        <v>892</v>
      </c>
      <c r="E1955" s="15" t="s">
        <v>721</v>
      </c>
      <c r="F1955" s="15" t="s">
        <v>876</v>
      </c>
      <c r="G1955" s="15" t="s">
        <v>112</v>
      </c>
      <c r="H1955" s="15"/>
    </row>
    <row r="1956" customFormat="false" ht="15" hidden="false" customHeight="true" outlineLevel="0" collapsed="false">
      <c r="A1956" s="15" t="s">
        <v>221</v>
      </c>
      <c r="B1956" s="15" t="s">
        <v>276</v>
      </c>
      <c r="C1956" s="15" t="s">
        <v>86</v>
      </c>
      <c r="D1956" s="15" t="n">
        <v>7</v>
      </c>
      <c r="E1956" s="15" t="s">
        <v>721</v>
      </c>
      <c r="F1956" s="15" t="s">
        <v>876</v>
      </c>
      <c r="G1956" s="15" t="s">
        <v>112</v>
      </c>
      <c r="H1956" s="15"/>
    </row>
    <row r="1957" customFormat="false" ht="15" hidden="false" customHeight="true" outlineLevel="0" collapsed="false">
      <c r="A1957" s="15" t="s">
        <v>221</v>
      </c>
      <c r="B1957" s="15" t="s">
        <v>276</v>
      </c>
      <c r="C1957" s="15" t="s">
        <v>764</v>
      </c>
      <c r="D1957" s="15" t="s">
        <v>803</v>
      </c>
      <c r="E1957" s="15"/>
      <c r="F1957" s="15" t="s">
        <v>876</v>
      </c>
      <c r="G1957" s="15" t="s">
        <v>112</v>
      </c>
      <c r="H1957" s="15"/>
    </row>
    <row r="1958" customFormat="false" ht="15" hidden="false" customHeight="true" outlineLevel="0" collapsed="false">
      <c r="A1958" s="15" t="s">
        <v>221</v>
      </c>
      <c r="B1958" s="15" t="s">
        <v>276</v>
      </c>
      <c r="C1958" s="15" t="s">
        <v>749</v>
      </c>
      <c r="D1958" s="15" t="s">
        <v>895</v>
      </c>
      <c r="E1958" s="15"/>
      <c r="F1958" s="15" t="s">
        <v>876</v>
      </c>
      <c r="G1958" s="15" t="s">
        <v>112</v>
      </c>
      <c r="H1958" s="15"/>
    </row>
    <row r="1959" customFormat="false" ht="15" hidden="false" customHeight="true" outlineLevel="0" collapsed="false">
      <c r="A1959" s="15" t="s">
        <v>221</v>
      </c>
      <c r="B1959" s="15" t="s">
        <v>276</v>
      </c>
      <c r="C1959" s="15" t="s">
        <v>752</v>
      </c>
      <c r="D1959" s="15" t="s">
        <v>865</v>
      </c>
      <c r="E1959" s="15"/>
      <c r="F1959" s="15" t="s">
        <v>876</v>
      </c>
      <c r="G1959" s="15" t="s">
        <v>112</v>
      </c>
      <c r="H1959" s="15"/>
    </row>
    <row r="1960" customFormat="false" ht="15" hidden="false" customHeight="true" outlineLevel="0" collapsed="false">
      <c r="A1960" s="15" t="s">
        <v>221</v>
      </c>
      <c r="B1960" s="15" t="s">
        <v>276</v>
      </c>
      <c r="C1960" s="15" t="s">
        <v>754</v>
      </c>
      <c r="D1960" s="15" t="s">
        <v>803</v>
      </c>
      <c r="E1960" s="15"/>
      <c r="F1960" s="15" t="s">
        <v>876</v>
      </c>
      <c r="G1960" s="15" t="s">
        <v>112</v>
      </c>
      <c r="H1960" s="15"/>
    </row>
    <row r="1961" customFormat="false" ht="15" hidden="false" customHeight="true" outlineLevel="0" collapsed="false">
      <c r="A1961" s="15" t="s">
        <v>221</v>
      </c>
      <c r="B1961" s="15" t="s">
        <v>276</v>
      </c>
      <c r="C1961" s="15" t="s">
        <v>884</v>
      </c>
      <c r="D1961" s="15" t="s">
        <v>803</v>
      </c>
      <c r="E1961" s="15"/>
      <c r="F1961" s="15" t="s">
        <v>876</v>
      </c>
      <c r="G1961" s="15" t="s">
        <v>112</v>
      </c>
      <c r="H1961" s="15"/>
    </row>
    <row r="1962" customFormat="false" ht="15" hidden="false" customHeight="true" outlineLevel="0" collapsed="false">
      <c r="A1962" s="15" t="s">
        <v>221</v>
      </c>
      <c r="B1962" s="15" t="s">
        <v>276</v>
      </c>
      <c r="C1962" s="15" t="s">
        <v>756</v>
      </c>
      <c r="D1962" s="15" t="s">
        <v>858</v>
      </c>
      <c r="E1962" s="15"/>
      <c r="F1962" s="15" t="s">
        <v>876</v>
      </c>
      <c r="G1962" s="15" t="s">
        <v>112</v>
      </c>
      <c r="H1962" s="15"/>
    </row>
    <row r="1963" customFormat="false" ht="15" hidden="false" customHeight="true" outlineLevel="0" collapsed="false">
      <c r="A1963" s="15" t="s">
        <v>221</v>
      </c>
      <c r="B1963" s="15" t="s">
        <v>276</v>
      </c>
      <c r="C1963" s="15" t="s">
        <v>757</v>
      </c>
      <c r="D1963" s="15" t="s">
        <v>797</v>
      </c>
      <c r="E1963" s="15"/>
      <c r="F1963" s="15" t="s">
        <v>876</v>
      </c>
      <c r="G1963" s="15" t="s">
        <v>112</v>
      </c>
      <c r="H1963" s="15"/>
    </row>
    <row r="1964" customFormat="false" ht="15" hidden="false" customHeight="true" outlineLevel="0" collapsed="false">
      <c r="A1964" s="15" t="s">
        <v>221</v>
      </c>
      <c r="B1964" s="15" t="s">
        <v>276</v>
      </c>
      <c r="C1964" s="15" t="s">
        <v>759</v>
      </c>
      <c r="D1964" s="15" t="s">
        <v>798</v>
      </c>
      <c r="E1964" s="15"/>
      <c r="F1964" s="15" t="s">
        <v>876</v>
      </c>
      <c r="G1964" s="15" t="s">
        <v>112</v>
      </c>
      <c r="H1964" s="15"/>
    </row>
    <row r="1965" customFormat="false" ht="15" hidden="false" customHeight="true" outlineLevel="0" collapsed="false">
      <c r="A1965" s="15" t="s">
        <v>221</v>
      </c>
      <c r="B1965" s="15" t="s">
        <v>276</v>
      </c>
      <c r="C1965" s="15" t="s">
        <v>761</v>
      </c>
      <c r="D1965" s="15" t="s">
        <v>755</v>
      </c>
      <c r="E1965" s="15"/>
      <c r="F1965" s="15" t="s">
        <v>876</v>
      </c>
      <c r="G1965" s="15" t="s">
        <v>112</v>
      </c>
      <c r="H1965" s="15"/>
    </row>
    <row r="1966" customFormat="false" ht="15" hidden="false" customHeight="true" outlineLevel="0" collapsed="false">
      <c r="A1966" s="15" t="s">
        <v>221</v>
      </c>
      <c r="B1966" s="15" t="s">
        <v>276</v>
      </c>
      <c r="C1966" s="15" t="s">
        <v>762</v>
      </c>
      <c r="D1966" s="15" t="s">
        <v>755</v>
      </c>
      <c r="E1966" s="15"/>
      <c r="F1966" s="15" t="s">
        <v>876</v>
      </c>
      <c r="G1966" s="15" t="s">
        <v>112</v>
      </c>
      <c r="H1966" s="15"/>
    </row>
    <row r="1967" customFormat="false" ht="15" hidden="false" customHeight="true" outlineLevel="0" collapsed="false">
      <c r="A1967" s="15" t="s">
        <v>221</v>
      </c>
      <c r="B1967" s="15" t="s">
        <v>276</v>
      </c>
      <c r="C1967" s="15" t="s">
        <v>92</v>
      </c>
      <c r="D1967" s="15" t="s">
        <v>803</v>
      </c>
      <c r="E1967" s="15"/>
      <c r="F1967" s="15" t="s">
        <v>876</v>
      </c>
      <c r="G1967" s="15" t="s">
        <v>112</v>
      </c>
      <c r="H1967" s="15"/>
    </row>
    <row r="1968" customFormat="false" ht="15" hidden="false" customHeight="true" outlineLevel="0" collapsed="false">
      <c r="A1968" s="15" t="s">
        <v>221</v>
      </c>
      <c r="B1968" s="15" t="s">
        <v>276</v>
      </c>
      <c r="C1968" s="15" t="s">
        <v>848</v>
      </c>
      <c r="D1968" s="15" t="s">
        <v>859</v>
      </c>
      <c r="E1968" s="15"/>
      <c r="F1968" s="15" t="s">
        <v>876</v>
      </c>
      <c r="G1968" s="15" t="s">
        <v>112</v>
      </c>
      <c r="H1968" s="15"/>
    </row>
    <row r="1969" customFormat="false" ht="15" hidden="false" customHeight="true" outlineLevel="0" collapsed="false">
      <c r="A1969" s="15" t="s">
        <v>221</v>
      </c>
      <c r="B1969" s="15" t="s">
        <v>276</v>
      </c>
      <c r="C1969" s="15" t="s">
        <v>747</v>
      </c>
      <c r="D1969" s="15" t="s">
        <v>893</v>
      </c>
      <c r="E1969" s="15"/>
      <c r="F1969" s="15" t="s">
        <v>876</v>
      </c>
      <c r="G1969" s="15" t="s">
        <v>112</v>
      </c>
      <c r="H1969" s="15"/>
    </row>
    <row r="1970" customFormat="false" ht="15" hidden="false" customHeight="true" outlineLevel="0" collapsed="false">
      <c r="A1970" s="15" t="s">
        <v>221</v>
      </c>
      <c r="B1970" s="15" t="s">
        <v>276</v>
      </c>
      <c r="C1970" s="15" t="s">
        <v>851</v>
      </c>
      <c r="D1970" s="15" t="s">
        <v>860</v>
      </c>
      <c r="E1970" s="15"/>
      <c r="F1970" s="15" t="s">
        <v>876</v>
      </c>
      <c r="G1970" s="15" t="s">
        <v>112</v>
      </c>
      <c r="H1970" s="15"/>
    </row>
    <row r="1971" customFormat="false" ht="15" hidden="false" customHeight="true" outlineLevel="0" collapsed="false">
      <c r="A1971" s="15" t="s">
        <v>221</v>
      </c>
      <c r="B1971" s="15" t="s">
        <v>276</v>
      </c>
      <c r="C1971" s="15" t="s">
        <v>853</v>
      </c>
      <c r="D1971" s="15" t="s">
        <v>866</v>
      </c>
      <c r="E1971" s="15"/>
      <c r="F1971" s="15" t="s">
        <v>876</v>
      </c>
      <c r="G1971" s="15" t="s">
        <v>112</v>
      </c>
      <c r="H1971" s="15"/>
    </row>
    <row r="1972" customFormat="false" ht="15" hidden="false" customHeight="true" outlineLevel="0" collapsed="false">
      <c r="A1972" s="15" t="s">
        <v>221</v>
      </c>
      <c r="B1972" s="15" t="s">
        <v>276</v>
      </c>
      <c r="C1972" s="15" t="s">
        <v>854</v>
      </c>
      <c r="D1972" s="15" t="s">
        <v>803</v>
      </c>
      <c r="E1972" s="15"/>
      <c r="F1972" s="15" t="s">
        <v>876</v>
      </c>
      <c r="G1972" s="15" t="s">
        <v>112</v>
      </c>
      <c r="H1972" s="15"/>
    </row>
    <row r="1973" customFormat="false" ht="15" hidden="false" customHeight="true" outlineLevel="0" collapsed="false">
      <c r="A1973" s="15" t="s">
        <v>221</v>
      </c>
      <c r="B1973" s="15" t="s">
        <v>276</v>
      </c>
      <c r="C1973" s="15" t="s">
        <v>855</v>
      </c>
      <c r="D1973" s="15" t="s">
        <v>862</v>
      </c>
      <c r="E1973" s="15"/>
      <c r="F1973" s="15" t="s">
        <v>876</v>
      </c>
      <c r="G1973" s="15" t="s">
        <v>112</v>
      </c>
      <c r="H1973" s="15"/>
    </row>
    <row r="1974" customFormat="false" ht="15" hidden="false" customHeight="true" outlineLevel="0" collapsed="false">
      <c r="A1974" s="15" t="s">
        <v>221</v>
      </c>
      <c r="B1974" s="15" t="s">
        <v>276</v>
      </c>
      <c r="C1974" s="15" t="s">
        <v>857</v>
      </c>
      <c r="D1974" s="15" t="s">
        <v>803</v>
      </c>
      <c r="E1974" s="15"/>
      <c r="F1974" s="15" t="s">
        <v>876</v>
      </c>
      <c r="G1974" s="15" t="s">
        <v>112</v>
      </c>
      <c r="H1974" s="15"/>
    </row>
    <row r="1975" customFormat="false" ht="15" hidden="false" customHeight="true" outlineLevel="0" collapsed="false">
      <c r="A1975" s="15" t="s">
        <v>221</v>
      </c>
      <c r="B1975" s="15" t="s">
        <v>276</v>
      </c>
      <c r="C1975" s="15" t="s">
        <v>886</v>
      </c>
      <c r="D1975" s="15" t="s">
        <v>803</v>
      </c>
      <c r="E1975" s="15"/>
      <c r="F1975" s="15" t="s">
        <v>876</v>
      </c>
      <c r="G1975" s="15" t="s">
        <v>112</v>
      </c>
      <c r="H1975" s="15"/>
    </row>
    <row r="1976" customFormat="false" ht="26.25" hidden="false" customHeight="true" outlineLevel="0" collapsed="false">
      <c r="A1976" s="15" t="s">
        <v>248</v>
      </c>
      <c r="B1976" s="15" t="s">
        <v>249</v>
      </c>
      <c r="C1976" s="15" t="s">
        <v>714</v>
      </c>
      <c r="D1976" s="15" t="n">
        <v>380</v>
      </c>
      <c r="E1976" s="15" t="s">
        <v>715</v>
      </c>
      <c r="F1976" s="15" t="s">
        <v>876</v>
      </c>
      <c r="G1976" s="15" t="s">
        <v>112</v>
      </c>
      <c r="H1976" s="15"/>
    </row>
    <row r="1977" customFormat="false" ht="26.25" hidden="false" customHeight="true" outlineLevel="0" collapsed="false">
      <c r="A1977" s="15" t="s">
        <v>248</v>
      </c>
      <c r="B1977" s="15" t="s">
        <v>249</v>
      </c>
      <c r="C1977" s="15" t="s">
        <v>718</v>
      </c>
      <c r="D1977" s="15" t="s">
        <v>113</v>
      </c>
      <c r="E1977" s="15"/>
      <c r="F1977" s="15" t="s">
        <v>876</v>
      </c>
      <c r="G1977" s="15" t="s">
        <v>112</v>
      </c>
      <c r="H1977" s="15"/>
    </row>
    <row r="1978" customFormat="false" ht="26.25" hidden="false" customHeight="true" outlineLevel="0" collapsed="false">
      <c r="A1978" s="15" t="s">
        <v>248</v>
      </c>
      <c r="B1978" s="15" t="s">
        <v>249</v>
      </c>
      <c r="C1978" s="15" t="s">
        <v>719</v>
      </c>
      <c r="D1978" s="15" t="n">
        <v>20</v>
      </c>
      <c r="E1978" s="15" t="s">
        <v>720</v>
      </c>
      <c r="F1978" s="15" t="s">
        <v>876</v>
      </c>
      <c r="G1978" s="15" t="s">
        <v>112</v>
      </c>
      <c r="H1978" s="15"/>
    </row>
    <row r="1979" customFormat="false" ht="26.25" hidden="false" customHeight="true" outlineLevel="0" collapsed="false">
      <c r="A1979" s="15" t="s">
        <v>248</v>
      </c>
      <c r="B1979" s="15" t="s">
        <v>249</v>
      </c>
      <c r="C1979" s="15" t="s">
        <v>722</v>
      </c>
      <c r="D1979" s="15" t="s">
        <v>877</v>
      </c>
      <c r="E1979" s="15" t="s">
        <v>723</v>
      </c>
      <c r="F1979" s="15" t="s">
        <v>876</v>
      </c>
      <c r="G1979" s="15" t="s">
        <v>112</v>
      </c>
      <c r="H1979" s="15"/>
    </row>
    <row r="1980" customFormat="false" ht="26.25" hidden="false" customHeight="true" outlineLevel="0" collapsed="false">
      <c r="A1980" s="15" t="s">
        <v>248</v>
      </c>
      <c r="B1980" s="15" t="s">
        <v>249</v>
      </c>
      <c r="C1980" s="15" t="s">
        <v>724</v>
      </c>
      <c r="D1980" s="15" t="n">
        <v>150</v>
      </c>
      <c r="E1980" s="15" t="s">
        <v>723</v>
      </c>
      <c r="F1980" s="15" t="s">
        <v>876</v>
      </c>
      <c r="G1980" s="15" t="s">
        <v>112</v>
      </c>
      <c r="H1980" s="15"/>
    </row>
    <row r="1981" customFormat="false" ht="26.25" hidden="false" customHeight="true" outlineLevel="0" collapsed="false">
      <c r="A1981" s="15" t="s">
        <v>248</v>
      </c>
      <c r="B1981" s="15" t="s">
        <v>249</v>
      </c>
      <c r="C1981" s="15" t="s">
        <v>84</v>
      </c>
      <c r="D1981" s="15" t="n">
        <v>205</v>
      </c>
      <c r="E1981" s="15" t="s">
        <v>725</v>
      </c>
      <c r="F1981" s="15" t="s">
        <v>876</v>
      </c>
      <c r="G1981" s="15" t="s">
        <v>112</v>
      </c>
      <c r="H1981" s="15"/>
    </row>
    <row r="1982" customFormat="false" ht="26.25" hidden="false" customHeight="true" outlineLevel="0" collapsed="false">
      <c r="A1982" s="15" t="s">
        <v>248</v>
      </c>
      <c r="B1982" s="15" t="s">
        <v>249</v>
      </c>
      <c r="C1982" s="15" t="s">
        <v>726</v>
      </c>
      <c r="D1982" s="15" t="n">
        <v>4737</v>
      </c>
      <c r="E1982" s="15" t="s">
        <v>725</v>
      </c>
      <c r="F1982" s="15" t="s">
        <v>876</v>
      </c>
      <c r="G1982" s="15" t="s">
        <v>112</v>
      </c>
      <c r="H1982" s="15"/>
    </row>
    <row r="1983" customFormat="false" ht="26.25" hidden="false" customHeight="true" outlineLevel="0" collapsed="false">
      <c r="A1983" s="15" t="s">
        <v>248</v>
      </c>
      <c r="B1983" s="15" t="s">
        <v>249</v>
      </c>
      <c r="C1983" s="15" t="s">
        <v>727</v>
      </c>
      <c r="D1983" s="15" t="n">
        <v>1900</v>
      </c>
      <c r="E1983" s="15" t="s">
        <v>725</v>
      </c>
      <c r="F1983" s="15" t="s">
        <v>876</v>
      </c>
      <c r="G1983" s="15" t="s">
        <v>112</v>
      </c>
      <c r="H1983" s="15"/>
    </row>
    <row r="1984" customFormat="false" ht="26.25" hidden="false" customHeight="true" outlineLevel="0" collapsed="false">
      <c r="A1984" s="15" t="s">
        <v>248</v>
      </c>
      <c r="B1984" s="15" t="s">
        <v>249</v>
      </c>
      <c r="C1984" s="15" t="s">
        <v>728</v>
      </c>
      <c r="D1984" s="15" t="n">
        <v>1747</v>
      </c>
      <c r="E1984" s="15" t="s">
        <v>725</v>
      </c>
      <c r="F1984" s="15" t="s">
        <v>876</v>
      </c>
      <c r="G1984" s="15" t="s">
        <v>112</v>
      </c>
      <c r="H1984" s="15"/>
    </row>
    <row r="1985" customFormat="false" ht="26.25" hidden="false" customHeight="true" outlineLevel="0" collapsed="false">
      <c r="A1985" s="15" t="s">
        <v>248</v>
      </c>
      <c r="B1985" s="15" t="s">
        <v>249</v>
      </c>
      <c r="C1985" s="15" t="s">
        <v>729</v>
      </c>
      <c r="D1985" s="15" t="n">
        <v>2762</v>
      </c>
      <c r="E1985" s="15" t="s">
        <v>725</v>
      </c>
      <c r="F1985" s="15" t="s">
        <v>876</v>
      </c>
      <c r="G1985" s="15" t="s">
        <v>112</v>
      </c>
      <c r="H1985" s="15"/>
    </row>
    <row r="1986" customFormat="false" ht="26.25" hidden="false" customHeight="true" outlineLevel="0" collapsed="false">
      <c r="A1986" s="15" t="s">
        <v>248</v>
      </c>
      <c r="B1986" s="15" t="s">
        <v>249</v>
      </c>
      <c r="C1986" s="15" t="s">
        <v>730</v>
      </c>
      <c r="D1986" s="15" t="n">
        <v>10</v>
      </c>
      <c r="E1986" s="15" t="s">
        <v>731</v>
      </c>
      <c r="F1986" s="15" t="s">
        <v>876</v>
      </c>
      <c r="G1986" s="15" t="s">
        <v>112</v>
      </c>
      <c r="H1986" s="15"/>
    </row>
    <row r="1987" customFormat="false" ht="26.25" hidden="false" customHeight="true" outlineLevel="0" collapsed="false">
      <c r="A1987" s="15" t="s">
        <v>248</v>
      </c>
      <c r="B1987" s="15" t="s">
        <v>249</v>
      </c>
      <c r="C1987" s="15" t="s">
        <v>776</v>
      </c>
      <c r="D1987" s="15" t="s">
        <v>878</v>
      </c>
      <c r="E1987" s="15"/>
      <c r="F1987" s="15" t="s">
        <v>876</v>
      </c>
      <c r="G1987" s="15" t="s">
        <v>112</v>
      </c>
      <c r="H1987" s="15"/>
    </row>
    <row r="1988" customFormat="false" ht="26.25" hidden="false" customHeight="true" outlineLevel="0" collapsed="false">
      <c r="A1988" s="15" t="s">
        <v>248</v>
      </c>
      <c r="B1988" s="15" t="s">
        <v>249</v>
      </c>
      <c r="C1988" s="15" t="s">
        <v>780</v>
      </c>
      <c r="D1988" s="15" t="s">
        <v>781</v>
      </c>
      <c r="E1988" s="15"/>
      <c r="F1988" s="15" t="s">
        <v>876</v>
      </c>
      <c r="G1988" s="15" t="s">
        <v>112</v>
      </c>
      <c r="H1988" s="15"/>
    </row>
    <row r="1989" customFormat="false" ht="26.25" hidden="false" customHeight="true" outlineLevel="0" collapsed="false">
      <c r="A1989" s="15" t="s">
        <v>248</v>
      </c>
      <c r="B1989" s="15" t="s">
        <v>249</v>
      </c>
      <c r="C1989" s="15" t="s">
        <v>789</v>
      </c>
      <c r="D1989" s="15" t="s">
        <v>790</v>
      </c>
      <c r="E1989" s="15"/>
      <c r="F1989" s="15" t="s">
        <v>876</v>
      </c>
      <c r="G1989" s="15" t="s">
        <v>112</v>
      </c>
      <c r="H1989" s="15"/>
    </row>
    <row r="1990" customFormat="false" ht="26.25" hidden="false" customHeight="true" outlineLevel="0" collapsed="false">
      <c r="A1990" s="15" t="s">
        <v>248</v>
      </c>
      <c r="B1990" s="15" t="s">
        <v>249</v>
      </c>
      <c r="C1990" s="15" t="s">
        <v>784</v>
      </c>
      <c r="D1990" s="15" t="n">
        <v>11</v>
      </c>
      <c r="E1990" s="15" t="s">
        <v>738</v>
      </c>
      <c r="F1990" s="15" t="s">
        <v>879</v>
      </c>
      <c r="G1990" s="15" t="s">
        <v>112</v>
      </c>
      <c r="H1990" s="15"/>
    </row>
    <row r="1991" customFormat="false" ht="26.25" hidden="false" customHeight="true" outlineLevel="0" collapsed="false">
      <c r="A1991" s="15" t="s">
        <v>248</v>
      </c>
      <c r="B1991" s="15" t="s">
        <v>249</v>
      </c>
      <c r="C1991" s="15" t="s">
        <v>782</v>
      </c>
      <c r="D1991" s="15" t="n">
        <v>36</v>
      </c>
      <c r="E1991" s="15" t="s">
        <v>783</v>
      </c>
      <c r="F1991" s="15" t="s">
        <v>879</v>
      </c>
      <c r="G1991" s="15" t="s">
        <v>112</v>
      </c>
      <c r="H1991" s="15"/>
    </row>
    <row r="1992" customFormat="false" ht="26.25" hidden="false" customHeight="true" outlineLevel="0" collapsed="false">
      <c r="A1992" s="15" t="s">
        <v>248</v>
      </c>
      <c r="B1992" s="15" t="s">
        <v>249</v>
      </c>
      <c r="C1992" s="15" t="s">
        <v>90</v>
      </c>
      <c r="D1992" s="15" t="s">
        <v>880</v>
      </c>
      <c r="E1992" s="15"/>
      <c r="F1992" s="15" t="s">
        <v>876</v>
      </c>
      <c r="G1992" s="15" t="s">
        <v>112</v>
      </c>
      <c r="H1992" s="15"/>
    </row>
    <row r="1993" customFormat="false" ht="26.25" hidden="false" customHeight="true" outlineLevel="0" collapsed="false">
      <c r="A1993" s="15" t="s">
        <v>248</v>
      </c>
      <c r="B1993" s="15" t="s">
        <v>249</v>
      </c>
      <c r="C1993" s="15" t="s">
        <v>875</v>
      </c>
      <c r="D1993" s="15" t="n">
        <v>3.2</v>
      </c>
      <c r="E1993" s="15"/>
      <c r="F1993" s="15" t="s">
        <v>876</v>
      </c>
      <c r="G1993" s="15" t="s">
        <v>819</v>
      </c>
      <c r="H1993" s="15" t="s">
        <v>881</v>
      </c>
    </row>
    <row r="1994" customFormat="false" ht="26.25" hidden="false" customHeight="true" outlineLevel="0" collapsed="false">
      <c r="A1994" s="15" t="s">
        <v>248</v>
      </c>
      <c r="B1994" s="15" t="s">
        <v>249</v>
      </c>
      <c r="C1994" s="15" t="s">
        <v>772</v>
      </c>
      <c r="D1994" s="15" t="n">
        <v>60000</v>
      </c>
      <c r="E1994" s="15" t="s">
        <v>773</v>
      </c>
      <c r="F1994" s="15" t="s">
        <v>882</v>
      </c>
      <c r="G1994" s="15" t="s">
        <v>112</v>
      </c>
      <c r="H1994" s="15"/>
    </row>
    <row r="1995" customFormat="false" ht="26.25" hidden="false" customHeight="true" outlineLevel="0" collapsed="false">
      <c r="A1995" s="15" t="s">
        <v>248</v>
      </c>
      <c r="B1995" s="15" t="s">
        <v>249</v>
      </c>
      <c r="C1995" s="15" t="s">
        <v>775</v>
      </c>
      <c r="D1995" s="15" t="n">
        <v>75000</v>
      </c>
      <c r="E1995" s="15" t="s">
        <v>773</v>
      </c>
      <c r="F1995" s="15" t="s">
        <v>882</v>
      </c>
      <c r="G1995" s="15" t="s">
        <v>112</v>
      </c>
      <c r="H1995" s="15"/>
    </row>
    <row r="1996" customFormat="false" ht="26.25" hidden="false" customHeight="true" outlineLevel="0" collapsed="false">
      <c r="A1996" s="15" t="s">
        <v>248</v>
      </c>
      <c r="B1996" s="15" t="s">
        <v>249</v>
      </c>
      <c r="C1996" s="15" t="s">
        <v>98</v>
      </c>
      <c r="D1996" s="15" t="s">
        <v>732</v>
      </c>
      <c r="E1996" s="15"/>
      <c r="F1996" s="15" t="s">
        <v>876</v>
      </c>
      <c r="G1996" s="15" t="s">
        <v>112</v>
      </c>
      <c r="H1996" s="15"/>
    </row>
    <row r="1997" customFormat="false" ht="26.25" hidden="false" customHeight="true" outlineLevel="0" collapsed="false">
      <c r="A1997" s="15" t="s">
        <v>248</v>
      </c>
      <c r="B1997" s="15" t="s">
        <v>249</v>
      </c>
      <c r="C1997" s="15" t="s">
        <v>830</v>
      </c>
      <c r="D1997" s="15" t="s">
        <v>831</v>
      </c>
      <c r="E1997" s="15"/>
      <c r="F1997" s="15" t="s">
        <v>883</v>
      </c>
      <c r="G1997" s="15" t="s">
        <v>112</v>
      </c>
      <c r="H1997" s="15"/>
    </row>
    <row r="1998" customFormat="false" ht="26.25" hidden="false" customHeight="true" outlineLevel="0" collapsed="false">
      <c r="A1998" s="15" t="s">
        <v>248</v>
      </c>
      <c r="B1998" s="15" t="s">
        <v>249</v>
      </c>
      <c r="C1998" s="15" t="s">
        <v>833</v>
      </c>
      <c r="D1998" s="15" t="s">
        <v>834</v>
      </c>
      <c r="E1998" s="15"/>
      <c r="F1998" s="15" t="s">
        <v>883</v>
      </c>
      <c r="G1998" s="15" t="s">
        <v>112</v>
      </c>
      <c r="H1998" s="15"/>
    </row>
    <row r="1999" customFormat="false" ht="26.25" hidden="false" customHeight="true" outlineLevel="0" collapsed="false">
      <c r="A1999" s="15" t="s">
        <v>248</v>
      </c>
      <c r="B1999" s="15" t="s">
        <v>249</v>
      </c>
      <c r="C1999" s="15" t="s">
        <v>835</v>
      </c>
      <c r="D1999" s="15" t="s">
        <v>836</v>
      </c>
      <c r="E1999" s="15"/>
      <c r="F1999" s="15" t="s">
        <v>883</v>
      </c>
      <c r="G1999" s="15" t="s">
        <v>112</v>
      </c>
      <c r="H1999" s="15"/>
    </row>
    <row r="2000" customFormat="false" ht="26.25" hidden="false" customHeight="true" outlineLevel="0" collapsed="false">
      <c r="A2000" s="15" t="s">
        <v>248</v>
      </c>
      <c r="B2000" s="15" t="s">
        <v>249</v>
      </c>
      <c r="C2000" s="15" t="s">
        <v>837</v>
      </c>
      <c r="D2000" s="15" t="n">
        <v>10000</v>
      </c>
      <c r="E2000" s="15" t="s">
        <v>838</v>
      </c>
      <c r="F2000" s="15" t="s">
        <v>883</v>
      </c>
      <c r="G2000" s="15" t="s">
        <v>112</v>
      </c>
      <c r="H2000" s="15"/>
    </row>
    <row r="2001" customFormat="false" ht="26.25" hidden="false" customHeight="true" outlineLevel="0" collapsed="false">
      <c r="A2001" s="15" t="s">
        <v>248</v>
      </c>
      <c r="B2001" s="15" t="s">
        <v>249</v>
      </c>
      <c r="C2001" s="15" t="s">
        <v>839</v>
      </c>
      <c r="D2001" s="15" t="s">
        <v>840</v>
      </c>
      <c r="E2001" s="15"/>
      <c r="F2001" s="15" t="s">
        <v>883</v>
      </c>
      <c r="G2001" s="15" t="s">
        <v>112</v>
      </c>
      <c r="H2001" s="15"/>
    </row>
    <row r="2002" customFormat="false" ht="26.25" hidden="false" customHeight="true" outlineLevel="0" collapsed="false">
      <c r="A2002" s="15" t="s">
        <v>248</v>
      </c>
      <c r="B2002" s="15" t="s">
        <v>249</v>
      </c>
      <c r="C2002" s="15" t="s">
        <v>841</v>
      </c>
      <c r="D2002" s="15" t="s">
        <v>842</v>
      </c>
      <c r="E2002" s="15"/>
      <c r="F2002" s="15" t="s">
        <v>883</v>
      </c>
      <c r="G2002" s="15" t="s">
        <v>112</v>
      </c>
      <c r="H2002" s="15"/>
    </row>
    <row r="2003" customFormat="false" ht="26.25" hidden="false" customHeight="true" outlineLevel="0" collapsed="false">
      <c r="A2003" s="15" t="s">
        <v>248</v>
      </c>
      <c r="B2003" s="15" t="s">
        <v>249</v>
      </c>
      <c r="C2003" s="15" t="s">
        <v>843</v>
      </c>
      <c r="D2003" s="15" t="s">
        <v>844</v>
      </c>
      <c r="E2003" s="15"/>
      <c r="F2003" s="15" t="s">
        <v>876</v>
      </c>
      <c r="G2003" s="15" t="s">
        <v>112</v>
      </c>
      <c r="H2003" s="15"/>
    </row>
    <row r="2004" customFormat="false" ht="26.25" hidden="false" customHeight="true" outlineLevel="0" collapsed="false">
      <c r="A2004" s="15" t="s">
        <v>248</v>
      </c>
      <c r="B2004" s="15" t="s">
        <v>249</v>
      </c>
      <c r="C2004" s="15" t="s">
        <v>737</v>
      </c>
      <c r="D2004" s="15" t="n">
        <v>210</v>
      </c>
      <c r="E2004" s="15" t="s">
        <v>738</v>
      </c>
      <c r="F2004" s="15" t="s">
        <v>876</v>
      </c>
      <c r="G2004" s="15" t="s">
        <v>112</v>
      </c>
      <c r="H2004" s="15"/>
    </row>
    <row r="2005" customFormat="false" ht="26.25" hidden="false" customHeight="true" outlineLevel="0" collapsed="false">
      <c r="A2005" s="15" t="s">
        <v>248</v>
      </c>
      <c r="B2005" s="15" t="s">
        <v>249</v>
      </c>
      <c r="C2005" s="15" t="s">
        <v>739</v>
      </c>
      <c r="D2005" s="15" t="n">
        <v>180</v>
      </c>
      <c r="E2005" s="15" t="s">
        <v>738</v>
      </c>
      <c r="F2005" s="15" t="s">
        <v>876</v>
      </c>
      <c r="G2005" s="15" t="s">
        <v>112</v>
      </c>
      <c r="H2005" s="15"/>
    </row>
    <row r="2006" customFormat="false" ht="26.25" hidden="false" customHeight="true" outlineLevel="0" collapsed="false">
      <c r="A2006" s="15" t="s">
        <v>248</v>
      </c>
      <c r="B2006" s="15" t="s">
        <v>249</v>
      </c>
      <c r="C2006" s="15" t="s">
        <v>740</v>
      </c>
      <c r="D2006" s="15" t="n">
        <v>8</v>
      </c>
      <c r="E2006" s="15" t="s">
        <v>741</v>
      </c>
      <c r="F2006" s="15" t="s">
        <v>876</v>
      </c>
      <c r="G2006" s="15" t="s">
        <v>112</v>
      </c>
      <c r="H2006" s="15"/>
    </row>
    <row r="2007" customFormat="false" ht="26.25" hidden="false" customHeight="true" outlineLevel="0" collapsed="false">
      <c r="A2007" s="15" t="s">
        <v>248</v>
      </c>
      <c r="B2007" s="15" t="s">
        <v>249</v>
      </c>
      <c r="C2007" s="15" t="s">
        <v>742</v>
      </c>
      <c r="D2007" s="15" t="n">
        <v>11.7</v>
      </c>
      <c r="E2007" s="15" t="s">
        <v>741</v>
      </c>
      <c r="F2007" s="15" t="s">
        <v>876</v>
      </c>
      <c r="G2007" s="15" t="s">
        <v>112</v>
      </c>
      <c r="H2007" s="15"/>
    </row>
    <row r="2008" customFormat="false" ht="26.25" hidden="false" customHeight="true" outlineLevel="0" collapsed="false">
      <c r="A2008" s="15" t="s">
        <v>248</v>
      </c>
      <c r="B2008" s="15" t="s">
        <v>249</v>
      </c>
      <c r="C2008" s="15" t="s">
        <v>733</v>
      </c>
      <c r="D2008" s="15" t="s">
        <v>808</v>
      </c>
      <c r="E2008" s="15"/>
      <c r="F2008" s="15" t="s">
        <v>882</v>
      </c>
      <c r="G2008" s="15" t="s">
        <v>112</v>
      </c>
      <c r="H2008" s="15"/>
    </row>
    <row r="2009" customFormat="false" ht="26.25" hidden="false" customHeight="true" outlineLevel="0" collapsed="false">
      <c r="A2009" s="15" t="s">
        <v>248</v>
      </c>
      <c r="B2009" s="15" t="s">
        <v>249</v>
      </c>
      <c r="C2009" s="15" t="s">
        <v>785</v>
      </c>
      <c r="D2009" s="15" t="n">
        <v>409</v>
      </c>
      <c r="E2009" s="15" t="s">
        <v>786</v>
      </c>
      <c r="F2009" s="15" t="s">
        <v>879</v>
      </c>
      <c r="G2009" s="15" t="s">
        <v>112</v>
      </c>
      <c r="H2009" s="15"/>
    </row>
    <row r="2010" customFormat="false" ht="26.25" hidden="false" customHeight="true" outlineLevel="0" collapsed="false">
      <c r="A2010" s="15" t="s">
        <v>248</v>
      </c>
      <c r="B2010" s="15" t="s">
        <v>249</v>
      </c>
      <c r="C2010" s="15" t="s">
        <v>887</v>
      </c>
      <c r="D2010" s="15" t="s">
        <v>888</v>
      </c>
      <c r="E2010" s="15"/>
      <c r="F2010" s="15" t="s">
        <v>889</v>
      </c>
      <c r="G2010" s="15" t="s">
        <v>112</v>
      </c>
      <c r="H2010" s="15" t="s">
        <v>890</v>
      </c>
    </row>
    <row r="2011" customFormat="false" ht="26.25" hidden="false" customHeight="true" outlineLevel="0" collapsed="false">
      <c r="A2011" s="15" t="s">
        <v>248</v>
      </c>
      <c r="B2011" s="15" t="s">
        <v>249</v>
      </c>
      <c r="C2011" s="15" t="s">
        <v>769</v>
      </c>
      <c r="D2011" s="15" t="s">
        <v>892</v>
      </c>
      <c r="E2011" s="15" t="s">
        <v>721</v>
      </c>
      <c r="F2011" s="15" t="s">
        <v>876</v>
      </c>
      <c r="G2011" s="15" t="s">
        <v>112</v>
      </c>
      <c r="H2011" s="15"/>
    </row>
    <row r="2012" customFormat="false" ht="26.25" hidden="false" customHeight="true" outlineLevel="0" collapsed="false">
      <c r="A2012" s="15" t="s">
        <v>248</v>
      </c>
      <c r="B2012" s="15" t="s">
        <v>249</v>
      </c>
      <c r="C2012" s="15" t="s">
        <v>86</v>
      </c>
      <c r="D2012" s="15" t="n">
        <v>7</v>
      </c>
      <c r="E2012" s="15" t="s">
        <v>721</v>
      </c>
      <c r="F2012" s="15" t="s">
        <v>876</v>
      </c>
      <c r="G2012" s="15" t="s">
        <v>112</v>
      </c>
      <c r="H2012" s="15"/>
    </row>
    <row r="2013" customFormat="false" ht="26.25" hidden="false" customHeight="true" outlineLevel="0" collapsed="false">
      <c r="A2013" s="15" t="s">
        <v>248</v>
      </c>
      <c r="B2013" s="15" t="s">
        <v>249</v>
      </c>
      <c r="C2013" s="15" t="s">
        <v>764</v>
      </c>
      <c r="D2013" s="15" t="s">
        <v>803</v>
      </c>
      <c r="E2013" s="15"/>
      <c r="F2013" s="15" t="s">
        <v>876</v>
      </c>
      <c r="G2013" s="15" t="s">
        <v>112</v>
      </c>
      <c r="H2013" s="15"/>
    </row>
    <row r="2014" customFormat="false" ht="26.25" hidden="false" customHeight="true" outlineLevel="0" collapsed="false">
      <c r="A2014" s="15" t="s">
        <v>248</v>
      </c>
      <c r="B2014" s="15" t="s">
        <v>249</v>
      </c>
      <c r="C2014" s="15" t="s">
        <v>749</v>
      </c>
      <c r="D2014" s="15" t="s">
        <v>895</v>
      </c>
      <c r="E2014" s="15"/>
      <c r="F2014" s="15" t="s">
        <v>876</v>
      </c>
      <c r="G2014" s="15" t="s">
        <v>112</v>
      </c>
      <c r="H2014" s="15"/>
    </row>
    <row r="2015" customFormat="false" ht="26.25" hidden="false" customHeight="true" outlineLevel="0" collapsed="false">
      <c r="A2015" s="15" t="s">
        <v>248</v>
      </c>
      <c r="B2015" s="15" t="s">
        <v>249</v>
      </c>
      <c r="C2015" s="15" t="s">
        <v>752</v>
      </c>
      <c r="D2015" s="15" t="s">
        <v>865</v>
      </c>
      <c r="E2015" s="15"/>
      <c r="F2015" s="15" t="s">
        <v>876</v>
      </c>
      <c r="G2015" s="15" t="s">
        <v>112</v>
      </c>
      <c r="H2015" s="15"/>
    </row>
    <row r="2016" customFormat="false" ht="26.25" hidden="false" customHeight="true" outlineLevel="0" collapsed="false">
      <c r="A2016" s="15" t="s">
        <v>248</v>
      </c>
      <c r="B2016" s="15" t="s">
        <v>249</v>
      </c>
      <c r="C2016" s="15" t="s">
        <v>754</v>
      </c>
      <c r="D2016" s="15" t="s">
        <v>803</v>
      </c>
      <c r="E2016" s="15"/>
      <c r="F2016" s="15" t="s">
        <v>876</v>
      </c>
      <c r="G2016" s="15" t="s">
        <v>112</v>
      </c>
      <c r="H2016" s="15"/>
    </row>
    <row r="2017" customFormat="false" ht="26.25" hidden="false" customHeight="true" outlineLevel="0" collapsed="false">
      <c r="A2017" s="15" t="s">
        <v>248</v>
      </c>
      <c r="B2017" s="15" t="s">
        <v>249</v>
      </c>
      <c r="C2017" s="15" t="s">
        <v>884</v>
      </c>
      <c r="D2017" s="15" t="s">
        <v>803</v>
      </c>
      <c r="E2017" s="15"/>
      <c r="F2017" s="15" t="s">
        <v>876</v>
      </c>
      <c r="G2017" s="15" t="s">
        <v>112</v>
      </c>
      <c r="H2017" s="15"/>
    </row>
    <row r="2018" customFormat="false" ht="26.25" hidden="false" customHeight="true" outlineLevel="0" collapsed="false">
      <c r="A2018" s="15" t="s">
        <v>248</v>
      </c>
      <c r="B2018" s="15" t="s">
        <v>249</v>
      </c>
      <c r="C2018" s="15" t="s">
        <v>756</v>
      </c>
      <c r="D2018" s="15" t="s">
        <v>858</v>
      </c>
      <c r="E2018" s="15"/>
      <c r="F2018" s="15" t="s">
        <v>876</v>
      </c>
      <c r="G2018" s="15" t="s">
        <v>112</v>
      </c>
      <c r="H2018" s="15"/>
    </row>
    <row r="2019" customFormat="false" ht="26.25" hidden="false" customHeight="true" outlineLevel="0" collapsed="false">
      <c r="A2019" s="15" t="s">
        <v>248</v>
      </c>
      <c r="B2019" s="15" t="s">
        <v>249</v>
      </c>
      <c r="C2019" s="15" t="s">
        <v>757</v>
      </c>
      <c r="D2019" s="15" t="s">
        <v>797</v>
      </c>
      <c r="E2019" s="15"/>
      <c r="F2019" s="15" t="s">
        <v>876</v>
      </c>
      <c r="G2019" s="15" t="s">
        <v>112</v>
      </c>
      <c r="H2019" s="15"/>
    </row>
    <row r="2020" customFormat="false" ht="26.25" hidden="false" customHeight="true" outlineLevel="0" collapsed="false">
      <c r="A2020" s="15" t="s">
        <v>248</v>
      </c>
      <c r="B2020" s="15" t="s">
        <v>249</v>
      </c>
      <c r="C2020" s="15" t="s">
        <v>759</v>
      </c>
      <c r="D2020" s="15" t="s">
        <v>798</v>
      </c>
      <c r="E2020" s="15"/>
      <c r="F2020" s="15" t="s">
        <v>876</v>
      </c>
      <c r="G2020" s="15" t="s">
        <v>112</v>
      </c>
      <c r="H2020" s="15"/>
    </row>
    <row r="2021" customFormat="false" ht="26.25" hidden="false" customHeight="true" outlineLevel="0" collapsed="false">
      <c r="A2021" s="15" t="s">
        <v>248</v>
      </c>
      <c r="B2021" s="15" t="s">
        <v>249</v>
      </c>
      <c r="C2021" s="15" t="s">
        <v>761</v>
      </c>
      <c r="D2021" s="15" t="s">
        <v>755</v>
      </c>
      <c r="E2021" s="15"/>
      <c r="F2021" s="15" t="s">
        <v>876</v>
      </c>
      <c r="G2021" s="15" t="s">
        <v>112</v>
      </c>
      <c r="H2021" s="15"/>
    </row>
    <row r="2022" customFormat="false" ht="26.25" hidden="false" customHeight="true" outlineLevel="0" collapsed="false">
      <c r="A2022" s="15" t="s">
        <v>248</v>
      </c>
      <c r="B2022" s="15" t="s">
        <v>249</v>
      </c>
      <c r="C2022" s="15" t="s">
        <v>762</v>
      </c>
      <c r="D2022" s="15" t="s">
        <v>755</v>
      </c>
      <c r="E2022" s="15"/>
      <c r="F2022" s="15" t="s">
        <v>876</v>
      </c>
      <c r="G2022" s="15" t="s">
        <v>112</v>
      </c>
      <c r="H2022" s="15"/>
    </row>
    <row r="2023" customFormat="false" ht="26.25" hidden="false" customHeight="true" outlineLevel="0" collapsed="false">
      <c r="A2023" s="15" t="s">
        <v>248</v>
      </c>
      <c r="B2023" s="15" t="s">
        <v>249</v>
      </c>
      <c r="C2023" s="15" t="s">
        <v>92</v>
      </c>
      <c r="D2023" s="15" t="s">
        <v>803</v>
      </c>
      <c r="E2023" s="15"/>
      <c r="F2023" s="15" t="s">
        <v>876</v>
      </c>
      <c r="G2023" s="15" t="s">
        <v>112</v>
      </c>
      <c r="H2023" s="15"/>
    </row>
    <row r="2024" customFormat="false" ht="26.25" hidden="false" customHeight="true" outlineLevel="0" collapsed="false">
      <c r="A2024" s="15" t="s">
        <v>248</v>
      </c>
      <c r="B2024" s="15" t="s">
        <v>249</v>
      </c>
      <c r="C2024" s="15" t="s">
        <v>848</v>
      </c>
      <c r="D2024" s="15" t="s">
        <v>859</v>
      </c>
      <c r="E2024" s="15"/>
      <c r="F2024" s="15" t="s">
        <v>876</v>
      </c>
      <c r="G2024" s="15" t="s">
        <v>112</v>
      </c>
      <c r="H2024" s="15"/>
    </row>
    <row r="2025" customFormat="false" ht="26.25" hidden="false" customHeight="true" outlineLevel="0" collapsed="false">
      <c r="A2025" s="15" t="s">
        <v>248</v>
      </c>
      <c r="B2025" s="15" t="s">
        <v>249</v>
      </c>
      <c r="C2025" s="15" t="s">
        <v>747</v>
      </c>
      <c r="D2025" s="15" t="s">
        <v>893</v>
      </c>
      <c r="E2025" s="15"/>
      <c r="F2025" s="15" t="s">
        <v>876</v>
      </c>
      <c r="G2025" s="15" t="s">
        <v>112</v>
      </c>
      <c r="H2025" s="15"/>
    </row>
    <row r="2026" customFormat="false" ht="26.25" hidden="false" customHeight="true" outlineLevel="0" collapsed="false">
      <c r="A2026" s="15" t="s">
        <v>248</v>
      </c>
      <c r="B2026" s="15" t="s">
        <v>249</v>
      </c>
      <c r="C2026" s="15" t="s">
        <v>851</v>
      </c>
      <c r="D2026" s="15" t="s">
        <v>860</v>
      </c>
      <c r="E2026" s="15"/>
      <c r="F2026" s="15" t="s">
        <v>876</v>
      </c>
      <c r="G2026" s="15" t="s">
        <v>112</v>
      </c>
      <c r="H2026" s="15"/>
    </row>
    <row r="2027" customFormat="false" ht="26.25" hidden="false" customHeight="true" outlineLevel="0" collapsed="false">
      <c r="A2027" s="15" t="s">
        <v>248</v>
      </c>
      <c r="B2027" s="15" t="s">
        <v>249</v>
      </c>
      <c r="C2027" s="15" t="s">
        <v>853</v>
      </c>
      <c r="D2027" s="15" t="s">
        <v>866</v>
      </c>
      <c r="E2027" s="15"/>
      <c r="F2027" s="15" t="s">
        <v>876</v>
      </c>
      <c r="G2027" s="15" t="s">
        <v>112</v>
      </c>
      <c r="H2027" s="15"/>
    </row>
    <row r="2028" customFormat="false" ht="26.25" hidden="false" customHeight="true" outlineLevel="0" collapsed="false">
      <c r="A2028" s="15" t="s">
        <v>248</v>
      </c>
      <c r="B2028" s="15" t="s">
        <v>249</v>
      </c>
      <c r="C2028" s="15" t="s">
        <v>854</v>
      </c>
      <c r="D2028" s="15" t="s">
        <v>803</v>
      </c>
      <c r="E2028" s="15"/>
      <c r="F2028" s="15" t="s">
        <v>876</v>
      </c>
      <c r="G2028" s="15" t="s">
        <v>112</v>
      </c>
      <c r="H2028" s="15"/>
    </row>
    <row r="2029" customFormat="false" ht="26.25" hidden="false" customHeight="true" outlineLevel="0" collapsed="false">
      <c r="A2029" s="15" t="s">
        <v>248</v>
      </c>
      <c r="B2029" s="15" t="s">
        <v>249</v>
      </c>
      <c r="C2029" s="15" t="s">
        <v>855</v>
      </c>
      <c r="D2029" s="15" t="s">
        <v>862</v>
      </c>
      <c r="E2029" s="15"/>
      <c r="F2029" s="15" t="s">
        <v>876</v>
      </c>
      <c r="G2029" s="15" t="s">
        <v>112</v>
      </c>
      <c r="H2029" s="15"/>
    </row>
    <row r="2030" customFormat="false" ht="26.25" hidden="false" customHeight="true" outlineLevel="0" collapsed="false">
      <c r="A2030" s="15" t="s">
        <v>248</v>
      </c>
      <c r="B2030" s="15" t="s">
        <v>249</v>
      </c>
      <c r="C2030" s="15" t="s">
        <v>857</v>
      </c>
      <c r="D2030" s="15" t="s">
        <v>803</v>
      </c>
      <c r="E2030" s="15"/>
      <c r="F2030" s="15" t="s">
        <v>876</v>
      </c>
      <c r="G2030" s="15" t="s">
        <v>112</v>
      </c>
      <c r="H2030" s="15"/>
    </row>
    <row r="2031" customFormat="false" ht="26.25" hidden="false" customHeight="true" outlineLevel="0" collapsed="false">
      <c r="A2031" s="15" t="s">
        <v>248</v>
      </c>
      <c r="B2031" s="15" t="s">
        <v>249</v>
      </c>
      <c r="C2031" s="15" t="s">
        <v>886</v>
      </c>
      <c r="D2031" s="15" t="s">
        <v>803</v>
      </c>
      <c r="E2031" s="15"/>
      <c r="F2031" s="15" t="s">
        <v>876</v>
      </c>
      <c r="G2031" s="15" t="s">
        <v>112</v>
      </c>
      <c r="H2031" s="15"/>
    </row>
    <row r="2032" customFormat="false" ht="26.25" hidden="false" customHeight="true" outlineLevel="0" collapsed="false">
      <c r="A2032" s="15" t="s">
        <v>230</v>
      </c>
      <c r="B2032" s="15" t="s">
        <v>896</v>
      </c>
      <c r="C2032" s="15" t="s">
        <v>714</v>
      </c>
      <c r="D2032" s="15" t="n">
        <v>380</v>
      </c>
      <c r="E2032" s="15" t="s">
        <v>715</v>
      </c>
      <c r="F2032" s="15" t="s">
        <v>876</v>
      </c>
      <c r="G2032" s="15" t="s">
        <v>112</v>
      </c>
      <c r="H2032" s="15"/>
    </row>
    <row r="2033" customFormat="false" ht="26.25" hidden="false" customHeight="true" outlineLevel="0" collapsed="false">
      <c r="A2033" s="15" t="s">
        <v>230</v>
      </c>
      <c r="B2033" s="15" t="s">
        <v>896</v>
      </c>
      <c r="C2033" s="15" t="s">
        <v>718</v>
      </c>
      <c r="D2033" s="15" t="s">
        <v>113</v>
      </c>
      <c r="E2033" s="15"/>
      <c r="F2033" s="15" t="s">
        <v>876</v>
      </c>
      <c r="G2033" s="15" t="s">
        <v>112</v>
      </c>
      <c r="H2033" s="15"/>
    </row>
    <row r="2034" customFormat="false" ht="26.25" hidden="false" customHeight="true" outlineLevel="0" collapsed="false">
      <c r="A2034" s="15" t="s">
        <v>230</v>
      </c>
      <c r="B2034" s="15" t="s">
        <v>896</v>
      </c>
      <c r="C2034" s="15" t="s">
        <v>719</v>
      </c>
      <c r="D2034" s="15" t="n">
        <v>20</v>
      </c>
      <c r="E2034" s="15" t="s">
        <v>720</v>
      </c>
      <c r="F2034" s="15" t="s">
        <v>876</v>
      </c>
      <c r="G2034" s="15" t="s">
        <v>112</v>
      </c>
      <c r="H2034" s="15"/>
    </row>
    <row r="2035" customFormat="false" ht="26.25" hidden="false" customHeight="true" outlineLevel="0" collapsed="false">
      <c r="A2035" s="15" t="s">
        <v>230</v>
      </c>
      <c r="B2035" s="15" t="s">
        <v>896</v>
      </c>
      <c r="C2035" s="15" t="s">
        <v>722</v>
      </c>
      <c r="D2035" s="15" t="s">
        <v>877</v>
      </c>
      <c r="E2035" s="15" t="s">
        <v>723</v>
      </c>
      <c r="F2035" s="15" t="s">
        <v>876</v>
      </c>
      <c r="G2035" s="15" t="s">
        <v>112</v>
      </c>
      <c r="H2035" s="15"/>
    </row>
    <row r="2036" customFormat="false" ht="26.25" hidden="false" customHeight="true" outlineLevel="0" collapsed="false">
      <c r="A2036" s="15" t="s">
        <v>230</v>
      </c>
      <c r="B2036" s="15" t="s">
        <v>896</v>
      </c>
      <c r="C2036" s="15" t="s">
        <v>724</v>
      </c>
      <c r="D2036" s="15" t="n">
        <v>150</v>
      </c>
      <c r="E2036" s="15" t="s">
        <v>723</v>
      </c>
      <c r="F2036" s="15" t="s">
        <v>876</v>
      </c>
      <c r="G2036" s="15" t="s">
        <v>112</v>
      </c>
      <c r="H2036" s="15"/>
    </row>
    <row r="2037" customFormat="false" ht="26.25" hidden="false" customHeight="true" outlineLevel="0" collapsed="false">
      <c r="A2037" s="15" t="s">
        <v>230</v>
      </c>
      <c r="B2037" s="15" t="s">
        <v>896</v>
      </c>
      <c r="C2037" s="15" t="s">
        <v>84</v>
      </c>
      <c r="D2037" s="15" t="n">
        <v>205</v>
      </c>
      <c r="E2037" s="15" t="s">
        <v>725</v>
      </c>
      <c r="F2037" s="15" t="s">
        <v>876</v>
      </c>
      <c r="G2037" s="15" t="s">
        <v>112</v>
      </c>
      <c r="H2037" s="15"/>
    </row>
    <row r="2038" customFormat="false" ht="26.25" hidden="false" customHeight="true" outlineLevel="0" collapsed="false">
      <c r="A2038" s="15" t="s">
        <v>230</v>
      </c>
      <c r="B2038" s="15" t="s">
        <v>896</v>
      </c>
      <c r="C2038" s="15" t="s">
        <v>726</v>
      </c>
      <c r="D2038" s="15" t="n">
        <v>4737</v>
      </c>
      <c r="E2038" s="15" t="s">
        <v>725</v>
      </c>
      <c r="F2038" s="15" t="s">
        <v>876</v>
      </c>
      <c r="G2038" s="15" t="s">
        <v>112</v>
      </c>
      <c r="H2038" s="15"/>
    </row>
    <row r="2039" customFormat="false" ht="26.25" hidden="false" customHeight="true" outlineLevel="0" collapsed="false">
      <c r="A2039" s="15" t="s">
        <v>230</v>
      </c>
      <c r="B2039" s="15" t="s">
        <v>896</v>
      </c>
      <c r="C2039" s="15" t="s">
        <v>727</v>
      </c>
      <c r="D2039" s="15" t="n">
        <v>1900</v>
      </c>
      <c r="E2039" s="15" t="s">
        <v>725</v>
      </c>
      <c r="F2039" s="15" t="s">
        <v>876</v>
      </c>
      <c r="G2039" s="15" t="s">
        <v>112</v>
      </c>
      <c r="H2039" s="15"/>
    </row>
    <row r="2040" customFormat="false" ht="26.25" hidden="false" customHeight="true" outlineLevel="0" collapsed="false">
      <c r="A2040" s="15" t="s">
        <v>230</v>
      </c>
      <c r="B2040" s="15" t="s">
        <v>896</v>
      </c>
      <c r="C2040" s="15" t="s">
        <v>728</v>
      </c>
      <c r="D2040" s="15" t="n">
        <v>1747</v>
      </c>
      <c r="E2040" s="15" t="s">
        <v>725</v>
      </c>
      <c r="F2040" s="15" t="s">
        <v>876</v>
      </c>
      <c r="G2040" s="15" t="s">
        <v>112</v>
      </c>
      <c r="H2040" s="15"/>
    </row>
    <row r="2041" customFormat="false" ht="26.25" hidden="false" customHeight="true" outlineLevel="0" collapsed="false">
      <c r="A2041" s="15" t="s">
        <v>230</v>
      </c>
      <c r="B2041" s="15" t="s">
        <v>896</v>
      </c>
      <c r="C2041" s="15" t="s">
        <v>729</v>
      </c>
      <c r="D2041" s="15" t="n">
        <v>2762</v>
      </c>
      <c r="E2041" s="15" t="s">
        <v>725</v>
      </c>
      <c r="F2041" s="15" t="s">
        <v>876</v>
      </c>
      <c r="G2041" s="15" t="s">
        <v>112</v>
      </c>
      <c r="H2041" s="15"/>
    </row>
    <row r="2042" customFormat="false" ht="26.25" hidden="false" customHeight="true" outlineLevel="0" collapsed="false">
      <c r="A2042" s="15" t="s">
        <v>230</v>
      </c>
      <c r="B2042" s="15" t="s">
        <v>896</v>
      </c>
      <c r="C2042" s="15" t="s">
        <v>730</v>
      </c>
      <c r="D2042" s="15" t="n">
        <v>10</v>
      </c>
      <c r="E2042" s="15" t="s">
        <v>731</v>
      </c>
      <c r="F2042" s="15" t="s">
        <v>876</v>
      </c>
      <c r="G2042" s="15" t="s">
        <v>112</v>
      </c>
      <c r="H2042" s="15"/>
    </row>
    <row r="2043" customFormat="false" ht="26.25" hidden="false" customHeight="true" outlineLevel="0" collapsed="false">
      <c r="A2043" s="15" t="s">
        <v>230</v>
      </c>
      <c r="B2043" s="15" t="s">
        <v>896</v>
      </c>
      <c r="C2043" s="15" t="s">
        <v>776</v>
      </c>
      <c r="D2043" s="15" t="s">
        <v>878</v>
      </c>
      <c r="E2043" s="15"/>
      <c r="F2043" s="15" t="s">
        <v>876</v>
      </c>
      <c r="G2043" s="15" t="s">
        <v>112</v>
      </c>
      <c r="H2043" s="15"/>
    </row>
    <row r="2044" customFormat="false" ht="26.25" hidden="false" customHeight="true" outlineLevel="0" collapsed="false">
      <c r="A2044" s="15" t="s">
        <v>230</v>
      </c>
      <c r="B2044" s="15" t="s">
        <v>896</v>
      </c>
      <c r="C2044" s="15" t="s">
        <v>780</v>
      </c>
      <c r="D2044" s="15" t="s">
        <v>781</v>
      </c>
      <c r="E2044" s="15"/>
      <c r="F2044" s="15" t="s">
        <v>876</v>
      </c>
      <c r="G2044" s="15" t="s">
        <v>112</v>
      </c>
      <c r="H2044" s="15"/>
    </row>
    <row r="2045" customFormat="false" ht="26.25" hidden="false" customHeight="true" outlineLevel="0" collapsed="false">
      <c r="A2045" s="15" t="s">
        <v>230</v>
      </c>
      <c r="B2045" s="15" t="s">
        <v>896</v>
      </c>
      <c r="C2045" s="15" t="s">
        <v>789</v>
      </c>
      <c r="D2045" s="15" t="s">
        <v>790</v>
      </c>
      <c r="E2045" s="15"/>
      <c r="F2045" s="15" t="s">
        <v>876</v>
      </c>
      <c r="G2045" s="15" t="s">
        <v>112</v>
      </c>
      <c r="H2045" s="15"/>
    </row>
    <row r="2046" customFormat="false" ht="26.25" hidden="false" customHeight="true" outlineLevel="0" collapsed="false">
      <c r="A2046" s="15" t="s">
        <v>230</v>
      </c>
      <c r="B2046" s="15" t="s">
        <v>896</v>
      </c>
      <c r="C2046" s="15" t="s">
        <v>784</v>
      </c>
      <c r="D2046" s="15" t="n">
        <v>11</v>
      </c>
      <c r="E2046" s="15" t="s">
        <v>738</v>
      </c>
      <c r="F2046" s="15" t="s">
        <v>879</v>
      </c>
      <c r="G2046" s="15" t="s">
        <v>112</v>
      </c>
      <c r="H2046" s="15"/>
    </row>
    <row r="2047" customFormat="false" ht="26.25" hidden="false" customHeight="true" outlineLevel="0" collapsed="false">
      <c r="A2047" s="15" t="s">
        <v>230</v>
      </c>
      <c r="B2047" s="15" t="s">
        <v>896</v>
      </c>
      <c r="C2047" s="15" t="s">
        <v>782</v>
      </c>
      <c r="D2047" s="15" t="n">
        <v>36</v>
      </c>
      <c r="E2047" s="15" t="s">
        <v>783</v>
      </c>
      <c r="F2047" s="15" t="s">
        <v>879</v>
      </c>
      <c r="G2047" s="15" t="s">
        <v>112</v>
      </c>
      <c r="H2047" s="15"/>
    </row>
    <row r="2048" customFormat="false" ht="26.25" hidden="false" customHeight="true" outlineLevel="0" collapsed="false">
      <c r="A2048" s="15" t="s">
        <v>230</v>
      </c>
      <c r="B2048" s="15" t="s">
        <v>896</v>
      </c>
      <c r="C2048" s="15" t="s">
        <v>90</v>
      </c>
      <c r="D2048" s="15" t="s">
        <v>880</v>
      </c>
      <c r="E2048" s="15"/>
      <c r="F2048" s="15" t="s">
        <v>876</v>
      </c>
      <c r="G2048" s="15" t="s">
        <v>112</v>
      </c>
      <c r="H2048" s="15"/>
    </row>
    <row r="2049" customFormat="false" ht="26.25" hidden="false" customHeight="true" outlineLevel="0" collapsed="false">
      <c r="A2049" s="15" t="s">
        <v>230</v>
      </c>
      <c r="B2049" s="15" t="s">
        <v>896</v>
      </c>
      <c r="C2049" s="15" t="s">
        <v>875</v>
      </c>
      <c r="D2049" s="15" t="n">
        <v>3.2</v>
      </c>
      <c r="E2049" s="15"/>
      <c r="F2049" s="15" t="s">
        <v>876</v>
      </c>
      <c r="G2049" s="15" t="s">
        <v>819</v>
      </c>
      <c r="H2049" s="15" t="s">
        <v>881</v>
      </c>
    </row>
    <row r="2050" customFormat="false" ht="26.25" hidden="false" customHeight="true" outlineLevel="0" collapsed="false">
      <c r="A2050" s="15" t="s">
        <v>230</v>
      </c>
      <c r="B2050" s="15" t="s">
        <v>896</v>
      </c>
      <c r="C2050" s="15" t="s">
        <v>772</v>
      </c>
      <c r="D2050" s="15" t="n">
        <v>60000</v>
      </c>
      <c r="E2050" s="15" t="s">
        <v>773</v>
      </c>
      <c r="F2050" s="15" t="s">
        <v>882</v>
      </c>
      <c r="G2050" s="15" t="s">
        <v>112</v>
      </c>
      <c r="H2050" s="15"/>
    </row>
    <row r="2051" customFormat="false" ht="26.25" hidden="false" customHeight="true" outlineLevel="0" collapsed="false">
      <c r="A2051" s="15" t="s">
        <v>230</v>
      </c>
      <c r="B2051" s="15" t="s">
        <v>896</v>
      </c>
      <c r="C2051" s="15" t="s">
        <v>775</v>
      </c>
      <c r="D2051" s="15" t="n">
        <v>75000</v>
      </c>
      <c r="E2051" s="15" t="s">
        <v>773</v>
      </c>
      <c r="F2051" s="15" t="s">
        <v>882</v>
      </c>
      <c r="G2051" s="15" t="s">
        <v>112</v>
      </c>
      <c r="H2051" s="15"/>
    </row>
    <row r="2052" customFormat="false" ht="26.25" hidden="false" customHeight="true" outlineLevel="0" collapsed="false">
      <c r="A2052" s="15" t="s">
        <v>230</v>
      </c>
      <c r="B2052" s="15" t="s">
        <v>896</v>
      </c>
      <c r="C2052" s="15" t="s">
        <v>98</v>
      </c>
      <c r="D2052" s="15" t="s">
        <v>732</v>
      </c>
      <c r="E2052" s="15"/>
      <c r="F2052" s="15" t="s">
        <v>876</v>
      </c>
      <c r="G2052" s="15" t="s">
        <v>112</v>
      </c>
      <c r="H2052" s="15"/>
    </row>
    <row r="2053" customFormat="false" ht="26.25" hidden="false" customHeight="true" outlineLevel="0" collapsed="false">
      <c r="A2053" s="15" t="s">
        <v>230</v>
      </c>
      <c r="B2053" s="15" t="s">
        <v>896</v>
      </c>
      <c r="C2053" s="15" t="s">
        <v>830</v>
      </c>
      <c r="D2053" s="15" t="s">
        <v>831</v>
      </c>
      <c r="E2053" s="15"/>
      <c r="F2053" s="15" t="s">
        <v>883</v>
      </c>
      <c r="G2053" s="15" t="s">
        <v>112</v>
      </c>
      <c r="H2053" s="15"/>
    </row>
    <row r="2054" customFormat="false" ht="26.25" hidden="false" customHeight="true" outlineLevel="0" collapsed="false">
      <c r="A2054" s="15" t="s">
        <v>230</v>
      </c>
      <c r="B2054" s="15" t="s">
        <v>896</v>
      </c>
      <c r="C2054" s="15" t="s">
        <v>833</v>
      </c>
      <c r="D2054" s="15" t="s">
        <v>834</v>
      </c>
      <c r="E2054" s="15"/>
      <c r="F2054" s="15" t="s">
        <v>883</v>
      </c>
      <c r="G2054" s="15" t="s">
        <v>112</v>
      </c>
      <c r="H2054" s="15"/>
    </row>
    <row r="2055" customFormat="false" ht="26.25" hidden="false" customHeight="true" outlineLevel="0" collapsed="false">
      <c r="A2055" s="15" t="s">
        <v>230</v>
      </c>
      <c r="B2055" s="15" t="s">
        <v>896</v>
      </c>
      <c r="C2055" s="15" t="s">
        <v>835</v>
      </c>
      <c r="D2055" s="15" t="s">
        <v>836</v>
      </c>
      <c r="E2055" s="15"/>
      <c r="F2055" s="15" t="s">
        <v>883</v>
      </c>
      <c r="G2055" s="15" t="s">
        <v>112</v>
      </c>
      <c r="H2055" s="15"/>
    </row>
    <row r="2056" customFormat="false" ht="26.25" hidden="false" customHeight="true" outlineLevel="0" collapsed="false">
      <c r="A2056" s="15" t="s">
        <v>230</v>
      </c>
      <c r="B2056" s="15" t="s">
        <v>896</v>
      </c>
      <c r="C2056" s="15" t="s">
        <v>837</v>
      </c>
      <c r="D2056" s="15" t="n">
        <v>10000</v>
      </c>
      <c r="E2056" s="15" t="s">
        <v>838</v>
      </c>
      <c r="F2056" s="15" t="s">
        <v>883</v>
      </c>
      <c r="G2056" s="15" t="s">
        <v>112</v>
      </c>
      <c r="H2056" s="15"/>
    </row>
    <row r="2057" customFormat="false" ht="26.25" hidden="false" customHeight="true" outlineLevel="0" collapsed="false">
      <c r="A2057" s="15" t="s">
        <v>230</v>
      </c>
      <c r="B2057" s="15" t="s">
        <v>896</v>
      </c>
      <c r="C2057" s="15" t="s">
        <v>839</v>
      </c>
      <c r="D2057" s="15" t="s">
        <v>840</v>
      </c>
      <c r="E2057" s="15"/>
      <c r="F2057" s="15" t="s">
        <v>883</v>
      </c>
      <c r="G2057" s="15" t="s">
        <v>112</v>
      </c>
      <c r="H2057" s="15"/>
    </row>
    <row r="2058" customFormat="false" ht="26.25" hidden="false" customHeight="true" outlineLevel="0" collapsed="false">
      <c r="A2058" s="15" t="s">
        <v>230</v>
      </c>
      <c r="B2058" s="15" t="s">
        <v>896</v>
      </c>
      <c r="C2058" s="15" t="s">
        <v>841</v>
      </c>
      <c r="D2058" s="15" t="s">
        <v>842</v>
      </c>
      <c r="E2058" s="15"/>
      <c r="F2058" s="15" t="s">
        <v>883</v>
      </c>
      <c r="G2058" s="15" t="s">
        <v>112</v>
      </c>
      <c r="H2058" s="15"/>
    </row>
    <row r="2059" customFormat="false" ht="26.25" hidden="false" customHeight="true" outlineLevel="0" collapsed="false">
      <c r="A2059" s="15" t="s">
        <v>230</v>
      </c>
      <c r="B2059" s="15" t="s">
        <v>896</v>
      </c>
      <c r="C2059" s="15" t="s">
        <v>843</v>
      </c>
      <c r="D2059" s="15" t="s">
        <v>844</v>
      </c>
      <c r="E2059" s="15"/>
      <c r="F2059" s="15" t="s">
        <v>876</v>
      </c>
      <c r="G2059" s="15" t="s">
        <v>112</v>
      </c>
      <c r="H2059" s="15"/>
    </row>
    <row r="2060" customFormat="false" ht="26.25" hidden="false" customHeight="true" outlineLevel="0" collapsed="false">
      <c r="A2060" s="15" t="s">
        <v>230</v>
      </c>
      <c r="B2060" s="15" t="s">
        <v>896</v>
      </c>
      <c r="C2060" s="15" t="s">
        <v>737</v>
      </c>
      <c r="D2060" s="15" t="n">
        <v>210</v>
      </c>
      <c r="E2060" s="15" t="s">
        <v>738</v>
      </c>
      <c r="F2060" s="15" t="s">
        <v>876</v>
      </c>
      <c r="G2060" s="15" t="s">
        <v>112</v>
      </c>
      <c r="H2060" s="15"/>
    </row>
    <row r="2061" customFormat="false" ht="26.25" hidden="false" customHeight="true" outlineLevel="0" collapsed="false">
      <c r="A2061" s="15" t="s">
        <v>230</v>
      </c>
      <c r="B2061" s="15" t="s">
        <v>896</v>
      </c>
      <c r="C2061" s="15" t="s">
        <v>739</v>
      </c>
      <c r="D2061" s="15" t="n">
        <v>180</v>
      </c>
      <c r="E2061" s="15" t="s">
        <v>738</v>
      </c>
      <c r="F2061" s="15" t="s">
        <v>876</v>
      </c>
      <c r="G2061" s="15" t="s">
        <v>112</v>
      </c>
      <c r="H2061" s="15"/>
    </row>
    <row r="2062" customFormat="false" ht="26.25" hidden="false" customHeight="true" outlineLevel="0" collapsed="false">
      <c r="A2062" s="15" t="s">
        <v>230</v>
      </c>
      <c r="B2062" s="15" t="s">
        <v>896</v>
      </c>
      <c r="C2062" s="15" t="s">
        <v>740</v>
      </c>
      <c r="D2062" s="15" t="n">
        <v>8</v>
      </c>
      <c r="E2062" s="15" t="s">
        <v>741</v>
      </c>
      <c r="F2062" s="15" t="s">
        <v>876</v>
      </c>
      <c r="G2062" s="15" t="s">
        <v>112</v>
      </c>
      <c r="H2062" s="15"/>
    </row>
    <row r="2063" customFormat="false" ht="26.25" hidden="false" customHeight="true" outlineLevel="0" collapsed="false">
      <c r="A2063" s="15" t="s">
        <v>230</v>
      </c>
      <c r="B2063" s="15" t="s">
        <v>896</v>
      </c>
      <c r="C2063" s="15" t="s">
        <v>742</v>
      </c>
      <c r="D2063" s="15" t="n">
        <v>11.7</v>
      </c>
      <c r="E2063" s="15" t="s">
        <v>741</v>
      </c>
      <c r="F2063" s="15" t="s">
        <v>876</v>
      </c>
      <c r="G2063" s="15" t="s">
        <v>112</v>
      </c>
      <c r="H2063" s="15"/>
    </row>
    <row r="2064" customFormat="false" ht="26.25" hidden="false" customHeight="true" outlineLevel="0" collapsed="false">
      <c r="A2064" s="15" t="s">
        <v>230</v>
      </c>
      <c r="B2064" s="15" t="s">
        <v>896</v>
      </c>
      <c r="C2064" s="15" t="s">
        <v>733</v>
      </c>
      <c r="D2064" s="15" t="s">
        <v>808</v>
      </c>
      <c r="E2064" s="15"/>
      <c r="F2064" s="15" t="s">
        <v>882</v>
      </c>
      <c r="G2064" s="15" t="s">
        <v>112</v>
      </c>
      <c r="H2064" s="15"/>
    </row>
    <row r="2065" customFormat="false" ht="26.25" hidden="false" customHeight="true" outlineLevel="0" collapsed="false">
      <c r="A2065" s="15" t="s">
        <v>230</v>
      </c>
      <c r="B2065" s="15" t="s">
        <v>896</v>
      </c>
      <c r="C2065" s="15" t="s">
        <v>785</v>
      </c>
      <c r="D2065" s="15" t="n">
        <v>409</v>
      </c>
      <c r="E2065" s="15" t="s">
        <v>786</v>
      </c>
      <c r="F2065" s="15" t="s">
        <v>879</v>
      </c>
      <c r="G2065" s="15" t="s">
        <v>112</v>
      </c>
      <c r="H2065" s="15"/>
    </row>
    <row r="2066" customFormat="false" ht="26.25" hidden="false" customHeight="true" outlineLevel="0" collapsed="false">
      <c r="A2066" s="15" t="s">
        <v>230</v>
      </c>
      <c r="B2066" s="15" t="s">
        <v>896</v>
      </c>
      <c r="C2066" s="15" t="s">
        <v>887</v>
      </c>
      <c r="D2066" s="15" t="s">
        <v>888</v>
      </c>
      <c r="E2066" s="15"/>
      <c r="F2066" s="15" t="s">
        <v>889</v>
      </c>
      <c r="G2066" s="15" t="s">
        <v>112</v>
      </c>
      <c r="H2066" s="15" t="s">
        <v>890</v>
      </c>
    </row>
    <row r="2067" customFormat="false" ht="26.25" hidden="false" customHeight="true" outlineLevel="0" collapsed="false">
      <c r="A2067" s="15" t="s">
        <v>230</v>
      </c>
      <c r="B2067" s="15" t="s">
        <v>896</v>
      </c>
      <c r="C2067" s="15" t="s">
        <v>769</v>
      </c>
      <c r="D2067" s="15" t="s">
        <v>892</v>
      </c>
      <c r="E2067" s="15" t="s">
        <v>721</v>
      </c>
      <c r="F2067" s="15" t="s">
        <v>876</v>
      </c>
      <c r="G2067" s="15" t="s">
        <v>112</v>
      </c>
      <c r="H2067" s="15"/>
    </row>
    <row r="2068" customFormat="false" ht="26.25" hidden="false" customHeight="true" outlineLevel="0" collapsed="false">
      <c r="A2068" s="15" t="s">
        <v>230</v>
      </c>
      <c r="B2068" s="15" t="s">
        <v>896</v>
      </c>
      <c r="C2068" s="15" t="s">
        <v>86</v>
      </c>
      <c r="D2068" s="15" t="n">
        <v>7</v>
      </c>
      <c r="E2068" s="15" t="s">
        <v>721</v>
      </c>
      <c r="F2068" s="15" t="s">
        <v>876</v>
      </c>
      <c r="G2068" s="15" t="s">
        <v>112</v>
      </c>
      <c r="H2068" s="15"/>
    </row>
    <row r="2069" customFormat="false" ht="26.25" hidden="false" customHeight="true" outlineLevel="0" collapsed="false">
      <c r="A2069" s="15" t="s">
        <v>230</v>
      </c>
      <c r="B2069" s="15" t="s">
        <v>896</v>
      </c>
      <c r="C2069" s="15" t="s">
        <v>764</v>
      </c>
      <c r="D2069" s="15" t="s">
        <v>803</v>
      </c>
      <c r="E2069" s="15"/>
      <c r="F2069" s="15" t="s">
        <v>876</v>
      </c>
      <c r="G2069" s="15" t="s">
        <v>112</v>
      </c>
      <c r="H2069" s="15"/>
    </row>
    <row r="2070" customFormat="false" ht="26.25" hidden="false" customHeight="true" outlineLevel="0" collapsed="false">
      <c r="A2070" s="15" t="s">
        <v>230</v>
      </c>
      <c r="B2070" s="15" t="s">
        <v>896</v>
      </c>
      <c r="C2070" s="15" t="s">
        <v>749</v>
      </c>
      <c r="D2070" s="15" t="s">
        <v>895</v>
      </c>
      <c r="E2070" s="15"/>
      <c r="F2070" s="15" t="s">
        <v>876</v>
      </c>
      <c r="G2070" s="15" t="s">
        <v>112</v>
      </c>
      <c r="H2070" s="15"/>
    </row>
    <row r="2071" customFormat="false" ht="26.25" hidden="false" customHeight="true" outlineLevel="0" collapsed="false">
      <c r="A2071" s="15" t="s">
        <v>230</v>
      </c>
      <c r="B2071" s="15" t="s">
        <v>896</v>
      </c>
      <c r="C2071" s="15" t="s">
        <v>752</v>
      </c>
      <c r="D2071" s="15" t="s">
        <v>865</v>
      </c>
      <c r="E2071" s="15"/>
      <c r="F2071" s="15" t="s">
        <v>876</v>
      </c>
      <c r="G2071" s="15" t="s">
        <v>112</v>
      </c>
      <c r="H2071" s="15"/>
    </row>
    <row r="2072" customFormat="false" ht="26.25" hidden="false" customHeight="true" outlineLevel="0" collapsed="false">
      <c r="A2072" s="15" t="s">
        <v>230</v>
      </c>
      <c r="B2072" s="15" t="s">
        <v>896</v>
      </c>
      <c r="C2072" s="15" t="s">
        <v>754</v>
      </c>
      <c r="D2072" s="15" t="s">
        <v>803</v>
      </c>
      <c r="E2072" s="15"/>
      <c r="F2072" s="15" t="s">
        <v>876</v>
      </c>
      <c r="G2072" s="15" t="s">
        <v>112</v>
      </c>
      <c r="H2072" s="15"/>
    </row>
    <row r="2073" customFormat="false" ht="26.25" hidden="false" customHeight="true" outlineLevel="0" collapsed="false">
      <c r="A2073" s="15" t="s">
        <v>230</v>
      </c>
      <c r="B2073" s="15" t="s">
        <v>896</v>
      </c>
      <c r="C2073" s="15" t="s">
        <v>884</v>
      </c>
      <c r="D2073" s="15" t="s">
        <v>803</v>
      </c>
      <c r="E2073" s="15"/>
      <c r="F2073" s="15" t="s">
        <v>876</v>
      </c>
      <c r="G2073" s="15" t="s">
        <v>112</v>
      </c>
      <c r="H2073" s="15"/>
    </row>
    <row r="2074" customFormat="false" ht="26.25" hidden="false" customHeight="true" outlineLevel="0" collapsed="false">
      <c r="A2074" s="15" t="s">
        <v>230</v>
      </c>
      <c r="B2074" s="15" t="s">
        <v>896</v>
      </c>
      <c r="C2074" s="15" t="s">
        <v>756</v>
      </c>
      <c r="D2074" s="15" t="s">
        <v>858</v>
      </c>
      <c r="E2074" s="15"/>
      <c r="F2074" s="15" t="s">
        <v>876</v>
      </c>
      <c r="G2074" s="15" t="s">
        <v>112</v>
      </c>
      <c r="H2074" s="15"/>
    </row>
    <row r="2075" customFormat="false" ht="26.25" hidden="false" customHeight="true" outlineLevel="0" collapsed="false">
      <c r="A2075" s="15" t="s">
        <v>230</v>
      </c>
      <c r="B2075" s="15" t="s">
        <v>896</v>
      </c>
      <c r="C2075" s="15" t="s">
        <v>757</v>
      </c>
      <c r="D2075" s="15" t="s">
        <v>797</v>
      </c>
      <c r="E2075" s="15"/>
      <c r="F2075" s="15" t="s">
        <v>876</v>
      </c>
      <c r="G2075" s="15" t="s">
        <v>112</v>
      </c>
      <c r="H2075" s="15"/>
    </row>
    <row r="2076" customFormat="false" ht="26.25" hidden="false" customHeight="true" outlineLevel="0" collapsed="false">
      <c r="A2076" s="15" t="s">
        <v>230</v>
      </c>
      <c r="B2076" s="15" t="s">
        <v>896</v>
      </c>
      <c r="C2076" s="15" t="s">
        <v>759</v>
      </c>
      <c r="D2076" s="15" t="s">
        <v>798</v>
      </c>
      <c r="E2076" s="15"/>
      <c r="F2076" s="15" t="s">
        <v>876</v>
      </c>
      <c r="G2076" s="15" t="s">
        <v>112</v>
      </c>
      <c r="H2076" s="15"/>
    </row>
    <row r="2077" customFormat="false" ht="26.25" hidden="false" customHeight="true" outlineLevel="0" collapsed="false">
      <c r="A2077" s="15" t="s">
        <v>230</v>
      </c>
      <c r="B2077" s="15" t="s">
        <v>896</v>
      </c>
      <c r="C2077" s="15" t="s">
        <v>761</v>
      </c>
      <c r="D2077" s="15" t="s">
        <v>816</v>
      </c>
      <c r="E2077" s="15"/>
      <c r="F2077" s="15" t="s">
        <v>876</v>
      </c>
      <c r="G2077" s="15" t="s">
        <v>112</v>
      </c>
      <c r="H2077" s="15"/>
    </row>
    <row r="2078" customFormat="false" ht="26.25" hidden="false" customHeight="true" outlineLevel="0" collapsed="false">
      <c r="A2078" s="15" t="s">
        <v>230</v>
      </c>
      <c r="B2078" s="15" t="s">
        <v>896</v>
      </c>
      <c r="C2078" s="15" t="s">
        <v>762</v>
      </c>
      <c r="D2078" s="15" t="s">
        <v>803</v>
      </c>
      <c r="E2078" s="15"/>
      <c r="F2078" s="15" t="s">
        <v>876</v>
      </c>
      <c r="G2078" s="15" t="s">
        <v>112</v>
      </c>
      <c r="H2078" s="15"/>
    </row>
    <row r="2079" customFormat="false" ht="26.25" hidden="false" customHeight="true" outlineLevel="0" collapsed="false">
      <c r="A2079" s="15" t="s">
        <v>230</v>
      </c>
      <c r="B2079" s="15" t="s">
        <v>896</v>
      </c>
      <c r="C2079" s="15" t="s">
        <v>92</v>
      </c>
      <c r="D2079" s="15" t="s">
        <v>803</v>
      </c>
      <c r="E2079" s="15"/>
      <c r="F2079" s="15" t="s">
        <v>876</v>
      </c>
      <c r="G2079" s="15" t="s">
        <v>112</v>
      </c>
      <c r="H2079" s="15"/>
    </row>
    <row r="2080" customFormat="false" ht="26.25" hidden="false" customHeight="true" outlineLevel="0" collapsed="false">
      <c r="A2080" s="15" t="s">
        <v>230</v>
      </c>
      <c r="B2080" s="15" t="s">
        <v>896</v>
      </c>
      <c r="C2080" s="15" t="s">
        <v>848</v>
      </c>
      <c r="D2080" s="15" t="s">
        <v>859</v>
      </c>
      <c r="E2080" s="15"/>
      <c r="F2080" s="15" t="s">
        <v>876</v>
      </c>
      <c r="G2080" s="15" t="s">
        <v>112</v>
      </c>
      <c r="H2080" s="15"/>
    </row>
    <row r="2081" customFormat="false" ht="26.25" hidden="false" customHeight="true" outlineLevel="0" collapsed="false">
      <c r="A2081" s="15" t="s">
        <v>230</v>
      </c>
      <c r="B2081" s="15" t="s">
        <v>896</v>
      </c>
      <c r="C2081" s="15" t="s">
        <v>747</v>
      </c>
      <c r="D2081" s="15" t="s">
        <v>893</v>
      </c>
      <c r="E2081" s="15"/>
      <c r="F2081" s="15" t="s">
        <v>876</v>
      </c>
      <c r="G2081" s="15" t="s">
        <v>112</v>
      </c>
      <c r="H2081" s="15"/>
    </row>
    <row r="2082" customFormat="false" ht="26.25" hidden="false" customHeight="true" outlineLevel="0" collapsed="false">
      <c r="A2082" s="15" t="s">
        <v>230</v>
      </c>
      <c r="B2082" s="15" t="s">
        <v>896</v>
      </c>
      <c r="C2082" s="15" t="s">
        <v>851</v>
      </c>
      <c r="D2082" s="15" t="s">
        <v>860</v>
      </c>
      <c r="E2082" s="15"/>
      <c r="F2082" s="15" t="s">
        <v>876</v>
      </c>
      <c r="G2082" s="15" t="s">
        <v>112</v>
      </c>
      <c r="H2082" s="15"/>
    </row>
    <row r="2083" customFormat="false" ht="26.25" hidden="false" customHeight="true" outlineLevel="0" collapsed="false">
      <c r="A2083" s="15" t="s">
        <v>230</v>
      </c>
      <c r="B2083" s="15" t="s">
        <v>896</v>
      </c>
      <c r="C2083" s="15" t="s">
        <v>853</v>
      </c>
      <c r="D2083" s="15" t="s">
        <v>866</v>
      </c>
      <c r="E2083" s="15"/>
      <c r="F2083" s="15" t="s">
        <v>876</v>
      </c>
      <c r="G2083" s="15" t="s">
        <v>112</v>
      </c>
      <c r="H2083" s="15"/>
    </row>
    <row r="2084" customFormat="false" ht="26.25" hidden="false" customHeight="true" outlineLevel="0" collapsed="false">
      <c r="A2084" s="15" t="s">
        <v>230</v>
      </c>
      <c r="B2084" s="15" t="s">
        <v>896</v>
      </c>
      <c r="C2084" s="15" t="s">
        <v>854</v>
      </c>
      <c r="D2084" s="15" t="s">
        <v>803</v>
      </c>
      <c r="E2084" s="15"/>
      <c r="F2084" s="15" t="s">
        <v>876</v>
      </c>
      <c r="G2084" s="15" t="s">
        <v>112</v>
      </c>
      <c r="H2084" s="15"/>
    </row>
    <row r="2085" customFormat="false" ht="26.25" hidden="false" customHeight="true" outlineLevel="0" collapsed="false">
      <c r="A2085" s="15" t="s">
        <v>230</v>
      </c>
      <c r="B2085" s="15" t="s">
        <v>896</v>
      </c>
      <c r="C2085" s="15" t="s">
        <v>855</v>
      </c>
      <c r="D2085" s="15" t="s">
        <v>862</v>
      </c>
      <c r="E2085" s="15"/>
      <c r="F2085" s="15" t="s">
        <v>876</v>
      </c>
      <c r="G2085" s="15" t="s">
        <v>112</v>
      </c>
      <c r="H2085" s="15"/>
    </row>
    <row r="2086" customFormat="false" ht="26.25" hidden="false" customHeight="true" outlineLevel="0" collapsed="false">
      <c r="A2086" s="15" t="s">
        <v>230</v>
      </c>
      <c r="B2086" s="15" t="s">
        <v>896</v>
      </c>
      <c r="C2086" s="15" t="s">
        <v>857</v>
      </c>
      <c r="D2086" s="15" t="s">
        <v>803</v>
      </c>
      <c r="E2086" s="15"/>
      <c r="F2086" s="15" t="s">
        <v>876</v>
      </c>
      <c r="G2086" s="15" t="s">
        <v>112</v>
      </c>
      <c r="H2086" s="15"/>
    </row>
    <row r="2087" customFormat="false" ht="26.25" hidden="false" customHeight="true" outlineLevel="0" collapsed="false">
      <c r="A2087" s="15" t="s">
        <v>230</v>
      </c>
      <c r="B2087" s="15" t="s">
        <v>896</v>
      </c>
      <c r="C2087" s="15" t="s">
        <v>886</v>
      </c>
      <c r="D2087" s="15" t="s">
        <v>803</v>
      </c>
      <c r="E2087" s="15"/>
      <c r="F2087" s="15" t="s">
        <v>876</v>
      </c>
      <c r="G2087" s="15" t="s">
        <v>112</v>
      </c>
      <c r="H2087" s="15"/>
    </row>
    <row r="2088" customFormat="false" ht="26.25" hidden="false" customHeight="true" outlineLevel="0" collapsed="false">
      <c r="A2088" s="15" t="s">
        <v>251</v>
      </c>
      <c r="B2088" s="15" t="s">
        <v>252</v>
      </c>
      <c r="C2088" s="15" t="s">
        <v>714</v>
      </c>
      <c r="D2088" s="15" t="n">
        <v>380</v>
      </c>
      <c r="E2088" s="15" t="s">
        <v>715</v>
      </c>
      <c r="F2088" s="15" t="s">
        <v>876</v>
      </c>
      <c r="G2088" s="15" t="s">
        <v>112</v>
      </c>
      <c r="H2088" s="15"/>
    </row>
    <row r="2089" customFormat="false" ht="26.25" hidden="false" customHeight="true" outlineLevel="0" collapsed="false">
      <c r="A2089" s="15" t="s">
        <v>251</v>
      </c>
      <c r="B2089" s="15" t="s">
        <v>252</v>
      </c>
      <c r="C2089" s="15" t="s">
        <v>718</v>
      </c>
      <c r="D2089" s="15" t="s">
        <v>113</v>
      </c>
      <c r="E2089" s="15"/>
      <c r="F2089" s="15" t="s">
        <v>876</v>
      </c>
      <c r="G2089" s="15" t="s">
        <v>112</v>
      </c>
      <c r="H2089" s="15"/>
    </row>
    <row r="2090" customFormat="false" ht="26.25" hidden="false" customHeight="true" outlineLevel="0" collapsed="false">
      <c r="A2090" s="15" t="s">
        <v>251</v>
      </c>
      <c r="B2090" s="15" t="s">
        <v>252</v>
      </c>
      <c r="C2090" s="15" t="s">
        <v>719</v>
      </c>
      <c r="D2090" s="15" t="n">
        <v>20</v>
      </c>
      <c r="E2090" s="15" t="s">
        <v>720</v>
      </c>
      <c r="F2090" s="15" t="s">
        <v>876</v>
      </c>
      <c r="G2090" s="15" t="s">
        <v>112</v>
      </c>
      <c r="H2090" s="15"/>
    </row>
    <row r="2091" customFormat="false" ht="26.25" hidden="false" customHeight="true" outlineLevel="0" collapsed="false">
      <c r="A2091" s="15" t="s">
        <v>251</v>
      </c>
      <c r="B2091" s="15" t="s">
        <v>252</v>
      </c>
      <c r="C2091" s="15" t="s">
        <v>722</v>
      </c>
      <c r="D2091" s="15" t="s">
        <v>877</v>
      </c>
      <c r="E2091" s="15" t="s">
        <v>723</v>
      </c>
      <c r="F2091" s="15" t="s">
        <v>876</v>
      </c>
      <c r="G2091" s="15" t="s">
        <v>112</v>
      </c>
      <c r="H2091" s="15"/>
    </row>
    <row r="2092" customFormat="false" ht="26.25" hidden="false" customHeight="true" outlineLevel="0" collapsed="false">
      <c r="A2092" s="15" t="s">
        <v>251</v>
      </c>
      <c r="B2092" s="15" t="s">
        <v>252</v>
      </c>
      <c r="C2092" s="15" t="s">
        <v>724</v>
      </c>
      <c r="D2092" s="15" t="n">
        <v>150</v>
      </c>
      <c r="E2092" s="15" t="s">
        <v>723</v>
      </c>
      <c r="F2092" s="15" t="s">
        <v>876</v>
      </c>
      <c r="G2092" s="15" t="s">
        <v>112</v>
      </c>
      <c r="H2092" s="15"/>
    </row>
    <row r="2093" customFormat="false" ht="26.25" hidden="false" customHeight="true" outlineLevel="0" collapsed="false">
      <c r="A2093" s="15" t="s">
        <v>251</v>
      </c>
      <c r="B2093" s="15" t="s">
        <v>252</v>
      </c>
      <c r="C2093" s="15" t="s">
        <v>84</v>
      </c>
      <c r="D2093" s="15" t="n">
        <v>205</v>
      </c>
      <c r="E2093" s="15" t="s">
        <v>725</v>
      </c>
      <c r="F2093" s="15" t="s">
        <v>876</v>
      </c>
      <c r="G2093" s="15" t="s">
        <v>112</v>
      </c>
      <c r="H2093" s="15"/>
    </row>
    <row r="2094" customFormat="false" ht="26.25" hidden="false" customHeight="true" outlineLevel="0" collapsed="false">
      <c r="A2094" s="15" t="s">
        <v>251</v>
      </c>
      <c r="B2094" s="15" t="s">
        <v>252</v>
      </c>
      <c r="C2094" s="15" t="s">
        <v>726</v>
      </c>
      <c r="D2094" s="15" t="n">
        <v>4737</v>
      </c>
      <c r="E2094" s="15" t="s">
        <v>725</v>
      </c>
      <c r="F2094" s="15" t="s">
        <v>876</v>
      </c>
      <c r="G2094" s="15" t="s">
        <v>112</v>
      </c>
      <c r="H2094" s="15"/>
    </row>
    <row r="2095" customFormat="false" ht="26.25" hidden="false" customHeight="true" outlineLevel="0" collapsed="false">
      <c r="A2095" s="15" t="s">
        <v>251</v>
      </c>
      <c r="B2095" s="15" t="s">
        <v>252</v>
      </c>
      <c r="C2095" s="15" t="s">
        <v>727</v>
      </c>
      <c r="D2095" s="15" t="n">
        <v>1900</v>
      </c>
      <c r="E2095" s="15" t="s">
        <v>725</v>
      </c>
      <c r="F2095" s="15" t="s">
        <v>876</v>
      </c>
      <c r="G2095" s="15" t="s">
        <v>112</v>
      </c>
      <c r="H2095" s="15"/>
    </row>
    <row r="2096" customFormat="false" ht="26.25" hidden="false" customHeight="true" outlineLevel="0" collapsed="false">
      <c r="A2096" s="15" t="s">
        <v>251</v>
      </c>
      <c r="B2096" s="15" t="s">
        <v>252</v>
      </c>
      <c r="C2096" s="15" t="s">
        <v>728</v>
      </c>
      <c r="D2096" s="15" t="n">
        <v>1747</v>
      </c>
      <c r="E2096" s="15" t="s">
        <v>725</v>
      </c>
      <c r="F2096" s="15" t="s">
        <v>876</v>
      </c>
      <c r="G2096" s="15" t="s">
        <v>112</v>
      </c>
      <c r="H2096" s="15"/>
    </row>
    <row r="2097" customFormat="false" ht="26.25" hidden="false" customHeight="true" outlineLevel="0" collapsed="false">
      <c r="A2097" s="15" t="s">
        <v>251</v>
      </c>
      <c r="B2097" s="15" t="s">
        <v>252</v>
      </c>
      <c r="C2097" s="15" t="s">
        <v>729</v>
      </c>
      <c r="D2097" s="15" t="n">
        <v>2762</v>
      </c>
      <c r="E2097" s="15" t="s">
        <v>725</v>
      </c>
      <c r="F2097" s="15" t="s">
        <v>876</v>
      </c>
      <c r="G2097" s="15" t="s">
        <v>112</v>
      </c>
      <c r="H2097" s="15"/>
    </row>
    <row r="2098" customFormat="false" ht="26.25" hidden="false" customHeight="true" outlineLevel="0" collapsed="false">
      <c r="A2098" s="15" t="s">
        <v>251</v>
      </c>
      <c r="B2098" s="15" t="s">
        <v>252</v>
      </c>
      <c r="C2098" s="15" t="s">
        <v>730</v>
      </c>
      <c r="D2098" s="15" t="n">
        <v>10</v>
      </c>
      <c r="E2098" s="15" t="s">
        <v>731</v>
      </c>
      <c r="F2098" s="15" t="s">
        <v>876</v>
      </c>
      <c r="G2098" s="15" t="s">
        <v>112</v>
      </c>
      <c r="H2098" s="15"/>
    </row>
    <row r="2099" customFormat="false" ht="26.25" hidden="false" customHeight="true" outlineLevel="0" collapsed="false">
      <c r="A2099" s="15" t="s">
        <v>251</v>
      </c>
      <c r="B2099" s="15" t="s">
        <v>252</v>
      </c>
      <c r="C2099" s="15" t="s">
        <v>776</v>
      </c>
      <c r="D2099" s="15" t="s">
        <v>878</v>
      </c>
      <c r="E2099" s="15"/>
      <c r="F2099" s="15" t="s">
        <v>876</v>
      </c>
      <c r="G2099" s="15" t="s">
        <v>112</v>
      </c>
      <c r="H2099" s="15"/>
    </row>
    <row r="2100" customFormat="false" ht="26.25" hidden="false" customHeight="true" outlineLevel="0" collapsed="false">
      <c r="A2100" s="15" t="s">
        <v>251</v>
      </c>
      <c r="B2100" s="15" t="s">
        <v>252</v>
      </c>
      <c r="C2100" s="15" t="s">
        <v>780</v>
      </c>
      <c r="D2100" s="15" t="s">
        <v>781</v>
      </c>
      <c r="E2100" s="15"/>
      <c r="F2100" s="15" t="s">
        <v>876</v>
      </c>
      <c r="G2100" s="15" t="s">
        <v>112</v>
      </c>
      <c r="H2100" s="15"/>
    </row>
    <row r="2101" customFormat="false" ht="26.25" hidden="false" customHeight="true" outlineLevel="0" collapsed="false">
      <c r="A2101" s="15" t="s">
        <v>251</v>
      </c>
      <c r="B2101" s="15" t="s">
        <v>252</v>
      </c>
      <c r="C2101" s="15" t="s">
        <v>789</v>
      </c>
      <c r="D2101" s="15" t="s">
        <v>790</v>
      </c>
      <c r="E2101" s="15"/>
      <c r="F2101" s="15" t="s">
        <v>876</v>
      </c>
      <c r="G2101" s="15" t="s">
        <v>112</v>
      </c>
      <c r="H2101" s="15"/>
    </row>
    <row r="2102" customFormat="false" ht="26.25" hidden="false" customHeight="true" outlineLevel="0" collapsed="false">
      <c r="A2102" s="15" t="s">
        <v>251</v>
      </c>
      <c r="B2102" s="15" t="s">
        <v>252</v>
      </c>
      <c r="C2102" s="15" t="s">
        <v>784</v>
      </c>
      <c r="D2102" s="15" t="n">
        <v>11</v>
      </c>
      <c r="E2102" s="15" t="s">
        <v>738</v>
      </c>
      <c r="F2102" s="15" t="s">
        <v>879</v>
      </c>
      <c r="G2102" s="15" t="s">
        <v>112</v>
      </c>
      <c r="H2102" s="15"/>
    </row>
    <row r="2103" customFormat="false" ht="26.25" hidden="false" customHeight="true" outlineLevel="0" collapsed="false">
      <c r="A2103" s="15" t="s">
        <v>251</v>
      </c>
      <c r="B2103" s="15" t="s">
        <v>252</v>
      </c>
      <c r="C2103" s="15" t="s">
        <v>782</v>
      </c>
      <c r="D2103" s="15" t="n">
        <v>36</v>
      </c>
      <c r="E2103" s="15" t="s">
        <v>783</v>
      </c>
      <c r="F2103" s="15" t="s">
        <v>879</v>
      </c>
      <c r="G2103" s="15" t="s">
        <v>112</v>
      </c>
      <c r="H2103" s="15"/>
    </row>
    <row r="2104" customFormat="false" ht="26.25" hidden="false" customHeight="true" outlineLevel="0" collapsed="false">
      <c r="A2104" s="15" t="s">
        <v>251</v>
      </c>
      <c r="B2104" s="15" t="s">
        <v>252</v>
      </c>
      <c r="C2104" s="15" t="s">
        <v>90</v>
      </c>
      <c r="D2104" s="15" t="s">
        <v>880</v>
      </c>
      <c r="E2104" s="15"/>
      <c r="F2104" s="15" t="s">
        <v>876</v>
      </c>
      <c r="G2104" s="15" t="s">
        <v>112</v>
      </c>
      <c r="H2104" s="15"/>
    </row>
    <row r="2105" customFormat="false" ht="26.25" hidden="false" customHeight="true" outlineLevel="0" collapsed="false">
      <c r="A2105" s="15" t="s">
        <v>251</v>
      </c>
      <c r="B2105" s="15" t="s">
        <v>252</v>
      </c>
      <c r="C2105" s="15" t="s">
        <v>875</v>
      </c>
      <c r="D2105" s="15" t="n">
        <v>3.2</v>
      </c>
      <c r="E2105" s="15"/>
      <c r="F2105" s="15" t="s">
        <v>876</v>
      </c>
      <c r="G2105" s="15" t="s">
        <v>819</v>
      </c>
      <c r="H2105" s="15" t="s">
        <v>881</v>
      </c>
    </row>
    <row r="2106" customFormat="false" ht="26.25" hidden="false" customHeight="true" outlineLevel="0" collapsed="false">
      <c r="A2106" s="15" t="s">
        <v>251</v>
      </c>
      <c r="B2106" s="15" t="s">
        <v>252</v>
      </c>
      <c r="C2106" s="15" t="s">
        <v>772</v>
      </c>
      <c r="D2106" s="15" t="n">
        <v>60000</v>
      </c>
      <c r="E2106" s="15" t="s">
        <v>773</v>
      </c>
      <c r="F2106" s="15" t="s">
        <v>882</v>
      </c>
      <c r="G2106" s="15" t="s">
        <v>112</v>
      </c>
      <c r="H2106" s="15"/>
    </row>
    <row r="2107" customFormat="false" ht="26.25" hidden="false" customHeight="true" outlineLevel="0" collapsed="false">
      <c r="A2107" s="15" t="s">
        <v>251</v>
      </c>
      <c r="B2107" s="15" t="s">
        <v>252</v>
      </c>
      <c r="C2107" s="15" t="s">
        <v>775</v>
      </c>
      <c r="D2107" s="15" t="n">
        <v>75000</v>
      </c>
      <c r="E2107" s="15" t="s">
        <v>773</v>
      </c>
      <c r="F2107" s="15" t="s">
        <v>882</v>
      </c>
      <c r="G2107" s="15" t="s">
        <v>112</v>
      </c>
      <c r="H2107" s="15"/>
    </row>
    <row r="2108" customFormat="false" ht="26.25" hidden="false" customHeight="true" outlineLevel="0" collapsed="false">
      <c r="A2108" s="15" t="s">
        <v>251</v>
      </c>
      <c r="B2108" s="15" t="s">
        <v>252</v>
      </c>
      <c r="C2108" s="15" t="s">
        <v>98</v>
      </c>
      <c r="D2108" s="15" t="s">
        <v>732</v>
      </c>
      <c r="E2108" s="15"/>
      <c r="F2108" s="15" t="s">
        <v>876</v>
      </c>
      <c r="G2108" s="15" t="s">
        <v>112</v>
      </c>
      <c r="H2108" s="15"/>
    </row>
    <row r="2109" customFormat="false" ht="26.25" hidden="false" customHeight="true" outlineLevel="0" collapsed="false">
      <c r="A2109" s="15" t="s">
        <v>251</v>
      </c>
      <c r="B2109" s="15" t="s">
        <v>252</v>
      </c>
      <c r="C2109" s="15" t="s">
        <v>830</v>
      </c>
      <c r="D2109" s="15" t="s">
        <v>831</v>
      </c>
      <c r="E2109" s="15"/>
      <c r="F2109" s="15" t="s">
        <v>883</v>
      </c>
      <c r="G2109" s="15" t="s">
        <v>112</v>
      </c>
      <c r="H2109" s="15"/>
    </row>
    <row r="2110" customFormat="false" ht="26.25" hidden="false" customHeight="true" outlineLevel="0" collapsed="false">
      <c r="A2110" s="15" t="s">
        <v>251</v>
      </c>
      <c r="B2110" s="15" t="s">
        <v>252</v>
      </c>
      <c r="C2110" s="15" t="s">
        <v>833</v>
      </c>
      <c r="D2110" s="15" t="s">
        <v>834</v>
      </c>
      <c r="E2110" s="15"/>
      <c r="F2110" s="15" t="s">
        <v>883</v>
      </c>
      <c r="G2110" s="15" t="s">
        <v>112</v>
      </c>
      <c r="H2110" s="15"/>
    </row>
    <row r="2111" customFormat="false" ht="26.25" hidden="false" customHeight="true" outlineLevel="0" collapsed="false">
      <c r="A2111" s="15" t="s">
        <v>251</v>
      </c>
      <c r="B2111" s="15" t="s">
        <v>252</v>
      </c>
      <c r="C2111" s="15" t="s">
        <v>835</v>
      </c>
      <c r="D2111" s="15" t="s">
        <v>836</v>
      </c>
      <c r="E2111" s="15"/>
      <c r="F2111" s="15" t="s">
        <v>883</v>
      </c>
      <c r="G2111" s="15" t="s">
        <v>112</v>
      </c>
      <c r="H2111" s="15"/>
    </row>
    <row r="2112" customFormat="false" ht="26.25" hidden="false" customHeight="true" outlineLevel="0" collapsed="false">
      <c r="A2112" s="15" t="s">
        <v>251</v>
      </c>
      <c r="B2112" s="15" t="s">
        <v>252</v>
      </c>
      <c r="C2112" s="15" t="s">
        <v>837</v>
      </c>
      <c r="D2112" s="15" t="n">
        <v>10000</v>
      </c>
      <c r="E2112" s="15" t="s">
        <v>838</v>
      </c>
      <c r="F2112" s="15" t="s">
        <v>883</v>
      </c>
      <c r="G2112" s="15" t="s">
        <v>112</v>
      </c>
      <c r="H2112" s="15"/>
    </row>
    <row r="2113" customFormat="false" ht="26.25" hidden="false" customHeight="true" outlineLevel="0" collapsed="false">
      <c r="A2113" s="15" t="s">
        <v>251</v>
      </c>
      <c r="B2113" s="15" t="s">
        <v>252</v>
      </c>
      <c r="C2113" s="15" t="s">
        <v>839</v>
      </c>
      <c r="D2113" s="15" t="s">
        <v>840</v>
      </c>
      <c r="E2113" s="15"/>
      <c r="F2113" s="15" t="s">
        <v>883</v>
      </c>
      <c r="G2113" s="15" t="s">
        <v>112</v>
      </c>
      <c r="H2113" s="15"/>
    </row>
    <row r="2114" customFormat="false" ht="26.25" hidden="false" customHeight="true" outlineLevel="0" collapsed="false">
      <c r="A2114" s="15" t="s">
        <v>251</v>
      </c>
      <c r="B2114" s="15" t="s">
        <v>252</v>
      </c>
      <c r="C2114" s="15" t="s">
        <v>841</v>
      </c>
      <c r="D2114" s="15" t="s">
        <v>842</v>
      </c>
      <c r="E2114" s="15"/>
      <c r="F2114" s="15" t="s">
        <v>883</v>
      </c>
      <c r="G2114" s="15" t="s">
        <v>112</v>
      </c>
      <c r="H2114" s="15"/>
    </row>
    <row r="2115" customFormat="false" ht="26.25" hidden="false" customHeight="true" outlineLevel="0" collapsed="false">
      <c r="A2115" s="15" t="s">
        <v>251</v>
      </c>
      <c r="B2115" s="15" t="s">
        <v>252</v>
      </c>
      <c r="C2115" s="15" t="s">
        <v>843</v>
      </c>
      <c r="D2115" s="15" t="s">
        <v>844</v>
      </c>
      <c r="E2115" s="15"/>
      <c r="F2115" s="15" t="s">
        <v>876</v>
      </c>
      <c r="G2115" s="15" t="s">
        <v>112</v>
      </c>
      <c r="H2115" s="15"/>
    </row>
    <row r="2116" customFormat="false" ht="26.25" hidden="false" customHeight="true" outlineLevel="0" collapsed="false">
      <c r="A2116" s="15" t="s">
        <v>251</v>
      </c>
      <c r="B2116" s="15" t="s">
        <v>252</v>
      </c>
      <c r="C2116" s="15" t="s">
        <v>737</v>
      </c>
      <c r="D2116" s="15" t="n">
        <v>210</v>
      </c>
      <c r="E2116" s="15" t="s">
        <v>738</v>
      </c>
      <c r="F2116" s="15" t="s">
        <v>876</v>
      </c>
      <c r="G2116" s="15" t="s">
        <v>112</v>
      </c>
      <c r="H2116" s="15"/>
    </row>
    <row r="2117" customFormat="false" ht="26.25" hidden="false" customHeight="true" outlineLevel="0" collapsed="false">
      <c r="A2117" s="15" t="s">
        <v>251</v>
      </c>
      <c r="B2117" s="15" t="s">
        <v>252</v>
      </c>
      <c r="C2117" s="15" t="s">
        <v>739</v>
      </c>
      <c r="D2117" s="15" t="n">
        <v>180</v>
      </c>
      <c r="E2117" s="15" t="s">
        <v>738</v>
      </c>
      <c r="F2117" s="15" t="s">
        <v>876</v>
      </c>
      <c r="G2117" s="15" t="s">
        <v>112</v>
      </c>
      <c r="H2117" s="15"/>
    </row>
    <row r="2118" customFormat="false" ht="26.25" hidden="false" customHeight="true" outlineLevel="0" collapsed="false">
      <c r="A2118" s="15" t="s">
        <v>251</v>
      </c>
      <c r="B2118" s="15" t="s">
        <v>252</v>
      </c>
      <c r="C2118" s="15" t="s">
        <v>740</v>
      </c>
      <c r="D2118" s="15" t="n">
        <v>8</v>
      </c>
      <c r="E2118" s="15" t="s">
        <v>741</v>
      </c>
      <c r="F2118" s="15" t="s">
        <v>876</v>
      </c>
      <c r="G2118" s="15" t="s">
        <v>112</v>
      </c>
      <c r="H2118" s="15"/>
    </row>
    <row r="2119" customFormat="false" ht="26.25" hidden="false" customHeight="true" outlineLevel="0" collapsed="false">
      <c r="A2119" s="15" t="s">
        <v>251</v>
      </c>
      <c r="B2119" s="15" t="s">
        <v>252</v>
      </c>
      <c r="C2119" s="15" t="s">
        <v>742</v>
      </c>
      <c r="D2119" s="15" t="n">
        <v>11.7</v>
      </c>
      <c r="E2119" s="15" t="s">
        <v>741</v>
      </c>
      <c r="F2119" s="15" t="s">
        <v>876</v>
      </c>
      <c r="G2119" s="15" t="s">
        <v>112</v>
      </c>
      <c r="H2119" s="15"/>
    </row>
    <row r="2120" customFormat="false" ht="26.25" hidden="false" customHeight="true" outlineLevel="0" collapsed="false">
      <c r="A2120" s="15" t="s">
        <v>251</v>
      </c>
      <c r="B2120" s="15" t="s">
        <v>252</v>
      </c>
      <c r="C2120" s="15" t="s">
        <v>733</v>
      </c>
      <c r="D2120" s="15" t="s">
        <v>808</v>
      </c>
      <c r="E2120" s="15"/>
      <c r="F2120" s="15" t="s">
        <v>882</v>
      </c>
      <c r="G2120" s="15" t="s">
        <v>112</v>
      </c>
      <c r="H2120" s="15"/>
    </row>
    <row r="2121" customFormat="false" ht="26.25" hidden="false" customHeight="true" outlineLevel="0" collapsed="false">
      <c r="A2121" s="15" t="s">
        <v>251</v>
      </c>
      <c r="B2121" s="15" t="s">
        <v>252</v>
      </c>
      <c r="C2121" s="15" t="s">
        <v>785</v>
      </c>
      <c r="D2121" s="15" t="n">
        <v>409</v>
      </c>
      <c r="E2121" s="15" t="s">
        <v>786</v>
      </c>
      <c r="F2121" s="15" t="s">
        <v>879</v>
      </c>
      <c r="G2121" s="15" t="s">
        <v>112</v>
      </c>
      <c r="H2121" s="15"/>
    </row>
    <row r="2122" customFormat="false" ht="26.25" hidden="false" customHeight="true" outlineLevel="0" collapsed="false">
      <c r="A2122" s="15" t="s">
        <v>251</v>
      </c>
      <c r="B2122" s="15" t="s">
        <v>252</v>
      </c>
      <c r="C2122" s="15" t="s">
        <v>887</v>
      </c>
      <c r="D2122" s="15" t="s">
        <v>888</v>
      </c>
      <c r="E2122" s="15"/>
      <c r="F2122" s="15" t="s">
        <v>889</v>
      </c>
      <c r="G2122" s="15" t="s">
        <v>112</v>
      </c>
      <c r="H2122" s="15" t="s">
        <v>890</v>
      </c>
    </row>
    <row r="2123" customFormat="false" ht="26.25" hidden="false" customHeight="true" outlineLevel="0" collapsed="false">
      <c r="A2123" s="15" t="s">
        <v>251</v>
      </c>
      <c r="B2123" s="15" t="s">
        <v>252</v>
      </c>
      <c r="C2123" s="15" t="s">
        <v>769</v>
      </c>
      <c r="D2123" s="15" t="s">
        <v>892</v>
      </c>
      <c r="E2123" s="15" t="s">
        <v>721</v>
      </c>
      <c r="F2123" s="15" t="s">
        <v>876</v>
      </c>
      <c r="G2123" s="15" t="s">
        <v>112</v>
      </c>
      <c r="H2123" s="15"/>
    </row>
    <row r="2124" customFormat="false" ht="26.25" hidden="false" customHeight="true" outlineLevel="0" collapsed="false">
      <c r="A2124" s="15" t="s">
        <v>251</v>
      </c>
      <c r="B2124" s="15" t="s">
        <v>252</v>
      </c>
      <c r="C2124" s="15" t="s">
        <v>86</v>
      </c>
      <c r="D2124" s="15" t="n">
        <v>7</v>
      </c>
      <c r="E2124" s="15" t="s">
        <v>721</v>
      </c>
      <c r="F2124" s="15" t="s">
        <v>876</v>
      </c>
      <c r="G2124" s="15" t="s">
        <v>112</v>
      </c>
      <c r="H2124" s="15"/>
    </row>
    <row r="2125" customFormat="false" ht="26.25" hidden="false" customHeight="true" outlineLevel="0" collapsed="false">
      <c r="A2125" s="15" t="s">
        <v>251</v>
      </c>
      <c r="B2125" s="15" t="s">
        <v>252</v>
      </c>
      <c r="C2125" s="15" t="s">
        <v>764</v>
      </c>
      <c r="D2125" s="15" t="s">
        <v>803</v>
      </c>
      <c r="E2125" s="15"/>
      <c r="F2125" s="15" t="s">
        <v>876</v>
      </c>
      <c r="G2125" s="15" t="s">
        <v>112</v>
      </c>
      <c r="H2125" s="15"/>
    </row>
    <row r="2126" customFormat="false" ht="26.25" hidden="false" customHeight="true" outlineLevel="0" collapsed="false">
      <c r="A2126" s="15" t="s">
        <v>251</v>
      </c>
      <c r="B2126" s="15" t="s">
        <v>252</v>
      </c>
      <c r="C2126" s="15" t="s">
        <v>749</v>
      </c>
      <c r="D2126" s="15" t="s">
        <v>895</v>
      </c>
      <c r="E2126" s="15"/>
      <c r="F2126" s="15" t="s">
        <v>876</v>
      </c>
      <c r="G2126" s="15" t="s">
        <v>112</v>
      </c>
      <c r="H2126" s="15"/>
    </row>
    <row r="2127" customFormat="false" ht="26.25" hidden="false" customHeight="true" outlineLevel="0" collapsed="false">
      <c r="A2127" s="15" t="s">
        <v>251</v>
      </c>
      <c r="B2127" s="15" t="s">
        <v>252</v>
      </c>
      <c r="C2127" s="15" t="s">
        <v>752</v>
      </c>
      <c r="D2127" s="15" t="s">
        <v>865</v>
      </c>
      <c r="E2127" s="15"/>
      <c r="F2127" s="15" t="s">
        <v>876</v>
      </c>
      <c r="G2127" s="15" t="s">
        <v>112</v>
      </c>
      <c r="H2127" s="15"/>
    </row>
    <row r="2128" customFormat="false" ht="26.25" hidden="false" customHeight="true" outlineLevel="0" collapsed="false">
      <c r="A2128" s="15" t="s">
        <v>251</v>
      </c>
      <c r="B2128" s="15" t="s">
        <v>252</v>
      </c>
      <c r="C2128" s="15" t="s">
        <v>754</v>
      </c>
      <c r="D2128" s="15" t="s">
        <v>803</v>
      </c>
      <c r="E2128" s="15"/>
      <c r="F2128" s="15" t="s">
        <v>876</v>
      </c>
      <c r="G2128" s="15" t="s">
        <v>112</v>
      </c>
      <c r="H2128" s="15"/>
    </row>
    <row r="2129" customFormat="false" ht="26.25" hidden="false" customHeight="true" outlineLevel="0" collapsed="false">
      <c r="A2129" s="15" t="s">
        <v>251</v>
      </c>
      <c r="B2129" s="15" t="s">
        <v>252</v>
      </c>
      <c r="C2129" s="15" t="s">
        <v>884</v>
      </c>
      <c r="D2129" s="15" t="s">
        <v>803</v>
      </c>
      <c r="E2129" s="15"/>
      <c r="F2129" s="15" t="s">
        <v>876</v>
      </c>
      <c r="G2129" s="15" t="s">
        <v>112</v>
      </c>
      <c r="H2129" s="15"/>
    </row>
    <row r="2130" customFormat="false" ht="26.25" hidden="false" customHeight="true" outlineLevel="0" collapsed="false">
      <c r="A2130" s="15" t="s">
        <v>251</v>
      </c>
      <c r="B2130" s="15" t="s">
        <v>252</v>
      </c>
      <c r="C2130" s="15" t="s">
        <v>756</v>
      </c>
      <c r="D2130" s="15" t="s">
        <v>858</v>
      </c>
      <c r="E2130" s="15"/>
      <c r="F2130" s="15" t="s">
        <v>876</v>
      </c>
      <c r="G2130" s="15" t="s">
        <v>112</v>
      </c>
      <c r="H2130" s="15"/>
    </row>
    <row r="2131" customFormat="false" ht="26.25" hidden="false" customHeight="true" outlineLevel="0" collapsed="false">
      <c r="A2131" s="15" t="s">
        <v>251</v>
      </c>
      <c r="B2131" s="15" t="s">
        <v>252</v>
      </c>
      <c r="C2131" s="15" t="s">
        <v>757</v>
      </c>
      <c r="D2131" s="15" t="s">
        <v>797</v>
      </c>
      <c r="E2131" s="15"/>
      <c r="F2131" s="15" t="s">
        <v>876</v>
      </c>
      <c r="G2131" s="15" t="s">
        <v>112</v>
      </c>
      <c r="H2131" s="15"/>
    </row>
    <row r="2132" customFormat="false" ht="26.25" hidden="false" customHeight="true" outlineLevel="0" collapsed="false">
      <c r="A2132" s="15" t="s">
        <v>251</v>
      </c>
      <c r="B2132" s="15" t="s">
        <v>252</v>
      </c>
      <c r="C2132" s="15" t="s">
        <v>759</v>
      </c>
      <c r="D2132" s="15" t="s">
        <v>798</v>
      </c>
      <c r="E2132" s="15"/>
      <c r="F2132" s="15" t="s">
        <v>876</v>
      </c>
      <c r="G2132" s="15" t="s">
        <v>112</v>
      </c>
      <c r="H2132" s="15"/>
    </row>
    <row r="2133" customFormat="false" ht="26.25" hidden="false" customHeight="true" outlineLevel="0" collapsed="false">
      <c r="A2133" s="15" t="s">
        <v>251</v>
      </c>
      <c r="B2133" s="15" t="s">
        <v>252</v>
      </c>
      <c r="C2133" s="15" t="s">
        <v>761</v>
      </c>
      <c r="D2133" s="15" t="s">
        <v>816</v>
      </c>
      <c r="E2133" s="15"/>
      <c r="F2133" s="15" t="s">
        <v>876</v>
      </c>
      <c r="G2133" s="15" t="s">
        <v>112</v>
      </c>
      <c r="H2133" s="15"/>
    </row>
    <row r="2134" customFormat="false" ht="26.25" hidden="false" customHeight="true" outlineLevel="0" collapsed="false">
      <c r="A2134" s="15" t="s">
        <v>251</v>
      </c>
      <c r="B2134" s="15" t="s">
        <v>252</v>
      </c>
      <c r="C2134" s="15" t="s">
        <v>762</v>
      </c>
      <c r="D2134" s="15" t="s">
        <v>803</v>
      </c>
      <c r="E2134" s="15"/>
      <c r="F2134" s="15" t="s">
        <v>876</v>
      </c>
      <c r="G2134" s="15" t="s">
        <v>112</v>
      </c>
      <c r="H2134" s="15"/>
    </row>
    <row r="2135" customFormat="false" ht="26.25" hidden="false" customHeight="true" outlineLevel="0" collapsed="false">
      <c r="A2135" s="15" t="s">
        <v>251</v>
      </c>
      <c r="B2135" s="15" t="s">
        <v>252</v>
      </c>
      <c r="C2135" s="15" t="s">
        <v>92</v>
      </c>
      <c r="D2135" s="15" t="s">
        <v>803</v>
      </c>
      <c r="E2135" s="15"/>
      <c r="F2135" s="15" t="s">
        <v>876</v>
      </c>
      <c r="G2135" s="15" t="s">
        <v>112</v>
      </c>
      <c r="H2135" s="15"/>
    </row>
    <row r="2136" customFormat="false" ht="26.25" hidden="false" customHeight="true" outlineLevel="0" collapsed="false">
      <c r="A2136" s="15" t="s">
        <v>251</v>
      </c>
      <c r="B2136" s="15" t="s">
        <v>252</v>
      </c>
      <c r="C2136" s="15" t="s">
        <v>848</v>
      </c>
      <c r="D2136" s="15" t="s">
        <v>859</v>
      </c>
      <c r="E2136" s="15"/>
      <c r="F2136" s="15" t="s">
        <v>876</v>
      </c>
      <c r="G2136" s="15" t="s">
        <v>112</v>
      </c>
      <c r="H2136" s="15"/>
    </row>
    <row r="2137" customFormat="false" ht="26.25" hidden="false" customHeight="true" outlineLevel="0" collapsed="false">
      <c r="A2137" s="15" t="s">
        <v>251</v>
      </c>
      <c r="B2137" s="15" t="s">
        <v>252</v>
      </c>
      <c r="C2137" s="15" t="s">
        <v>747</v>
      </c>
      <c r="D2137" s="15" t="s">
        <v>893</v>
      </c>
      <c r="E2137" s="15"/>
      <c r="F2137" s="15" t="s">
        <v>876</v>
      </c>
      <c r="G2137" s="15" t="s">
        <v>112</v>
      </c>
      <c r="H2137" s="15"/>
    </row>
    <row r="2138" customFormat="false" ht="26.25" hidden="false" customHeight="true" outlineLevel="0" collapsed="false">
      <c r="A2138" s="15" t="s">
        <v>251</v>
      </c>
      <c r="B2138" s="15" t="s">
        <v>252</v>
      </c>
      <c r="C2138" s="15" t="s">
        <v>851</v>
      </c>
      <c r="D2138" s="15" t="s">
        <v>860</v>
      </c>
      <c r="E2138" s="15"/>
      <c r="F2138" s="15" t="s">
        <v>876</v>
      </c>
      <c r="G2138" s="15" t="s">
        <v>112</v>
      </c>
      <c r="H2138" s="15"/>
    </row>
    <row r="2139" customFormat="false" ht="26.25" hidden="false" customHeight="true" outlineLevel="0" collapsed="false">
      <c r="A2139" s="15" t="s">
        <v>251</v>
      </c>
      <c r="B2139" s="15" t="s">
        <v>252</v>
      </c>
      <c r="C2139" s="15" t="s">
        <v>853</v>
      </c>
      <c r="D2139" s="15" t="s">
        <v>866</v>
      </c>
      <c r="E2139" s="15"/>
      <c r="F2139" s="15" t="s">
        <v>876</v>
      </c>
      <c r="G2139" s="15" t="s">
        <v>112</v>
      </c>
      <c r="H2139" s="15"/>
    </row>
    <row r="2140" customFormat="false" ht="26.25" hidden="false" customHeight="true" outlineLevel="0" collapsed="false">
      <c r="A2140" s="15" t="s">
        <v>251</v>
      </c>
      <c r="B2140" s="15" t="s">
        <v>252</v>
      </c>
      <c r="C2140" s="15" t="s">
        <v>854</v>
      </c>
      <c r="D2140" s="15" t="s">
        <v>803</v>
      </c>
      <c r="E2140" s="15"/>
      <c r="F2140" s="15" t="s">
        <v>876</v>
      </c>
      <c r="G2140" s="15" t="s">
        <v>112</v>
      </c>
      <c r="H2140" s="15"/>
    </row>
    <row r="2141" customFormat="false" ht="26.25" hidden="false" customHeight="true" outlineLevel="0" collapsed="false">
      <c r="A2141" s="15" t="s">
        <v>251</v>
      </c>
      <c r="B2141" s="15" t="s">
        <v>252</v>
      </c>
      <c r="C2141" s="15" t="s">
        <v>855</v>
      </c>
      <c r="D2141" s="15" t="s">
        <v>862</v>
      </c>
      <c r="E2141" s="15"/>
      <c r="F2141" s="15" t="s">
        <v>876</v>
      </c>
      <c r="G2141" s="15" t="s">
        <v>112</v>
      </c>
      <c r="H2141" s="15"/>
    </row>
    <row r="2142" customFormat="false" ht="26.25" hidden="false" customHeight="true" outlineLevel="0" collapsed="false">
      <c r="A2142" s="15" t="s">
        <v>251</v>
      </c>
      <c r="B2142" s="15" t="s">
        <v>252</v>
      </c>
      <c r="C2142" s="15" t="s">
        <v>857</v>
      </c>
      <c r="D2142" s="15" t="s">
        <v>803</v>
      </c>
      <c r="E2142" s="15"/>
      <c r="F2142" s="15" t="s">
        <v>876</v>
      </c>
      <c r="G2142" s="15" t="s">
        <v>112</v>
      </c>
      <c r="H2142" s="15"/>
    </row>
    <row r="2143" customFormat="false" ht="26.25" hidden="false" customHeight="true" outlineLevel="0" collapsed="false">
      <c r="A2143" s="15" t="s">
        <v>251</v>
      </c>
      <c r="B2143" s="15" t="s">
        <v>252</v>
      </c>
      <c r="C2143" s="15" t="s">
        <v>886</v>
      </c>
      <c r="D2143" s="15" t="s">
        <v>803</v>
      </c>
      <c r="E2143" s="15"/>
      <c r="F2143" s="15" t="s">
        <v>876</v>
      </c>
      <c r="G2143" s="15" t="s">
        <v>112</v>
      </c>
      <c r="H2143" s="15"/>
    </row>
    <row r="2144" customFormat="false" ht="15" hidden="false" customHeight="true" outlineLevel="0" collapsed="false">
      <c r="A2144" s="15" t="s">
        <v>211</v>
      </c>
      <c r="B2144" s="15" t="s">
        <v>891</v>
      </c>
      <c r="C2144" s="15" t="s">
        <v>714</v>
      </c>
      <c r="D2144" s="15" t="n">
        <v>380</v>
      </c>
      <c r="E2144" s="15" t="s">
        <v>715</v>
      </c>
      <c r="F2144" s="15" t="s">
        <v>876</v>
      </c>
      <c r="G2144" s="15" t="s">
        <v>112</v>
      </c>
      <c r="H2144" s="15"/>
    </row>
    <row r="2145" customFormat="false" ht="15" hidden="false" customHeight="true" outlineLevel="0" collapsed="false">
      <c r="A2145" s="15" t="s">
        <v>211</v>
      </c>
      <c r="B2145" s="15" t="s">
        <v>891</v>
      </c>
      <c r="C2145" s="15" t="s">
        <v>718</v>
      </c>
      <c r="D2145" s="15" t="s">
        <v>113</v>
      </c>
      <c r="E2145" s="15"/>
      <c r="F2145" s="15" t="s">
        <v>876</v>
      </c>
      <c r="G2145" s="15" t="s">
        <v>112</v>
      </c>
      <c r="H2145" s="15"/>
    </row>
    <row r="2146" customFormat="false" ht="15" hidden="false" customHeight="true" outlineLevel="0" collapsed="false">
      <c r="A2146" s="15" t="s">
        <v>211</v>
      </c>
      <c r="B2146" s="15" t="s">
        <v>891</v>
      </c>
      <c r="C2146" s="15" t="s">
        <v>719</v>
      </c>
      <c r="D2146" s="15" t="n">
        <v>20</v>
      </c>
      <c r="E2146" s="15" t="s">
        <v>720</v>
      </c>
      <c r="F2146" s="15" t="s">
        <v>876</v>
      </c>
      <c r="G2146" s="15" t="s">
        <v>112</v>
      </c>
      <c r="H2146" s="15"/>
    </row>
    <row r="2147" customFormat="false" ht="15" hidden="false" customHeight="true" outlineLevel="0" collapsed="false">
      <c r="A2147" s="15" t="s">
        <v>211</v>
      </c>
      <c r="B2147" s="15" t="s">
        <v>891</v>
      </c>
      <c r="C2147" s="15" t="s">
        <v>722</v>
      </c>
      <c r="D2147" s="15" t="s">
        <v>877</v>
      </c>
      <c r="E2147" s="15" t="s">
        <v>723</v>
      </c>
      <c r="F2147" s="15" t="s">
        <v>876</v>
      </c>
      <c r="G2147" s="15" t="s">
        <v>112</v>
      </c>
      <c r="H2147" s="15"/>
    </row>
    <row r="2148" customFormat="false" ht="15" hidden="false" customHeight="true" outlineLevel="0" collapsed="false">
      <c r="A2148" s="15" t="s">
        <v>211</v>
      </c>
      <c r="B2148" s="15" t="s">
        <v>891</v>
      </c>
      <c r="C2148" s="15" t="s">
        <v>724</v>
      </c>
      <c r="D2148" s="15" t="n">
        <v>150</v>
      </c>
      <c r="E2148" s="15" t="s">
        <v>723</v>
      </c>
      <c r="F2148" s="15" t="s">
        <v>876</v>
      </c>
      <c r="G2148" s="15" t="s">
        <v>112</v>
      </c>
      <c r="H2148" s="15"/>
    </row>
    <row r="2149" customFormat="false" ht="15" hidden="false" customHeight="true" outlineLevel="0" collapsed="false">
      <c r="A2149" s="15" t="s">
        <v>211</v>
      </c>
      <c r="B2149" s="15" t="s">
        <v>891</v>
      </c>
      <c r="C2149" s="15" t="s">
        <v>84</v>
      </c>
      <c r="D2149" s="15" t="n">
        <v>205</v>
      </c>
      <c r="E2149" s="15" t="s">
        <v>725</v>
      </c>
      <c r="F2149" s="15" t="s">
        <v>876</v>
      </c>
      <c r="G2149" s="15" t="s">
        <v>112</v>
      </c>
      <c r="H2149" s="15"/>
    </row>
    <row r="2150" customFormat="false" ht="15" hidden="false" customHeight="true" outlineLevel="0" collapsed="false">
      <c r="A2150" s="15" t="s">
        <v>211</v>
      </c>
      <c r="B2150" s="15" t="s">
        <v>891</v>
      </c>
      <c r="C2150" s="15" t="s">
        <v>726</v>
      </c>
      <c r="D2150" s="15" t="n">
        <v>4737</v>
      </c>
      <c r="E2150" s="15" t="s">
        <v>725</v>
      </c>
      <c r="F2150" s="15" t="s">
        <v>876</v>
      </c>
      <c r="G2150" s="15" t="s">
        <v>112</v>
      </c>
      <c r="H2150" s="15"/>
    </row>
    <row r="2151" customFormat="false" ht="15" hidden="false" customHeight="true" outlineLevel="0" collapsed="false">
      <c r="A2151" s="15" t="s">
        <v>211</v>
      </c>
      <c r="B2151" s="15" t="s">
        <v>891</v>
      </c>
      <c r="C2151" s="15" t="s">
        <v>727</v>
      </c>
      <c r="D2151" s="15" t="n">
        <v>1900</v>
      </c>
      <c r="E2151" s="15" t="s">
        <v>725</v>
      </c>
      <c r="F2151" s="15" t="s">
        <v>876</v>
      </c>
      <c r="G2151" s="15" t="s">
        <v>112</v>
      </c>
      <c r="H2151" s="15"/>
    </row>
    <row r="2152" customFormat="false" ht="15" hidden="false" customHeight="true" outlineLevel="0" collapsed="false">
      <c r="A2152" s="15" t="s">
        <v>211</v>
      </c>
      <c r="B2152" s="15" t="s">
        <v>891</v>
      </c>
      <c r="C2152" s="15" t="s">
        <v>728</v>
      </c>
      <c r="D2152" s="15" t="n">
        <v>1747</v>
      </c>
      <c r="E2152" s="15" t="s">
        <v>725</v>
      </c>
      <c r="F2152" s="15" t="s">
        <v>876</v>
      </c>
      <c r="G2152" s="15" t="s">
        <v>112</v>
      </c>
      <c r="H2152" s="15"/>
    </row>
    <row r="2153" customFormat="false" ht="15" hidden="false" customHeight="true" outlineLevel="0" collapsed="false">
      <c r="A2153" s="15" t="s">
        <v>211</v>
      </c>
      <c r="B2153" s="15" t="s">
        <v>891</v>
      </c>
      <c r="C2153" s="15" t="s">
        <v>729</v>
      </c>
      <c r="D2153" s="15" t="n">
        <v>2762</v>
      </c>
      <c r="E2153" s="15" t="s">
        <v>725</v>
      </c>
      <c r="F2153" s="15" t="s">
        <v>876</v>
      </c>
      <c r="G2153" s="15" t="s">
        <v>112</v>
      </c>
      <c r="H2153" s="15"/>
    </row>
    <row r="2154" customFormat="false" ht="15" hidden="false" customHeight="true" outlineLevel="0" collapsed="false">
      <c r="A2154" s="15" t="s">
        <v>211</v>
      </c>
      <c r="B2154" s="15" t="s">
        <v>891</v>
      </c>
      <c r="C2154" s="15" t="s">
        <v>730</v>
      </c>
      <c r="D2154" s="15" t="n">
        <v>10</v>
      </c>
      <c r="E2154" s="15" t="s">
        <v>731</v>
      </c>
      <c r="F2154" s="15" t="s">
        <v>876</v>
      </c>
      <c r="G2154" s="15" t="s">
        <v>112</v>
      </c>
      <c r="H2154" s="15"/>
    </row>
    <row r="2155" customFormat="false" ht="15" hidden="false" customHeight="true" outlineLevel="0" collapsed="false">
      <c r="A2155" s="15" t="s">
        <v>211</v>
      </c>
      <c r="B2155" s="15" t="s">
        <v>891</v>
      </c>
      <c r="C2155" s="15" t="s">
        <v>776</v>
      </c>
      <c r="D2155" s="15" t="s">
        <v>878</v>
      </c>
      <c r="E2155" s="15"/>
      <c r="F2155" s="15" t="s">
        <v>876</v>
      </c>
      <c r="G2155" s="15" t="s">
        <v>112</v>
      </c>
      <c r="H2155" s="15"/>
    </row>
    <row r="2156" customFormat="false" ht="15" hidden="false" customHeight="true" outlineLevel="0" collapsed="false">
      <c r="A2156" s="15" t="s">
        <v>211</v>
      </c>
      <c r="B2156" s="15" t="s">
        <v>891</v>
      </c>
      <c r="C2156" s="15" t="s">
        <v>780</v>
      </c>
      <c r="D2156" s="15" t="s">
        <v>781</v>
      </c>
      <c r="E2156" s="15"/>
      <c r="F2156" s="15" t="s">
        <v>876</v>
      </c>
      <c r="G2156" s="15" t="s">
        <v>112</v>
      </c>
      <c r="H2156" s="15"/>
    </row>
    <row r="2157" customFormat="false" ht="15" hidden="false" customHeight="true" outlineLevel="0" collapsed="false">
      <c r="A2157" s="15" t="s">
        <v>211</v>
      </c>
      <c r="B2157" s="15" t="s">
        <v>891</v>
      </c>
      <c r="C2157" s="15" t="s">
        <v>789</v>
      </c>
      <c r="D2157" s="15" t="s">
        <v>790</v>
      </c>
      <c r="E2157" s="15"/>
      <c r="F2157" s="15" t="s">
        <v>876</v>
      </c>
      <c r="G2157" s="15" t="s">
        <v>112</v>
      </c>
      <c r="H2157" s="15"/>
    </row>
    <row r="2158" customFormat="false" ht="15" hidden="false" customHeight="true" outlineLevel="0" collapsed="false">
      <c r="A2158" s="15" t="s">
        <v>211</v>
      </c>
      <c r="B2158" s="15" t="s">
        <v>891</v>
      </c>
      <c r="C2158" s="15" t="s">
        <v>784</v>
      </c>
      <c r="D2158" s="15" t="n">
        <v>11</v>
      </c>
      <c r="E2158" s="15" t="s">
        <v>738</v>
      </c>
      <c r="F2158" s="15" t="s">
        <v>879</v>
      </c>
      <c r="G2158" s="15" t="s">
        <v>112</v>
      </c>
      <c r="H2158" s="15"/>
    </row>
    <row r="2159" customFormat="false" ht="15" hidden="false" customHeight="true" outlineLevel="0" collapsed="false">
      <c r="A2159" s="15" t="s">
        <v>211</v>
      </c>
      <c r="B2159" s="15" t="s">
        <v>891</v>
      </c>
      <c r="C2159" s="15" t="s">
        <v>782</v>
      </c>
      <c r="D2159" s="15" t="n">
        <v>36</v>
      </c>
      <c r="E2159" s="15" t="s">
        <v>783</v>
      </c>
      <c r="F2159" s="15" t="s">
        <v>879</v>
      </c>
      <c r="G2159" s="15" t="s">
        <v>112</v>
      </c>
      <c r="H2159" s="15"/>
    </row>
    <row r="2160" customFormat="false" ht="15" hidden="false" customHeight="true" outlineLevel="0" collapsed="false">
      <c r="A2160" s="15" t="s">
        <v>211</v>
      </c>
      <c r="B2160" s="15" t="s">
        <v>891</v>
      </c>
      <c r="C2160" s="15" t="s">
        <v>90</v>
      </c>
      <c r="D2160" s="15" t="s">
        <v>880</v>
      </c>
      <c r="E2160" s="15"/>
      <c r="F2160" s="15" t="s">
        <v>876</v>
      </c>
      <c r="G2160" s="15" t="s">
        <v>112</v>
      </c>
      <c r="H2160" s="15"/>
    </row>
    <row r="2161" customFormat="false" ht="26.25" hidden="false" customHeight="true" outlineLevel="0" collapsed="false">
      <c r="A2161" s="15" t="s">
        <v>211</v>
      </c>
      <c r="B2161" s="15" t="s">
        <v>891</v>
      </c>
      <c r="C2161" s="15" t="s">
        <v>875</v>
      </c>
      <c r="D2161" s="15" t="n">
        <v>3.2</v>
      </c>
      <c r="E2161" s="15"/>
      <c r="F2161" s="15" t="s">
        <v>876</v>
      </c>
      <c r="G2161" s="15" t="s">
        <v>819</v>
      </c>
      <c r="H2161" s="15" t="s">
        <v>881</v>
      </c>
    </row>
    <row r="2162" customFormat="false" ht="15" hidden="false" customHeight="true" outlineLevel="0" collapsed="false">
      <c r="A2162" s="15" t="s">
        <v>211</v>
      </c>
      <c r="B2162" s="15" t="s">
        <v>891</v>
      </c>
      <c r="C2162" s="15" t="s">
        <v>772</v>
      </c>
      <c r="D2162" s="15" t="n">
        <v>60000</v>
      </c>
      <c r="E2162" s="15" t="s">
        <v>773</v>
      </c>
      <c r="F2162" s="15" t="s">
        <v>882</v>
      </c>
      <c r="G2162" s="15" t="s">
        <v>112</v>
      </c>
      <c r="H2162" s="15"/>
    </row>
    <row r="2163" customFormat="false" ht="15" hidden="false" customHeight="true" outlineLevel="0" collapsed="false">
      <c r="A2163" s="15" t="s">
        <v>211</v>
      </c>
      <c r="B2163" s="15" t="s">
        <v>891</v>
      </c>
      <c r="C2163" s="15" t="s">
        <v>775</v>
      </c>
      <c r="D2163" s="15" t="n">
        <v>75000</v>
      </c>
      <c r="E2163" s="15" t="s">
        <v>773</v>
      </c>
      <c r="F2163" s="15" t="s">
        <v>882</v>
      </c>
      <c r="G2163" s="15" t="s">
        <v>112</v>
      </c>
      <c r="H2163" s="15"/>
    </row>
    <row r="2164" customFormat="false" ht="26.25" hidden="false" customHeight="true" outlineLevel="0" collapsed="false">
      <c r="A2164" s="15" t="s">
        <v>211</v>
      </c>
      <c r="B2164" s="15" t="s">
        <v>891</v>
      </c>
      <c r="C2164" s="15" t="s">
        <v>98</v>
      </c>
      <c r="D2164" s="15" t="s">
        <v>732</v>
      </c>
      <c r="E2164" s="15"/>
      <c r="F2164" s="15" t="s">
        <v>876</v>
      </c>
      <c r="G2164" s="15" t="s">
        <v>112</v>
      </c>
      <c r="H2164" s="15"/>
    </row>
    <row r="2165" customFormat="false" ht="26.25" hidden="false" customHeight="true" outlineLevel="0" collapsed="false">
      <c r="A2165" s="15" t="s">
        <v>211</v>
      </c>
      <c r="B2165" s="15" t="s">
        <v>891</v>
      </c>
      <c r="C2165" s="15" t="s">
        <v>830</v>
      </c>
      <c r="D2165" s="15" t="s">
        <v>831</v>
      </c>
      <c r="E2165" s="15"/>
      <c r="F2165" s="15" t="s">
        <v>883</v>
      </c>
      <c r="G2165" s="15" t="s">
        <v>112</v>
      </c>
      <c r="H2165" s="15"/>
    </row>
    <row r="2166" customFormat="false" ht="15" hidden="false" customHeight="true" outlineLevel="0" collapsed="false">
      <c r="A2166" s="15" t="s">
        <v>211</v>
      </c>
      <c r="B2166" s="15" t="s">
        <v>891</v>
      </c>
      <c r="C2166" s="15" t="s">
        <v>833</v>
      </c>
      <c r="D2166" s="15" t="s">
        <v>834</v>
      </c>
      <c r="E2166" s="15"/>
      <c r="F2166" s="15" t="s">
        <v>883</v>
      </c>
      <c r="G2166" s="15" t="s">
        <v>112</v>
      </c>
      <c r="H2166" s="15"/>
    </row>
    <row r="2167" customFormat="false" ht="15" hidden="false" customHeight="true" outlineLevel="0" collapsed="false">
      <c r="A2167" s="15" t="s">
        <v>211</v>
      </c>
      <c r="B2167" s="15" t="s">
        <v>891</v>
      </c>
      <c r="C2167" s="15" t="s">
        <v>835</v>
      </c>
      <c r="D2167" s="15" t="s">
        <v>836</v>
      </c>
      <c r="E2167" s="15"/>
      <c r="F2167" s="15" t="s">
        <v>883</v>
      </c>
      <c r="G2167" s="15" t="s">
        <v>112</v>
      </c>
      <c r="H2167" s="15"/>
    </row>
    <row r="2168" customFormat="false" ht="15" hidden="false" customHeight="true" outlineLevel="0" collapsed="false">
      <c r="A2168" s="15" t="s">
        <v>211</v>
      </c>
      <c r="B2168" s="15" t="s">
        <v>891</v>
      </c>
      <c r="C2168" s="15" t="s">
        <v>837</v>
      </c>
      <c r="D2168" s="15" t="n">
        <v>10000</v>
      </c>
      <c r="E2168" s="15" t="s">
        <v>838</v>
      </c>
      <c r="F2168" s="15" t="s">
        <v>883</v>
      </c>
      <c r="G2168" s="15" t="s">
        <v>112</v>
      </c>
      <c r="H2168" s="15"/>
    </row>
    <row r="2169" customFormat="false" ht="26.25" hidden="false" customHeight="true" outlineLevel="0" collapsed="false">
      <c r="A2169" s="15" t="s">
        <v>211</v>
      </c>
      <c r="B2169" s="15" t="s">
        <v>891</v>
      </c>
      <c r="C2169" s="15" t="s">
        <v>839</v>
      </c>
      <c r="D2169" s="15" t="s">
        <v>840</v>
      </c>
      <c r="E2169" s="15"/>
      <c r="F2169" s="15" t="s">
        <v>883</v>
      </c>
      <c r="G2169" s="15" t="s">
        <v>112</v>
      </c>
      <c r="H2169" s="15"/>
    </row>
    <row r="2170" customFormat="false" ht="15" hidden="false" customHeight="true" outlineLevel="0" collapsed="false">
      <c r="A2170" s="15" t="s">
        <v>211</v>
      </c>
      <c r="B2170" s="15" t="s">
        <v>891</v>
      </c>
      <c r="C2170" s="15" t="s">
        <v>841</v>
      </c>
      <c r="D2170" s="15" t="s">
        <v>842</v>
      </c>
      <c r="E2170" s="15"/>
      <c r="F2170" s="15" t="s">
        <v>883</v>
      </c>
      <c r="G2170" s="15" t="s">
        <v>112</v>
      </c>
      <c r="H2170" s="15"/>
    </row>
    <row r="2171" customFormat="false" ht="15" hidden="false" customHeight="true" outlineLevel="0" collapsed="false">
      <c r="A2171" s="15" t="s">
        <v>211</v>
      </c>
      <c r="B2171" s="15" t="s">
        <v>891</v>
      </c>
      <c r="C2171" s="15" t="s">
        <v>843</v>
      </c>
      <c r="D2171" s="15" t="s">
        <v>844</v>
      </c>
      <c r="E2171" s="15"/>
      <c r="F2171" s="15" t="s">
        <v>876</v>
      </c>
      <c r="G2171" s="15" t="s">
        <v>112</v>
      </c>
      <c r="H2171" s="15"/>
    </row>
    <row r="2172" customFormat="false" ht="15" hidden="false" customHeight="true" outlineLevel="0" collapsed="false">
      <c r="A2172" s="15" t="s">
        <v>211</v>
      </c>
      <c r="B2172" s="15" t="s">
        <v>891</v>
      </c>
      <c r="C2172" s="15" t="s">
        <v>737</v>
      </c>
      <c r="D2172" s="15" t="n">
        <v>180</v>
      </c>
      <c r="E2172" s="15" t="s">
        <v>738</v>
      </c>
      <c r="F2172" s="15" t="s">
        <v>876</v>
      </c>
      <c r="G2172" s="15" t="s">
        <v>112</v>
      </c>
      <c r="H2172" s="15"/>
    </row>
    <row r="2173" customFormat="false" ht="15" hidden="false" customHeight="true" outlineLevel="0" collapsed="false">
      <c r="A2173" s="15" t="s">
        <v>211</v>
      </c>
      <c r="B2173" s="15" t="s">
        <v>891</v>
      </c>
      <c r="C2173" s="15" t="s">
        <v>739</v>
      </c>
      <c r="D2173" s="15" t="n">
        <v>160</v>
      </c>
      <c r="E2173" s="15" t="s">
        <v>738</v>
      </c>
      <c r="F2173" s="15" t="s">
        <v>876</v>
      </c>
      <c r="G2173" s="15" t="s">
        <v>112</v>
      </c>
      <c r="H2173" s="15"/>
    </row>
    <row r="2174" customFormat="false" ht="26.25" hidden="false" customHeight="true" outlineLevel="0" collapsed="false">
      <c r="A2174" s="15" t="s">
        <v>211</v>
      </c>
      <c r="B2174" s="15" t="s">
        <v>891</v>
      </c>
      <c r="C2174" s="15" t="s">
        <v>740</v>
      </c>
      <c r="D2174" s="15" t="n">
        <v>7</v>
      </c>
      <c r="E2174" s="15" t="s">
        <v>741</v>
      </c>
      <c r="F2174" s="15" t="s">
        <v>876</v>
      </c>
      <c r="G2174" s="15" t="s">
        <v>112</v>
      </c>
      <c r="H2174" s="15"/>
    </row>
    <row r="2175" customFormat="false" ht="15" hidden="false" customHeight="true" outlineLevel="0" collapsed="false">
      <c r="A2175" s="15" t="s">
        <v>211</v>
      </c>
      <c r="B2175" s="15" t="s">
        <v>891</v>
      </c>
      <c r="C2175" s="15" t="s">
        <v>742</v>
      </c>
      <c r="D2175" s="15" t="n">
        <v>10.2</v>
      </c>
      <c r="E2175" s="15" t="s">
        <v>741</v>
      </c>
      <c r="F2175" s="15" t="s">
        <v>876</v>
      </c>
      <c r="G2175" s="15" t="s">
        <v>112</v>
      </c>
      <c r="H2175" s="15"/>
    </row>
    <row r="2176" customFormat="false" ht="15" hidden="false" customHeight="true" outlineLevel="0" collapsed="false">
      <c r="A2176" s="15" t="s">
        <v>211</v>
      </c>
      <c r="B2176" s="15" t="s">
        <v>891</v>
      </c>
      <c r="C2176" s="15" t="s">
        <v>733</v>
      </c>
      <c r="D2176" s="15" t="s">
        <v>805</v>
      </c>
      <c r="E2176" s="15"/>
      <c r="F2176" s="15" t="s">
        <v>882</v>
      </c>
      <c r="G2176" s="15" t="s">
        <v>112</v>
      </c>
      <c r="H2176" s="15"/>
    </row>
    <row r="2177" customFormat="false" ht="15" hidden="false" customHeight="true" outlineLevel="0" collapsed="false">
      <c r="A2177" s="15" t="s">
        <v>211</v>
      </c>
      <c r="B2177" s="15" t="s">
        <v>891</v>
      </c>
      <c r="C2177" s="15" t="s">
        <v>785</v>
      </c>
      <c r="D2177" s="15" t="n">
        <v>358</v>
      </c>
      <c r="E2177" s="15" t="s">
        <v>786</v>
      </c>
      <c r="F2177" s="15" t="s">
        <v>879</v>
      </c>
      <c r="G2177" s="15" t="s">
        <v>112</v>
      </c>
      <c r="H2177" s="15"/>
    </row>
    <row r="2178" customFormat="false" ht="15" hidden="false" customHeight="true" outlineLevel="0" collapsed="false">
      <c r="A2178" s="15" t="s">
        <v>211</v>
      </c>
      <c r="B2178" s="15" t="s">
        <v>891</v>
      </c>
      <c r="C2178" s="15" t="s">
        <v>769</v>
      </c>
      <c r="D2178" s="15" t="s">
        <v>892</v>
      </c>
      <c r="E2178" s="15" t="s">
        <v>721</v>
      </c>
      <c r="F2178" s="15" t="s">
        <v>876</v>
      </c>
      <c r="G2178" s="15" t="s">
        <v>112</v>
      </c>
      <c r="H2178" s="15"/>
    </row>
    <row r="2179" customFormat="false" ht="15" hidden="false" customHeight="true" outlineLevel="0" collapsed="false">
      <c r="A2179" s="15" t="s">
        <v>211</v>
      </c>
      <c r="B2179" s="15" t="s">
        <v>891</v>
      </c>
      <c r="C2179" s="15" t="s">
        <v>86</v>
      </c>
      <c r="D2179" s="15" t="n">
        <v>6</v>
      </c>
      <c r="E2179" s="15" t="s">
        <v>721</v>
      </c>
      <c r="F2179" s="15" t="s">
        <v>876</v>
      </c>
      <c r="G2179" s="15" t="s">
        <v>112</v>
      </c>
      <c r="H2179" s="15"/>
    </row>
    <row r="2180" customFormat="false" ht="15" hidden="false" customHeight="true" outlineLevel="0" collapsed="false">
      <c r="A2180" s="15" t="s">
        <v>211</v>
      </c>
      <c r="B2180" s="15" t="s">
        <v>891</v>
      </c>
      <c r="C2180" s="15" t="s">
        <v>764</v>
      </c>
      <c r="D2180" s="15" t="s">
        <v>755</v>
      </c>
      <c r="E2180" s="15"/>
      <c r="F2180" s="15" t="s">
        <v>876</v>
      </c>
      <c r="G2180" s="15" t="s">
        <v>112</v>
      </c>
      <c r="H2180" s="15"/>
    </row>
    <row r="2181" customFormat="false" ht="15" hidden="false" customHeight="true" outlineLevel="0" collapsed="false">
      <c r="A2181" s="15" t="s">
        <v>211</v>
      </c>
      <c r="B2181" s="15" t="s">
        <v>891</v>
      </c>
      <c r="C2181" s="15" t="s">
        <v>749</v>
      </c>
      <c r="D2181" s="15" t="s">
        <v>806</v>
      </c>
      <c r="E2181" s="15"/>
      <c r="F2181" s="15" t="s">
        <v>876</v>
      </c>
      <c r="G2181" s="15" t="s">
        <v>112</v>
      </c>
      <c r="H2181" s="15"/>
    </row>
    <row r="2182" customFormat="false" ht="15" hidden="false" customHeight="true" outlineLevel="0" collapsed="false">
      <c r="A2182" s="15" t="s">
        <v>211</v>
      </c>
      <c r="B2182" s="15" t="s">
        <v>891</v>
      </c>
      <c r="C2182" s="15" t="s">
        <v>752</v>
      </c>
      <c r="D2182" s="15" t="s">
        <v>865</v>
      </c>
      <c r="E2182" s="15"/>
      <c r="F2182" s="15" t="s">
        <v>876</v>
      </c>
      <c r="G2182" s="15" t="s">
        <v>112</v>
      </c>
      <c r="H2182" s="15"/>
    </row>
    <row r="2183" customFormat="false" ht="15" hidden="false" customHeight="true" outlineLevel="0" collapsed="false">
      <c r="A2183" s="15" t="s">
        <v>211</v>
      </c>
      <c r="B2183" s="15" t="s">
        <v>891</v>
      </c>
      <c r="C2183" s="15" t="s">
        <v>754</v>
      </c>
      <c r="D2183" s="15" t="s">
        <v>803</v>
      </c>
      <c r="E2183" s="15"/>
      <c r="F2183" s="15" t="s">
        <v>876</v>
      </c>
      <c r="G2183" s="15" t="s">
        <v>112</v>
      </c>
      <c r="H2183" s="15"/>
    </row>
    <row r="2184" customFormat="false" ht="15" hidden="false" customHeight="true" outlineLevel="0" collapsed="false">
      <c r="A2184" s="15" t="s">
        <v>211</v>
      </c>
      <c r="B2184" s="15" t="s">
        <v>891</v>
      </c>
      <c r="C2184" s="15" t="s">
        <v>884</v>
      </c>
      <c r="D2184" s="15" t="s">
        <v>755</v>
      </c>
      <c r="E2184" s="15"/>
      <c r="F2184" s="15" t="s">
        <v>876</v>
      </c>
      <c r="G2184" s="15" t="s">
        <v>112</v>
      </c>
      <c r="H2184" s="15"/>
    </row>
    <row r="2185" customFormat="false" ht="15" hidden="false" customHeight="true" outlineLevel="0" collapsed="false">
      <c r="A2185" s="15" t="s">
        <v>211</v>
      </c>
      <c r="B2185" s="15" t="s">
        <v>891</v>
      </c>
      <c r="C2185" s="15" t="s">
        <v>756</v>
      </c>
      <c r="D2185" s="15" t="s">
        <v>858</v>
      </c>
      <c r="E2185" s="15"/>
      <c r="F2185" s="15" t="s">
        <v>876</v>
      </c>
      <c r="G2185" s="15" t="s">
        <v>112</v>
      </c>
      <c r="H2185" s="15"/>
    </row>
    <row r="2186" customFormat="false" ht="15" hidden="false" customHeight="true" outlineLevel="0" collapsed="false">
      <c r="A2186" s="15" t="s">
        <v>211</v>
      </c>
      <c r="B2186" s="15" t="s">
        <v>891</v>
      </c>
      <c r="C2186" s="15" t="s">
        <v>757</v>
      </c>
      <c r="D2186" s="15" t="s">
        <v>797</v>
      </c>
      <c r="E2186" s="15"/>
      <c r="F2186" s="15" t="s">
        <v>876</v>
      </c>
      <c r="G2186" s="15" t="s">
        <v>112</v>
      </c>
      <c r="H2186" s="15"/>
    </row>
    <row r="2187" customFormat="false" ht="15" hidden="false" customHeight="true" outlineLevel="0" collapsed="false">
      <c r="A2187" s="15" t="s">
        <v>211</v>
      </c>
      <c r="B2187" s="15" t="s">
        <v>891</v>
      </c>
      <c r="C2187" s="15" t="s">
        <v>759</v>
      </c>
      <c r="D2187" s="15" t="s">
        <v>798</v>
      </c>
      <c r="E2187" s="15"/>
      <c r="F2187" s="15" t="s">
        <v>876</v>
      </c>
      <c r="G2187" s="15" t="s">
        <v>112</v>
      </c>
      <c r="H2187" s="15"/>
    </row>
    <row r="2188" customFormat="false" ht="15" hidden="false" customHeight="true" outlineLevel="0" collapsed="false">
      <c r="A2188" s="15" t="s">
        <v>211</v>
      </c>
      <c r="B2188" s="15" t="s">
        <v>891</v>
      </c>
      <c r="C2188" s="15" t="s">
        <v>761</v>
      </c>
      <c r="D2188" s="15" t="s">
        <v>755</v>
      </c>
      <c r="E2188" s="15"/>
      <c r="F2188" s="15" t="s">
        <v>876</v>
      </c>
      <c r="G2188" s="15" t="s">
        <v>112</v>
      </c>
      <c r="H2188" s="15"/>
    </row>
    <row r="2189" customFormat="false" ht="15" hidden="false" customHeight="true" outlineLevel="0" collapsed="false">
      <c r="A2189" s="15" t="s">
        <v>211</v>
      </c>
      <c r="B2189" s="15" t="s">
        <v>891</v>
      </c>
      <c r="C2189" s="15" t="s">
        <v>762</v>
      </c>
      <c r="D2189" s="15" t="s">
        <v>755</v>
      </c>
      <c r="E2189" s="15"/>
      <c r="F2189" s="15" t="s">
        <v>876</v>
      </c>
      <c r="G2189" s="15" t="s">
        <v>112</v>
      </c>
      <c r="H2189" s="15"/>
    </row>
    <row r="2190" customFormat="false" ht="15" hidden="false" customHeight="true" outlineLevel="0" collapsed="false">
      <c r="A2190" s="15" t="s">
        <v>211</v>
      </c>
      <c r="B2190" s="15" t="s">
        <v>891</v>
      </c>
      <c r="C2190" s="15" t="s">
        <v>92</v>
      </c>
      <c r="D2190" s="15" t="s">
        <v>755</v>
      </c>
      <c r="E2190" s="15"/>
      <c r="F2190" s="15" t="s">
        <v>876</v>
      </c>
      <c r="G2190" s="15" t="s">
        <v>112</v>
      </c>
      <c r="H2190" s="15"/>
    </row>
    <row r="2191" customFormat="false" ht="15" hidden="false" customHeight="true" outlineLevel="0" collapsed="false">
      <c r="A2191" s="15" t="s">
        <v>211</v>
      </c>
      <c r="B2191" s="15" t="s">
        <v>891</v>
      </c>
      <c r="C2191" s="15" t="s">
        <v>848</v>
      </c>
      <c r="D2191" s="15" t="s">
        <v>859</v>
      </c>
      <c r="E2191" s="15"/>
      <c r="F2191" s="15" t="s">
        <v>876</v>
      </c>
      <c r="G2191" s="15" t="s">
        <v>112</v>
      </c>
      <c r="H2191" s="15"/>
    </row>
    <row r="2192" customFormat="false" ht="15" hidden="false" customHeight="true" outlineLevel="0" collapsed="false">
      <c r="A2192" s="15" t="s">
        <v>211</v>
      </c>
      <c r="B2192" s="15" t="s">
        <v>891</v>
      </c>
      <c r="C2192" s="15" t="s">
        <v>747</v>
      </c>
      <c r="D2192" s="15" t="s">
        <v>893</v>
      </c>
      <c r="E2192" s="15"/>
      <c r="F2192" s="15" t="s">
        <v>876</v>
      </c>
      <c r="G2192" s="15" t="s">
        <v>112</v>
      </c>
      <c r="H2192" s="15"/>
    </row>
    <row r="2193" customFormat="false" ht="15" hidden="false" customHeight="true" outlineLevel="0" collapsed="false">
      <c r="A2193" s="15" t="s">
        <v>211</v>
      </c>
      <c r="B2193" s="15" t="s">
        <v>891</v>
      </c>
      <c r="C2193" s="15" t="s">
        <v>851</v>
      </c>
      <c r="D2193" s="15" t="s">
        <v>860</v>
      </c>
      <c r="E2193" s="15"/>
      <c r="F2193" s="15" t="s">
        <v>876</v>
      </c>
      <c r="G2193" s="15" t="s">
        <v>112</v>
      </c>
      <c r="H2193" s="15"/>
    </row>
    <row r="2194" customFormat="false" ht="15" hidden="false" customHeight="true" outlineLevel="0" collapsed="false">
      <c r="A2194" s="15" t="s">
        <v>211</v>
      </c>
      <c r="B2194" s="15" t="s">
        <v>891</v>
      </c>
      <c r="C2194" s="15" t="s">
        <v>853</v>
      </c>
      <c r="D2194" s="15" t="s">
        <v>861</v>
      </c>
      <c r="E2194" s="15"/>
      <c r="F2194" s="15" t="s">
        <v>876</v>
      </c>
      <c r="G2194" s="15" t="s">
        <v>112</v>
      </c>
      <c r="H2194" s="15"/>
    </row>
    <row r="2195" customFormat="false" ht="15" hidden="false" customHeight="true" outlineLevel="0" collapsed="false">
      <c r="A2195" s="15" t="s">
        <v>211</v>
      </c>
      <c r="B2195" s="15" t="s">
        <v>891</v>
      </c>
      <c r="C2195" s="15" t="s">
        <v>854</v>
      </c>
      <c r="D2195" s="15" t="s">
        <v>755</v>
      </c>
      <c r="E2195" s="15"/>
      <c r="F2195" s="15" t="s">
        <v>876</v>
      </c>
      <c r="G2195" s="15" t="s">
        <v>112</v>
      </c>
      <c r="H2195" s="15"/>
    </row>
    <row r="2196" customFormat="false" ht="15" hidden="false" customHeight="true" outlineLevel="0" collapsed="false">
      <c r="A2196" s="15" t="s">
        <v>211</v>
      </c>
      <c r="B2196" s="15" t="s">
        <v>891</v>
      </c>
      <c r="C2196" s="15" t="s">
        <v>855</v>
      </c>
      <c r="D2196" s="15" t="s">
        <v>862</v>
      </c>
      <c r="E2196" s="15"/>
      <c r="F2196" s="15" t="s">
        <v>876</v>
      </c>
      <c r="G2196" s="15" t="s">
        <v>112</v>
      </c>
      <c r="H2196" s="15"/>
    </row>
    <row r="2197" customFormat="false" ht="15" hidden="false" customHeight="true" outlineLevel="0" collapsed="false">
      <c r="A2197" s="15" t="s">
        <v>211</v>
      </c>
      <c r="B2197" s="15" t="s">
        <v>891</v>
      </c>
      <c r="C2197" s="15" t="s">
        <v>857</v>
      </c>
      <c r="D2197" s="15" t="s">
        <v>803</v>
      </c>
      <c r="E2197" s="15"/>
      <c r="F2197" s="15" t="s">
        <v>876</v>
      </c>
      <c r="G2197" s="15" t="s">
        <v>112</v>
      </c>
      <c r="H2197" s="15"/>
    </row>
    <row r="2198" customFormat="false" ht="15" hidden="false" customHeight="true" outlineLevel="0" collapsed="false">
      <c r="A2198" s="15" t="s">
        <v>211</v>
      </c>
      <c r="B2198" s="15" t="s">
        <v>891</v>
      </c>
      <c r="C2198" s="15" t="s">
        <v>886</v>
      </c>
      <c r="D2198" s="15" t="s">
        <v>755</v>
      </c>
      <c r="E2198" s="15"/>
      <c r="F2198" s="15" t="s">
        <v>876</v>
      </c>
      <c r="G2198" s="15" t="s">
        <v>112</v>
      </c>
      <c r="H2198" s="15"/>
    </row>
    <row r="2199" customFormat="false" ht="15" hidden="false" customHeight="true" outlineLevel="0" collapsed="false">
      <c r="A2199" s="15" t="s">
        <v>218</v>
      </c>
      <c r="B2199" s="15" t="s">
        <v>894</v>
      </c>
      <c r="C2199" s="15" t="s">
        <v>714</v>
      </c>
      <c r="D2199" s="15" t="n">
        <v>380</v>
      </c>
      <c r="E2199" s="15" t="s">
        <v>715</v>
      </c>
      <c r="F2199" s="15" t="s">
        <v>876</v>
      </c>
      <c r="G2199" s="15" t="s">
        <v>112</v>
      </c>
      <c r="H2199" s="15"/>
    </row>
    <row r="2200" customFormat="false" ht="15" hidden="false" customHeight="true" outlineLevel="0" collapsed="false">
      <c r="A2200" s="15" t="s">
        <v>218</v>
      </c>
      <c r="B2200" s="15" t="s">
        <v>894</v>
      </c>
      <c r="C2200" s="15" t="s">
        <v>718</v>
      </c>
      <c r="D2200" s="15" t="s">
        <v>113</v>
      </c>
      <c r="E2200" s="15"/>
      <c r="F2200" s="15" t="s">
        <v>876</v>
      </c>
      <c r="G2200" s="15" t="s">
        <v>112</v>
      </c>
      <c r="H2200" s="15"/>
    </row>
    <row r="2201" customFormat="false" ht="15" hidden="false" customHeight="true" outlineLevel="0" collapsed="false">
      <c r="A2201" s="15" t="s">
        <v>218</v>
      </c>
      <c r="B2201" s="15" t="s">
        <v>894</v>
      </c>
      <c r="C2201" s="15" t="s">
        <v>719</v>
      </c>
      <c r="D2201" s="15" t="n">
        <v>20</v>
      </c>
      <c r="E2201" s="15" t="s">
        <v>720</v>
      </c>
      <c r="F2201" s="15" t="s">
        <v>876</v>
      </c>
      <c r="G2201" s="15" t="s">
        <v>112</v>
      </c>
      <c r="H2201" s="15"/>
    </row>
    <row r="2202" customFormat="false" ht="15" hidden="false" customHeight="true" outlineLevel="0" collapsed="false">
      <c r="A2202" s="15" t="s">
        <v>218</v>
      </c>
      <c r="B2202" s="15" t="s">
        <v>894</v>
      </c>
      <c r="C2202" s="15" t="s">
        <v>722</v>
      </c>
      <c r="D2202" s="15" t="s">
        <v>877</v>
      </c>
      <c r="E2202" s="15" t="s">
        <v>723</v>
      </c>
      <c r="F2202" s="15" t="s">
        <v>876</v>
      </c>
      <c r="G2202" s="15" t="s">
        <v>112</v>
      </c>
      <c r="H2202" s="15"/>
    </row>
    <row r="2203" customFormat="false" ht="15" hidden="false" customHeight="true" outlineLevel="0" collapsed="false">
      <c r="A2203" s="15" t="s">
        <v>218</v>
      </c>
      <c r="B2203" s="15" t="s">
        <v>894</v>
      </c>
      <c r="C2203" s="15" t="s">
        <v>724</v>
      </c>
      <c r="D2203" s="15" t="n">
        <v>150</v>
      </c>
      <c r="E2203" s="15" t="s">
        <v>723</v>
      </c>
      <c r="F2203" s="15" t="s">
        <v>876</v>
      </c>
      <c r="G2203" s="15" t="s">
        <v>112</v>
      </c>
      <c r="H2203" s="15"/>
    </row>
    <row r="2204" customFormat="false" ht="15" hidden="false" customHeight="true" outlineLevel="0" collapsed="false">
      <c r="A2204" s="15" t="s">
        <v>218</v>
      </c>
      <c r="B2204" s="15" t="s">
        <v>894</v>
      </c>
      <c r="C2204" s="15" t="s">
        <v>84</v>
      </c>
      <c r="D2204" s="15" t="n">
        <v>205</v>
      </c>
      <c r="E2204" s="15" t="s">
        <v>725</v>
      </c>
      <c r="F2204" s="15" t="s">
        <v>876</v>
      </c>
      <c r="G2204" s="15" t="s">
        <v>112</v>
      </c>
      <c r="H2204" s="15"/>
    </row>
    <row r="2205" customFormat="false" ht="15" hidden="false" customHeight="true" outlineLevel="0" collapsed="false">
      <c r="A2205" s="15" t="s">
        <v>218</v>
      </c>
      <c r="B2205" s="15" t="s">
        <v>894</v>
      </c>
      <c r="C2205" s="15" t="s">
        <v>726</v>
      </c>
      <c r="D2205" s="15" t="n">
        <v>4737</v>
      </c>
      <c r="E2205" s="15" t="s">
        <v>725</v>
      </c>
      <c r="F2205" s="15" t="s">
        <v>876</v>
      </c>
      <c r="G2205" s="15" t="s">
        <v>112</v>
      </c>
      <c r="H2205" s="15"/>
    </row>
    <row r="2206" customFormat="false" ht="15" hidden="false" customHeight="true" outlineLevel="0" collapsed="false">
      <c r="A2206" s="15" t="s">
        <v>218</v>
      </c>
      <c r="B2206" s="15" t="s">
        <v>894</v>
      </c>
      <c r="C2206" s="15" t="s">
        <v>727</v>
      </c>
      <c r="D2206" s="15" t="n">
        <v>1900</v>
      </c>
      <c r="E2206" s="15" t="s">
        <v>725</v>
      </c>
      <c r="F2206" s="15" t="s">
        <v>876</v>
      </c>
      <c r="G2206" s="15" t="s">
        <v>112</v>
      </c>
      <c r="H2206" s="15"/>
    </row>
    <row r="2207" customFormat="false" ht="15" hidden="false" customHeight="true" outlineLevel="0" collapsed="false">
      <c r="A2207" s="15" t="s">
        <v>218</v>
      </c>
      <c r="B2207" s="15" t="s">
        <v>894</v>
      </c>
      <c r="C2207" s="15" t="s">
        <v>728</v>
      </c>
      <c r="D2207" s="15" t="n">
        <v>1747</v>
      </c>
      <c r="E2207" s="15" t="s">
        <v>725</v>
      </c>
      <c r="F2207" s="15" t="s">
        <v>876</v>
      </c>
      <c r="G2207" s="15" t="s">
        <v>112</v>
      </c>
      <c r="H2207" s="15"/>
    </row>
    <row r="2208" customFormat="false" ht="15" hidden="false" customHeight="true" outlineLevel="0" collapsed="false">
      <c r="A2208" s="15" t="s">
        <v>218</v>
      </c>
      <c r="B2208" s="15" t="s">
        <v>894</v>
      </c>
      <c r="C2208" s="15" t="s">
        <v>729</v>
      </c>
      <c r="D2208" s="15" t="n">
        <v>2762</v>
      </c>
      <c r="E2208" s="15" t="s">
        <v>725</v>
      </c>
      <c r="F2208" s="15" t="s">
        <v>876</v>
      </c>
      <c r="G2208" s="15" t="s">
        <v>112</v>
      </c>
      <c r="H2208" s="15"/>
    </row>
    <row r="2209" customFormat="false" ht="15" hidden="false" customHeight="true" outlineLevel="0" collapsed="false">
      <c r="A2209" s="15" t="s">
        <v>218</v>
      </c>
      <c r="B2209" s="15" t="s">
        <v>894</v>
      </c>
      <c r="C2209" s="15" t="s">
        <v>730</v>
      </c>
      <c r="D2209" s="15" t="n">
        <v>10</v>
      </c>
      <c r="E2209" s="15" t="s">
        <v>731</v>
      </c>
      <c r="F2209" s="15" t="s">
        <v>876</v>
      </c>
      <c r="G2209" s="15" t="s">
        <v>112</v>
      </c>
      <c r="H2209" s="15"/>
    </row>
    <row r="2210" customFormat="false" ht="15" hidden="false" customHeight="true" outlineLevel="0" collapsed="false">
      <c r="A2210" s="15" t="s">
        <v>218</v>
      </c>
      <c r="B2210" s="15" t="s">
        <v>894</v>
      </c>
      <c r="C2210" s="15" t="s">
        <v>776</v>
      </c>
      <c r="D2210" s="15" t="s">
        <v>878</v>
      </c>
      <c r="E2210" s="15"/>
      <c r="F2210" s="15" t="s">
        <v>876</v>
      </c>
      <c r="G2210" s="15" t="s">
        <v>112</v>
      </c>
      <c r="H2210" s="15"/>
    </row>
    <row r="2211" customFormat="false" ht="15" hidden="false" customHeight="true" outlineLevel="0" collapsed="false">
      <c r="A2211" s="15" t="s">
        <v>218</v>
      </c>
      <c r="B2211" s="15" t="s">
        <v>894</v>
      </c>
      <c r="C2211" s="15" t="s">
        <v>780</v>
      </c>
      <c r="D2211" s="15" t="s">
        <v>781</v>
      </c>
      <c r="E2211" s="15"/>
      <c r="F2211" s="15" t="s">
        <v>876</v>
      </c>
      <c r="G2211" s="15" t="s">
        <v>112</v>
      </c>
      <c r="H2211" s="15"/>
    </row>
    <row r="2212" customFormat="false" ht="15" hidden="false" customHeight="true" outlineLevel="0" collapsed="false">
      <c r="A2212" s="15" t="s">
        <v>218</v>
      </c>
      <c r="B2212" s="15" t="s">
        <v>894</v>
      </c>
      <c r="C2212" s="15" t="s">
        <v>789</v>
      </c>
      <c r="D2212" s="15" t="s">
        <v>790</v>
      </c>
      <c r="E2212" s="15"/>
      <c r="F2212" s="15" t="s">
        <v>876</v>
      </c>
      <c r="G2212" s="15" t="s">
        <v>112</v>
      </c>
      <c r="H2212" s="15"/>
    </row>
    <row r="2213" customFormat="false" ht="15" hidden="false" customHeight="true" outlineLevel="0" collapsed="false">
      <c r="A2213" s="15" t="s">
        <v>218</v>
      </c>
      <c r="B2213" s="15" t="s">
        <v>894</v>
      </c>
      <c r="C2213" s="15" t="s">
        <v>784</v>
      </c>
      <c r="D2213" s="15" t="n">
        <v>11</v>
      </c>
      <c r="E2213" s="15" t="s">
        <v>738</v>
      </c>
      <c r="F2213" s="15" t="s">
        <v>879</v>
      </c>
      <c r="G2213" s="15" t="s">
        <v>112</v>
      </c>
      <c r="H2213" s="15"/>
    </row>
    <row r="2214" customFormat="false" ht="15" hidden="false" customHeight="true" outlineLevel="0" collapsed="false">
      <c r="A2214" s="15" t="s">
        <v>218</v>
      </c>
      <c r="B2214" s="15" t="s">
        <v>894</v>
      </c>
      <c r="C2214" s="15" t="s">
        <v>782</v>
      </c>
      <c r="D2214" s="15" t="n">
        <v>36</v>
      </c>
      <c r="E2214" s="15" t="s">
        <v>783</v>
      </c>
      <c r="F2214" s="15" t="s">
        <v>879</v>
      </c>
      <c r="G2214" s="15" t="s">
        <v>112</v>
      </c>
      <c r="H2214" s="15"/>
    </row>
    <row r="2215" customFormat="false" ht="15" hidden="false" customHeight="true" outlineLevel="0" collapsed="false">
      <c r="A2215" s="15" t="s">
        <v>218</v>
      </c>
      <c r="B2215" s="15" t="s">
        <v>894</v>
      </c>
      <c r="C2215" s="15" t="s">
        <v>90</v>
      </c>
      <c r="D2215" s="15" t="s">
        <v>880</v>
      </c>
      <c r="E2215" s="15"/>
      <c r="F2215" s="15" t="s">
        <v>876</v>
      </c>
      <c r="G2215" s="15" t="s">
        <v>112</v>
      </c>
      <c r="H2215" s="15"/>
    </row>
    <row r="2216" customFormat="false" ht="26.25" hidden="false" customHeight="true" outlineLevel="0" collapsed="false">
      <c r="A2216" s="15" t="s">
        <v>218</v>
      </c>
      <c r="B2216" s="15" t="s">
        <v>894</v>
      </c>
      <c r="C2216" s="15" t="s">
        <v>875</v>
      </c>
      <c r="D2216" s="15" t="n">
        <v>3.2</v>
      </c>
      <c r="E2216" s="15"/>
      <c r="F2216" s="15" t="s">
        <v>876</v>
      </c>
      <c r="G2216" s="15" t="s">
        <v>819</v>
      </c>
      <c r="H2216" s="15" t="s">
        <v>881</v>
      </c>
    </row>
    <row r="2217" customFormat="false" ht="15" hidden="false" customHeight="true" outlineLevel="0" collapsed="false">
      <c r="A2217" s="15" t="s">
        <v>218</v>
      </c>
      <c r="B2217" s="15" t="s">
        <v>894</v>
      </c>
      <c r="C2217" s="15" t="s">
        <v>772</v>
      </c>
      <c r="D2217" s="15" t="n">
        <v>60000</v>
      </c>
      <c r="E2217" s="15" t="s">
        <v>773</v>
      </c>
      <c r="F2217" s="15" t="s">
        <v>882</v>
      </c>
      <c r="G2217" s="15" t="s">
        <v>112</v>
      </c>
      <c r="H2217" s="15"/>
    </row>
    <row r="2218" customFormat="false" ht="15" hidden="false" customHeight="true" outlineLevel="0" collapsed="false">
      <c r="A2218" s="15" t="s">
        <v>218</v>
      </c>
      <c r="B2218" s="15" t="s">
        <v>894</v>
      </c>
      <c r="C2218" s="15" t="s">
        <v>775</v>
      </c>
      <c r="D2218" s="15" t="n">
        <v>75000</v>
      </c>
      <c r="E2218" s="15" t="s">
        <v>773</v>
      </c>
      <c r="F2218" s="15" t="s">
        <v>882</v>
      </c>
      <c r="G2218" s="15" t="s">
        <v>112</v>
      </c>
      <c r="H2218" s="15"/>
    </row>
    <row r="2219" customFormat="false" ht="26.25" hidden="false" customHeight="true" outlineLevel="0" collapsed="false">
      <c r="A2219" s="15" t="s">
        <v>218</v>
      </c>
      <c r="B2219" s="15" t="s">
        <v>894</v>
      </c>
      <c r="C2219" s="15" t="s">
        <v>98</v>
      </c>
      <c r="D2219" s="15" t="s">
        <v>732</v>
      </c>
      <c r="E2219" s="15"/>
      <c r="F2219" s="15" t="s">
        <v>876</v>
      </c>
      <c r="G2219" s="15" t="s">
        <v>112</v>
      </c>
      <c r="H2219" s="15"/>
    </row>
    <row r="2220" customFormat="false" ht="26.25" hidden="false" customHeight="true" outlineLevel="0" collapsed="false">
      <c r="A2220" s="15" t="s">
        <v>218</v>
      </c>
      <c r="B2220" s="15" t="s">
        <v>894</v>
      </c>
      <c r="C2220" s="15" t="s">
        <v>830</v>
      </c>
      <c r="D2220" s="15" t="s">
        <v>831</v>
      </c>
      <c r="E2220" s="15"/>
      <c r="F2220" s="15" t="s">
        <v>883</v>
      </c>
      <c r="G2220" s="15" t="s">
        <v>112</v>
      </c>
      <c r="H2220" s="15"/>
    </row>
    <row r="2221" customFormat="false" ht="15" hidden="false" customHeight="true" outlineLevel="0" collapsed="false">
      <c r="A2221" s="15" t="s">
        <v>218</v>
      </c>
      <c r="B2221" s="15" t="s">
        <v>894</v>
      </c>
      <c r="C2221" s="15" t="s">
        <v>833</v>
      </c>
      <c r="D2221" s="15" t="s">
        <v>834</v>
      </c>
      <c r="E2221" s="15"/>
      <c r="F2221" s="15" t="s">
        <v>883</v>
      </c>
      <c r="G2221" s="15" t="s">
        <v>112</v>
      </c>
      <c r="H2221" s="15"/>
    </row>
    <row r="2222" customFormat="false" ht="15" hidden="false" customHeight="true" outlineLevel="0" collapsed="false">
      <c r="A2222" s="15" t="s">
        <v>218</v>
      </c>
      <c r="B2222" s="15" t="s">
        <v>894</v>
      </c>
      <c r="C2222" s="15" t="s">
        <v>835</v>
      </c>
      <c r="D2222" s="15" t="s">
        <v>836</v>
      </c>
      <c r="E2222" s="15"/>
      <c r="F2222" s="15" t="s">
        <v>883</v>
      </c>
      <c r="G2222" s="15" t="s">
        <v>112</v>
      </c>
      <c r="H2222" s="15"/>
    </row>
    <row r="2223" customFormat="false" ht="15" hidden="false" customHeight="true" outlineLevel="0" collapsed="false">
      <c r="A2223" s="15" t="s">
        <v>218</v>
      </c>
      <c r="B2223" s="15" t="s">
        <v>894</v>
      </c>
      <c r="C2223" s="15" t="s">
        <v>837</v>
      </c>
      <c r="D2223" s="15" t="n">
        <v>10000</v>
      </c>
      <c r="E2223" s="15" t="s">
        <v>838</v>
      </c>
      <c r="F2223" s="15" t="s">
        <v>883</v>
      </c>
      <c r="G2223" s="15" t="s">
        <v>112</v>
      </c>
      <c r="H2223" s="15"/>
    </row>
    <row r="2224" customFormat="false" ht="26.25" hidden="false" customHeight="true" outlineLevel="0" collapsed="false">
      <c r="A2224" s="15" t="s">
        <v>218</v>
      </c>
      <c r="B2224" s="15" t="s">
        <v>894</v>
      </c>
      <c r="C2224" s="15" t="s">
        <v>839</v>
      </c>
      <c r="D2224" s="15" t="s">
        <v>840</v>
      </c>
      <c r="E2224" s="15"/>
      <c r="F2224" s="15" t="s">
        <v>883</v>
      </c>
      <c r="G2224" s="15" t="s">
        <v>112</v>
      </c>
      <c r="H2224" s="15"/>
    </row>
    <row r="2225" customFormat="false" ht="15" hidden="false" customHeight="true" outlineLevel="0" collapsed="false">
      <c r="A2225" s="15" t="s">
        <v>218</v>
      </c>
      <c r="B2225" s="15" t="s">
        <v>894</v>
      </c>
      <c r="C2225" s="15" t="s">
        <v>841</v>
      </c>
      <c r="D2225" s="15" t="s">
        <v>842</v>
      </c>
      <c r="E2225" s="15"/>
      <c r="F2225" s="15" t="s">
        <v>883</v>
      </c>
      <c r="G2225" s="15" t="s">
        <v>112</v>
      </c>
      <c r="H2225" s="15"/>
    </row>
    <row r="2226" customFormat="false" ht="15" hidden="false" customHeight="true" outlineLevel="0" collapsed="false">
      <c r="A2226" s="15" t="s">
        <v>218</v>
      </c>
      <c r="B2226" s="15" t="s">
        <v>894</v>
      </c>
      <c r="C2226" s="15" t="s">
        <v>843</v>
      </c>
      <c r="D2226" s="15" t="s">
        <v>844</v>
      </c>
      <c r="E2226" s="15"/>
      <c r="F2226" s="15" t="s">
        <v>876</v>
      </c>
      <c r="G2226" s="15" t="s">
        <v>112</v>
      </c>
      <c r="H2226" s="15"/>
    </row>
    <row r="2227" customFormat="false" ht="15" hidden="false" customHeight="true" outlineLevel="0" collapsed="false">
      <c r="A2227" s="15" t="s">
        <v>218</v>
      </c>
      <c r="B2227" s="15" t="s">
        <v>894</v>
      </c>
      <c r="C2227" s="15" t="s">
        <v>737</v>
      </c>
      <c r="D2227" s="15" t="n">
        <v>210</v>
      </c>
      <c r="E2227" s="15" t="s">
        <v>738</v>
      </c>
      <c r="F2227" s="15" t="s">
        <v>876</v>
      </c>
      <c r="G2227" s="15" t="s">
        <v>112</v>
      </c>
      <c r="H2227" s="15"/>
    </row>
    <row r="2228" customFormat="false" ht="15" hidden="false" customHeight="true" outlineLevel="0" collapsed="false">
      <c r="A2228" s="15" t="s">
        <v>218</v>
      </c>
      <c r="B2228" s="15" t="s">
        <v>894</v>
      </c>
      <c r="C2228" s="15" t="s">
        <v>739</v>
      </c>
      <c r="D2228" s="15" t="n">
        <v>180</v>
      </c>
      <c r="E2228" s="15" t="s">
        <v>738</v>
      </c>
      <c r="F2228" s="15" t="s">
        <v>876</v>
      </c>
      <c r="G2228" s="15" t="s">
        <v>112</v>
      </c>
      <c r="H2228" s="15"/>
    </row>
    <row r="2229" customFormat="false" ht="26.25" hidden="false" customHeight="true" outlineLevel="0" collapsed="false">
      <c r="A2229" s="15" t="s">
        <v>218</v>
      </c>
      <c r="B2229" s="15" t="s">
        <v>894</v>
      </c>
      <c r="C2229" s="15" t="s">
        <v>740</v>
      </c>
      <c r="D2229" s="15" t="n">
        <v>8</v>
      </c>
      <c r="E2229" s="15" t="s">
        <v>741</v>
      </c>
      <c r="F2229" s="15" t="s">
        <v>876</v>
      </c>
      <c r="G2229" s="15" t="s">
        <v>112</v>
      </c>
      <c r="H2229" s="15"/>
    </row>
    <row r="2230" customFormat="false" ht="15" hidden="false" customHeight="true" outlineLevel="0" collapsed="false">
      <c r="A2230" s="15" t="s">
        <v>218</v>
      </c>
      <c r="B2230" s="15" t="s">
        <v>894</v>
      </c>
      <c r="C2230" s="15" t="s">
        <v>742</v>
      </c>
      <c r="D2230" s="15" t="n">
        <v>11.7</v>
      </c>
      <c r="E2230" s="15" t="s">
        <v>741</v>
      </c>
      <c r="F2230" s="15" t="s">
        <v>876</v>
      </c>
      <c r="G2230" s="15" t="s">
        <v>112</v>
      </c>
      <c r="H2230" s="15"/>
    </row>
    <row r="2231" customFormat="false" ht="15" hidden="false" customHeight="true" outlineLevel="0" collapsed="false">
      <c r="A2231" s="15" t="s">
        <v>218</v>
      </c>
      <c r="B2231" s="15" t="s">
        <v>894</v>
      </c>
      <c r="C2231" s="15" t="s">
        <v>733</v>
      </c>
      <c r="D2231" s="15" t="s">
        <v>808</v>
      </c>
      <c r="E2231" s="15"/>
      <c r="F2231" s="15" t="s">
        <v>882</v>
      </c>
      <c r="G2231" s="15" t="s">
        <v>112</v>
      </c>
      <c r="H2231" s="15"/>
    </row>
    <row r="2232" customFormat="false" ht="15" hidden="false" customHeight="true" outlineLevel="0" collapsed="false">
      <c r="A2232" s="15" t="s">
        <v>218</v>
      </c>
      <c r="B2232" s="15" t="s">
        <v>894</v>
      </c>
      <c r="C2232" s="15" t="s">
        <v>785</v>
      </c>
      <c r="D2232" s="15" t="n">
        <v>409</v>
      </c>
      <c r="E2232" s="15" t="s">
        <v>786</v>
      </c>
      <c r="F2232" s="15" t="s">
        <v>879</v>
      </c>
      <c r="G2232" s="15" t="s">
        <v>112</v>
      </c>
      <c r="H2232" s="15"/>
    </row>
    <row r="2233" customFormat="false" ht="26.25" hidden="false" customHeight="true" outlineLevel="0" collapsed="false">
      <c r="A2233" s="15" t="s">
        <v>218</v>
      </c>
      <c r="B2233" s="15" t="s">
        <v>894</v>
      </c>
      <c r="C2233" s="15" t="s">
        <v>887</v>
      </c>
      <c r="D2233" s="15" t="s">
        <v>888</v>
      </c>
      <c r="E2233" s="15"/>
      <c r="F2233" s="15" t="s">
        <v>889</v>
      </c>
      <c r="G2233" s="15" t="s">
        <v>112</v>
      </c>
      <c r="H2233" s="15" t="s">
        <v>890</v>
      </c>
    </row>
    <row r="2234" customFormat="false" ht="15" hidden="false" customHeight="true" outlineLevel="0" collapsed="false">
      <c r="A2234" s="15" t="s">
        <v>218</v>
      </c>
      <c r="B2234" s="15" t="s">
        <v>894</v>
      </c>
      <c r="C2234" s="15" t="s">
        <v>769</v>
      </c>
      <c r="D2234" s="15" t="s">
        <v>892</v>
      </c>
      <c r="E2234" s="15" t="s">
        <v>721</v>
      </c>
      <c r="F2234" s="15" t="s">
        <v>876</v>
      </c>
      <c r="G2234" s="15" t="s">
        <v>112</v>
      </c>
      <c r="H2234" s="15"/>
    </row>
    <row r="2235" customFormat="false" ht="15" hidden="false" customHeight="true" outlineLevel="0" collapsed="false">
      <c r="A2235" s="15" t="s">
        <v>218</v>
      </c>
      <c r="B2235" s="15" t="s">
        <v>894</v>
      </c>
      <c r="C2235" s="15" t="s">
        <v>86</v>
      </c>
      <c r="D2235" s="15" t="n">
        <v>6</v>
      </c>
      <c r="E2235" s="15" t="s">
        <v>721</v>
      </c>
      <c r="F2235" s="15" t="s">
        <v>876</v>
      </c>
      <c r="G2235" s="15" t="s">
        <v>112</v>
      </c>
      <c r="H2235" s="15"/>
    </row>
    <row r="2236" customFormat="false" ht="15" hidden="false" customHeight="true" outlineLevel="0" collapsed="false">
      <c r="A2236" s="15" t="s">
        <v>218</v>
      </c>
      <c r="B2236" s="15" t="s">
        <v>894</v>
      </c>
      <c r="C2236" s="15" t="s">
        <v>764</v>
      </c>
      <c r="D2236" s="15" t="s">
        <v>755</v>
      </c>
      <c r="E2236" s="15"/>
      <c r="F2236" s="15" t="s">
        <v>876</v>
      </c>
      <c r="G2236" s="15" t="s">
        <v>112</v>
      </c>
      <c r="H2236" s="15"/>
    </row>
    <row r="2237" customFormat="false" ht="15" hidden="false" customHeight="true" outlineLevel="0" collapsed="false">
      <c r="A2237" s="15" t="s">
        <v>218</v>
      </c>
      <c r="B2237" s="15" t="s">
        <v>894</v>
      </c>
      <c r="C2237" s="15" t="s">
        <v>749</v>
      </c>
      <c r="D2237" s="15" t="s">
        <v>806</v>
      </c>
      <c r="E2237" s="15"/>
      <c r="F2237" s="15" t="s">
        <v>876</v>
      </c>
      <c r="G2237" s="15" t="s">
        <v>112</v>
      </c>
      <c r="H2237" s="15"/>
    </row>
    <row r="2238" customFormat="false" ht="15" hidden="false" customHeight="true" outlineLevel="0" collapsed="false">
      <c r="A2238" s="15" t="s">
        <v>218</v>
      </c>
      <c r="B2238" s="15" t="s">
        <v>894</v>
      </c>
      <c r="C2238" s="15" t="s">
        <v>752</v>
      </c>
      <c r="D2238" s="15" t="s">
        <v>865</v>
      </c>
      <c r="E2238" s="15"/>
      <c r="F2238" s="15" t="s">
        <v>876</v>
      </c>
      <c r="G2238" s="15" t="s">
        <v>112</v>
      </c>
      <c r="H2238" s="15"/>
    </row>
    <row r="2239" customFormat="false" ht="15" hidden="false" customHeight="true" outlineLevel="0" collapsed="false">
      <c r="A2239" s="15" t="s">
        <v>218</v>
      </c>
      <c r="B2239" s="15" t="s">
        <v>894</v>
      </c>
      <c r="C2239" s="15" t="s">
        <v>754</v>
      </c>
      <c r="D2239" s="15" t="s">
        <v>803</v>
      </c>
      <c r="E2239" s="15"/>
      <c r="F2239" s="15" t="s">
        <v>876</v>
      </c>
      <c r="G2239" s="15" t="s">
        <v>112</v>
      </c>
      <c r="H2239" s="15"/>
    </row>
    <row r="2240" customFormat="false" ht="15" hidden="false" customHeight="true" outlineLevel="0" collapsed="false">
      <c r="A2240" s="15" t="s">
        <v>218</v>
      </c>
      <c r="B2240" s="15" t="s">
        <v>894</v>
      </c>
      <c r="C2240" s="15" t="s">
        <v>884</v>
      </c>
      <c r="D2240" s="15" t="s">
        <v>755</v>
      </c>
      <c r="E2240" s="15"/>
      <c r="F2240" s="15" t="s">
        <v>876</v>
      </c>
      <c r="G2240" s="15" t="s">
        <v>112</v>
      </c>
      <c r="H2240" s="15"/>
    </row>
    <row r="2241" customFormat="false" ht="15" hidden="false" customHeight="true" outlineLevel="0" collapsed="false">
      <c r="A2241" s="15" t="s">
        <v>218</v>
      </c>
      <c r="B2241" s="15" t="s">
        <v>894</v>
      </c>
      <c r="C2241" s="15" t="s">
        <v>756</v>
      </c>
      <c r="D2241" s="15" t="s">
        <v>858</v>
      </c>
      <c r="E2241" s="15"/>
      <c r="F2241" s="15" t="s">
        <v>876</v>
      </c>
      <c r="G2241" s="15" t="s">
        <v>112</v>
      </c>
      <c r="H2241" s="15"/>
    </row>
    <row r="2242" customFormat="false" ht="15" hidden="false" customHeight="true" outlineLevel="0" collapsed="false">
      <c r="A2242" s="15" t="s">
        <v>218</v>
      </c>
      <c r="B2242" s="15" t="s">
        <v>894</v>
      </c>
      <c r="C2242" s="15" t="s">
        <v>757</v>
      </c>
      <c r="D2242" s="15" t="s">
        <v>797</v>
      </c>
      <c r="E2242" s="15"/>
      <c r="F2242" s="15" t="s">
        <v>876</v>
      </c>
      <c r="G2242" s="15" t="s">
        <v>112</v>
      </c>
      <c r="H2242" s="15"/>
    </row>
    <row r="2243" customFormat="false" ht="15" hidden="false" customHeight="true" outlineLevel="0" collapsed="false">
      <c r="A2243" s="15" t="s">
        <v>218</v>
      </c>
      <c r="B2243" s="15" t="s">
        <v>894</v>
      </c>
      <c r="C2243" s="15" t="s">
        <v>759</v>
      </c>
      <c r="D2243" s="15" t="s">
        <v>798</v>
      </c>
      <c r="E2243" s="15"/>
      <c r="F2243" s="15" t="s">
        <v>876</v>
      </c>
      <c r="G2243" s="15" t="s">
        <v>112</v>
      </c>
      <c r="H2243" s="15"/>
    </row>
    <row r="2244" customFormat="false" ht="15" hidden="false" customHeight="true" outlineLevel="0" collapsed="false">
      <c r="A2244" s="15" t="s">
        <v>218</v>
      </c>
      <c r="B2244" s="15" t="s">
        <v>894</v>
      </c>
      <c r="C2244" s="15" t="s">
        <v>761</v>
      </c>
      <c r="D2244" s="15" t="s">
        <v>755</v>
      </c>
      <c r="E2244" s="15"/>
      <c r="F2244" s="15" t="s">
        <v>876</v>
      </c>
      <c r="G2244" s="15" t="s">
        <v>112</v>
      </c>
      <c r="H2244" s="15"/>
    </row>
    <row r="2245" customFormat="false" ht="15" hidden="false" customHeight="true" outlineLevel="0" collapsed="false">
      <c r="A2245" s="15" t="s">
        <v>218</v>
      </c>
      <c r="B2245" s="15" t="s">
        <v>894</v>
      </c>
      <c r="C2245" s="15" t="s">
        <v>762</v>
      </c>
      <c r="D2245" s="15" t="s">
        <v>755</v>
      </c>
      <c r="E2245" s="15"/>
      <c r="F2245" s="15" t="s">
        <v>876</v>
      </c>
      <c r="G2245" s="15" t="s">
        <v>112</v>
      </c>
      <c r="H2245" s="15"/>
    </row>
    <row r="2246" customFormat="false" ht="15" hidden="false" customHeight="true" outlineLevel="0" collapsed="false">
      <c r="A2246" s="15" t="s">
        <v>218</v>
      </c>
      <c r="B2246" s="15" t="s">
        <v>894</v>
      </c>
      <c r="C2246" s="15" t="s">
        <v>92</v>
      </c>
      <c r="D2246" s="15" t="s">
        <v>755</v>
      </c>
      <c r="E2246" s="15"/>
      <c r="F2246" s="15" t="s">
        <v>876</v>
      </c>
      <c r="G2246" s="15" t="s">
        <v>112</v>
      </c>
      <c r="H2246" s="15"/>
    </row>
    <row r="2247" customFormat="false" ht="15" hidden="false" customHeight="true" outlineLevel="0" collapsed="false">
      <c r="A2247" s="15" t="s">
        <v>218</v>
      </c>
      <c r="B2247" s="15" t="s">
        <v>894</v>
      </c>
      <c r="C2247" s="15" t="s">
        <v>848</v>
      </c>
      <c r="D2247" s="15" t="s">
        <v>859</v>
      </c>
      <c r="E2247" s="15"/>
      <c r="F2247" s="15" t="s">
        <v>876</v>
      </c>
      <c r="G2247" s="15" t="s">
        <v>112</v>
      </c>
      <c r="H2247" s="15"/>
    </row>
    <row r="2248" customFormat="false" ht="15" hidden="false" customHeight="true" outlineLevel="0" collapsed="false">
      <c r="A2248" s="15" t="s">
        <v>218</v>
      </c>
      <c r="B2248" s="15" t="s">
        <v>894</v>
      </c>
      <c r="C2248" s="15" t="s">
        <v>747</v>
      </c>
      <c r="D2248" s="15" t="s">
        <v>893</v>
      </c>
      <c r="E2248" s="15"/>
      <c r="F2248" s="15" t="s">
        <v>876</v>
      </c>
      <c r="G2248" s="15" t="s">
        <v>112</v>
      </c>
      <c r="H2248" s="15"/>
    </row>
    <row r="2249" customFormat="false" ht="15" hidden="false" customHeight="true" outlineLevel="0" collapsed="false">
      <c r="A2249" s="15" t="s">
        <v>218</v>
      </c>
      <c r="B2249" s="15" t="s">
        <v>894</v>
      </c>
      <c r="C2249" s="15" t="s">
        <v>851</v>
      </c>
      <c r="D2249" s="15" t="s">
        <v>860</v>
      </c>
      <c r="E2249" s="15"/>
      <c r="F2249" s="15" t="s">
        <v>876</v>
      </c>
      <c r="G2249" s="15" t="s">
        <v>112</v>
      </c>
      <c r="H2249" s="15"/>
    </row>
    <row r="2250" customFormat="false" ht="15" hidden="false" customHeight="true" outlineLevel="0" collapsed="false">
      <c r="A2250" s="15" t="s">
        <v>218</v>
      </c>
      <c r="B2250" s="15" t="s">
        <v>894</v>
      </c>
      <c r="C2250" s="15" t="s">
        <v>853</v>
      </c>
      <c r="D2250" s="15" t="s">
        <v>861</v>
      </c>
      <c r="E2250" s="15"/>
      <c r="F2250" s="15" t="s">
        <v>876</v>
      </c>
      <c r="G2250" s="15" t="s">
        <v>112</v>
      </c>
      <c r="H2250" s="15"/>
    </row>
    <row r="2251" customFormat="false" ht="15" hidden="false" customHeight="true" outlineLevel="0" collapsed="false">
      <c r="A2251" s="15" t="s">
        <v>218</v>
      </c>
      <c r="B2251" s="15" t="s">
        <v>894</v>
      </c>
      <c r="C2251" s="15" t="s">
        <v>854</v>
      </c>
      <c r="D2251" s="15" t="s">
        <v>755</v>
      </c>
      <c r="E2251" s="15"/>
      <c r="F2251" s="15" t="s">
        <v>876</v>
      </c>
      <c r="G2251" s="15" t="s">
        <v>112</v>
      </c>
      <c r="H2251" s="15"/>
    </row>
    <row r="2252" customFormat="false" ht="15" hidden="false" customHeight="true" outlineLevel="0" collapsed="false">
      <c r="A2252" s="15" t="s">
        <v>218</v>
      </c>
      <c r="B2252" s="15" t="s">
        <v>894</v>
      </c>
      <c r="C2252" s="15" t="s">
        <v>855</v>
      </c>
      <c r="D2252" s="15" t="s">
        <v>862</v>
      </c>
      <c r="E2252" s="15"/>
      <c r="F2252" s="15" t="s">
        <v>876</v>
      </c>
      <c r="G2252" s="15" t="s">
        <v>112</v>
      </c>
      <c r="H2252" s="15"/>
    </row>
    <row r="2253" customFormat="false" ht="15" hidden="false" customHeight="true" outlineLevel="0" collapsed="false">
      <c r="A2253" s="15" t="s">
        <v>218</v>
      </c>
      <c r="B2253" s="15" t="s">
        <v>894</v>
      </c>
      <c r="C2253" s="15" t="s">
        <v>857</v>
      </c>
      <c r="D2253" s="15" t="s">
        <v>803</v>
      </c>
      <c r="E2253" s="15"/>
      <c r="F2253" s="15" t="s">
        <v>876</v>
      </c>
      <c r="G2253" s="15" t="s">
        <v>112</v>
      </c>
      <c r="H2253" s="15"/>
    </row>
    <row r="2254" customFormat="false" ht="15" hidden="false" customHeight="true" outlineLevel="0" collapsed="false">
      <c r="A2254" s="15" t="s">
        <v>218</v>
      </c>
      <c r="B2254" s="15" t="s">
        <v>894</v>
      </c>
      <c r="C2254" s="15" t="s">
        <v>886</v>
      </c>
      <c r="D2254" s="15" t="s">
        <v>755</v>
      </c>
      <c r="E2254" s="15"/>
      <c r="F2254" s="15" t="s">
        <v>876</v>
      </c>
      <c r="G2254" s="15" t="s">
        <v>112</v>
      </c>
      <c r="H2254" s="15"/>
    </row>
    <row r="2255" customFormat="false" ht="15" hidden="false" customHeight="true" outlineLevel="0" collapsed="false">
      <c r="A2255" s="15" t="s">
        <v>224</v>
      </c>
      <c r="B2255" s="15" t="s">
        <v>276</v>
      </c>
      <c r="C2255" s="15" t="s">
        <v>714</v>
      </c>
      <c r="D2255" s="15" t="n">
        <v>380</v>
      </c>
      <c r="E2255" s="15" t="s">
        <v>715</v>
      </c>
      <c r="F2255" s="15" t="s">
        <v>876</v>
      </c>
      <c r="G2255" s="15" t="s">
        <v>112</v>
      </c>
      <c r="H2255" s="15"/>
    </row>
    <row r="2256" customFormat="false" ht="15" hidden="false" customHeight="true" outlineLevel="0" collapsed="false">
      <c r="A2256" s="15" t="s">
        <v>224</v>
      </c>
      <c r="B2256" s="15" t="s">
        <v>276</v>
      </c>
      <c r="C2256" s="15" t="s">
        <v>718</v>
      </c>
      <c r="D2256" s="15" t="s">
        <v>113</v>
      </c>
      <c r="E2256" s="15"/>
      <c r="F2256" s="15" t="s">
        <v>876</v>
      </c>
      <c r="G2256" s="15" t="s">
        <v>112</v>
      </c>
      <c r="H2256" s="15"/>
    </row>
    <row r="2257" customFormat="false" ht="15" hidden="false" customHeight="true" outlineLevel="0" collapsed="false">
      <c r="A2257" s="15" t="s">
        <v>224</v>
      </c>
      <c r="B2257" s="15" t="s">
        <v>276</v>
      </c>
      <c r="C2257" s="15" t="s">
        <v>719</v>
      </c>
      <c r="D2257" s="15" t="n">
        <v>20</v>
      </c>
      <c r="E2257" s="15" t="s">
        <v>720</v>
      </c>
      <c r="F2257" s="15" t="s">
        <v>876</v>
      </c>
      <c r="G2257" s="15" t="s">
        <v>112</v>
      </c>
      <c r="H2257" s="15"/>
    </row>
    <row r="2258" customFormat="false" ht="15" hidden="false" customHeight="true" outlineLevel="0" collapsed="false">
      <c r="A2258" s="15" t="s">
        <v>224</v>
      </c>
      <c r="B2258" s="15" t="s">
        <v>276</v>
      </c>
      <c r="C2258" s="15" t="s">
        <v>722</v>
      </c>
      <c r="D2258" s="15" t="s">
        <v>877</v>
      </c>
      <c r="E2258" s="15" t="s">
        <v>723</v>
      </c>
      <c r="F2258" s="15" t="s">
        <v>876</v>
      </c>
      <c r="G2258" s="15" t="s">
        <v>112</v>
      </c>
      <c r="H2258" s="15"/>
    </row>
    <row r="2259" customFormat="false" ht="15" hidden="false" customHeight="true" outlineLevel="0" collapsed="false">
      <c r="A2259" s="15" t="s">
        <v>224</v>
      </c>
      <c r="B2259" s="15" t="s">
        <v>276</v>
      </c>
      <c r="C2259" s="15" t="s">
        <v>724</v>
      </c>
      <c r="D2259" s="15" t="n">
        <v>150</v>
      </c>
      <c r="E2259" s="15" t="s">
        <v>723</v>
      </c>
      <c r="F2259" s="15" t="s">
        <v>876</v>
      </c>
      <c r="G2259" s="15" t="s">
        <v>112</v>
      </c>
      <c r="H2259" s="15"/>
    </row>
    <row r="2260" customFormat="false" ht="15" hidden="false" customHeight="true" outlineLevel="0" collapsed="false">
      <c r="A2260" s="15" t="s">
        <v>224</v>
      </c>
      <c r="B2260" s="15" t="s">
        <v>276</v>
      </c>
      <c r="C2260" s="15" t="s">
        <v>84</v>
      </c>
      <c r="D2260" s="15" t="n">
        <v>205</v>
      </c>
      <c r="E2260" s="15" t="s">
        <v>725</v>
      </c>
      <c r="F2260" s="15" t="s">
        <v>876</v>
      </c>
      <c r="G2260" s="15" t="s">
        <v>112</v>
      </c>
      <c r="H2260" s="15"/>
    </row>
    <row r="2261" customFormat="false" ht="15" hidden="false" customHeight="true" outlineLevel="0" collapsed="false">
      <c r="A2261" s="15" t="s">
        <v>224</v>
      </c>
      <c r="B2261" s="15" t="s">
        <v>276</v>
      </c>
      <c r="C2261" s="15" t="s">
        <v>726</v>
      </c>
      <c r="D2261" s="15" t="n">
        <v>4737</v>
      </c>
      <c r="E2261" s="15" t="s">
        <v>725</v>
      </c>
      <c r="F2261" s="15" t="s">
        <v>876</v>
      </c>
      <c r="G2261" s="15" t="s">
        <v>112</v>
      </c>
      <c r="H2261" s="15"/>
    </row>
    <row r="2262" customFormat="false" ht="15" hidden="false" customHeight="true" outlineLevel="0" collapsed="false">
      <c r="A2262" s="15" t="s">
        <v>224</v>
      </c>
      <c r="B2262" s="15" t="s">
        <v>276</v>
      </c>
      <c r="C2262" s="15" t="s">
        <v>727</v>
      </c>
      <c r="D2262" s="15" t="n">
        <v>1900</v>
      </c>
      <c r="E2262" s="15" t="s">
        <v>725</v>
      </c>
      <c r="F2262" s="15" t="s">
        <v>876</v>
      </c>
      <c r="G2262" s="15" t="s">
        <v>112</v>
      </c>
      <c r="H2262" s="15"/>
    </row>
    <row r="2263" customFormat="false" ht="15" hidden="false" customHeight="true" outlineLevel="0" collapsed="false">
      <c r="A2263" s="15" t="s">
        <v>224</v>
      </c>
      <c r="B2263" s="15" t="s">
        <v>276</v>
      </c>
      <c r="C2263" s="15" t="s">
        <v>728</v>
      </c>
      <c r="D2263" s="15" t="n">
        <v>1747</v>
      </c>
      <c r="E2263" s="15" t="s">
        <v>725</v>
      </c>
      <c r="F2263" s="15" t="s">
        <v>876</v>
      </c>
      <c r="G2263" s="15" t="s">
        <v>112</v>
      </c>
      <c r="H2263" s="15"/>
    </row>
    <row r="2264" customFormat="false" ht="15" hidden="false" customHeight="true" outlineLevel="0" collapsed="false">
      <c r="A2264" s="15" t="s">
        <v>224</v>
      </c>
      <c r="B2264" s="15" t="s">
        <v>276</v>
      </c>
      <c r="C2264" s="15" t="s">
        <v>729</v>
      </c>
      <c r="D2264" s="15" t="n">
        <v>2762</v>
      </c>
      <c r="E2264" s="15" t="s">
        <v>725</v>
      </c>
      <c r="F2264" s="15" t="s">
        <v>876</v>
      </c>
      <c r="G2264" s="15" t="s">
        <v>112</v>
      </c>
      <c r="H2264" s="15"/>
    </row>
    <row r="2265" customFormat="false" ht="15" hidden="false" customHeight="true" outlineLevel="0" collapsed="false">
      <c r="A2265" s="15" t="s">
        <v>224</v>
      </c>
      <c r="B2265" s="15" t="s">
        <v>276</v>
      </c>
      <c r="C2265" s="15" t="s">
        <v>730</v>
      </c>
      <c r="D2265" s="15" t="n">
        <v>10</v>
      </c>
      <c r="E2265" s="15" t="s">
        <v>731</v>
      </c>
      <c r="F2265" s="15" t="s">
        <v>876</v>
      </c>
      <c r="G2265" s="15" t="s">
        <v>112</v>
      </c>
      <c r="H2265" s="15"/>
    </row>
    <row r="2266" customFormat="false" ht="15" hidden="false" customHeight="true" outlineLevel="0" collapsed="false">
      <c r="A2266" s="15" t="s">
        <v>224</v>
      </c>
      <c r="B2266" s="15" t="s">
        <v>276</v>
      </c>
      <c r="C2266" s="15" t="s">
        <v>776</v>
      </c>
      <c r="D2266" s="15" t="s">
        <v>878</v>
      </c>
      <c r="E2266" s="15"/>
      <c r="F2266" s="15" t="s">
        <v>876</v>
      </c>
      <c r="G2266" s="15" t="s">
        <v>112</v>
      </c>
      <c r="H2266" s="15"/>
    </row>
    <row r="2267" customFormat="false" ht="15" hidden="false" customHeight="true" outlineLevel="0" collapsed="false">
      <c r="A2267" s="15" t="s">
        <v>224</v>
      </c>
      <c r="B2267" s="15" t="s">
        <v>276</v>
      </c>
      <c r="C2267" s="15" t="s">
        <v>780</v>
      </c>
      <c r="D2267" s="15" t="s">
        <v>781</v>
      </c>
      <c r="E2267" s="15"/>
      <c r="F2267" s="15" t="s">
        <v>876</v>
      </c>
      <c r="G2267" s="15" t="s">
        <v>112</v>
      </c>
      <c r="H2267" s="15"/>
    </row>
    <row r="2268" customFormat="false" ht="15" hidden="false" customHeight="true" outlineLevel="0" collapsed="false">
      <c r="A2268" s="15" t="s">
        <v>224</v>
      </c>
      <c r="B2268" s="15" t="s">
        <v>276</v>
      </c>
      <c r="C2268" s="15" t="s">
        <v>789</v>
      </c>
      <c r="D2268" s="15" t="s">
        <v>790</v>
      </c>
      <c r="E2268" s="15"/>
      <c r="F2268" s="15" t="s">
        <v>876</v>
      </c>
      <c r="G2268" s="15" t="s">
        <v>112</v>
      </c>
      <c r="H2268" s="15"/>
    </row>
    <row r="2269" customFormat="false" ht="15" hidden="false" customHeight="true" outlineLevel="0" collapsed="false">
      <c r="A2269" s="15" t="s">
        <v>224</v>
      </c>
      <c r="B2269" s="15" t="s">
        <v>276</v>
      </c>
      <c r="C2269" s="15" t="s">
        <v>784</v>
      </c>
      <c r="D2269" s="15" t="n">
        <v>11</v>
      </c>
      <c r="E2269" s="15" t="s">
        <v>738</v>
      </c>
      <c r="F2269" s="15" t="s">
        <v>879</v>
      </c>
      <c r="G2269" s="15" t="s">
        <v>112</v>
      </c>
      <c r="H2269" s="15"/>
    </row>
    <row r="2270" customFormat="false" ht="15" hidden="false" customHeight="true" outlineLevel="0" collapsed="false">
      <c r="A2270" s="15" t="s">
        <v>224</v>
      </c>
      <c r="B2270" s="15" t="s">
        <v>276</v>
      </c>
      <c r="C2270" s="15" t="s">
        <v>782</v>
      </c>
      <c r="D2270" s="15" t="n">
        <v>36</v>
      </c>
      <c r="E2270" s="15" t="s">
        <v>783</v>
      </c>
      <c r="F2270" s="15" t="s">
        <v>879</v>
      </c>
      <c r="G2270" s="15" t="s">
        <v>112</v>
      </c>
      <c r="H2270" s="15"/>
    </row>
    <row r="2271" customFormat="false" ht="15" hidden="false" customHeight="true" outlineLevel="0" collapsed="false">
      <c r="A2271" s="15" t="s">
        <v>224</v>
      </c>
      <c r="B2271" s="15" t="s">
        <v>276</v>
      </c>
      <c r="C2271" s="15" t="s">
        <v>90</v>
      </c>
      <c r="D2271" s="15" t="s">
        <v>880</v>
      </c>
      <c r="E2271" s="15"/>
      <c r="F2271" s="15" t="s">
        <v>876</v>
      </c>
      <c r="G2271" s="15" t="s">
        <v>112</v>
      </c>
      <c r="H2271" s="15"/>
    </row>
    <row r="2272" customFormat="false" ht="26.25" hidden="false" customHeight="true" outlineLevel="0" collapsed="false">
      <c r="A2272" s="15" t="s">
        <v>224</v>
      </c>
      <c r="B2272" s="15" t="s">
        <v>276</v>
      </c>
      <c r="C2272" s="15" t="s">
        <v>875</v>
      </c>
      <c r="D2272" s="15" t="n">
        <v>3.2</v>
      </c>
      <c r="E2272" s="15"/>
      <c r="F2272" s="15" t="s">
        <v>876</v>
      </c>
      <c r="G2272" s="15" t="s">
        <v>819</v>
      </c>
      <c r="H2272" s="15" t="s">
        <v>881</v>
      </c>
    </row>
    <row r="2273" customFormat="false" ht="15" hidden="false" customHeight="true" outlineLevel="0" collapsed="false">
      <c r="A2273" s="15" t="s">
        <v>224</v>
      </c>
      <c r="B2273" s="15" t="s">
        <v>276</v>
      </c>
      <c r="C2273" s="15" t="s">
        <v>772</v>
      </c>
      <c r="D2273" s="15" t="n">
        <v>60000</v>
      </c>
      <c r="E2273" s="15" t="s">
        <v>773</v>
      </c>
      <c r="F2273" s="15" t="s">
        <v>882</v>
      </c>
      <c r="G2273" s="15" t="s">
        <v>112</v>
      </c>
      <c r="H2273" s="15"/>
    </row>
    <row r="2274" customFormat="false" ht="15" hidden="false" customHeight="true" outlineLevel="0" collapsed="false">
      <c r="A2274" s="15" t="s">
        <v>224</v>
      </c>
      <c r="B2274" s="15" t="s">
        <v>276</v>
      </c>
      <c r="C2274" s="15" t="s">
        <v>775</v>
      </c>
      <c r="D2274" s="15" t="n">
        <v>75000</v>
      </c>
      <c r="E2274" s="15" t="s">
        <v>773</v>
      </c>
      <c r="F2274" s="15" t="s">
        <v>882</v>
      </c>
      <c r="G2274" s="15" t="s">
        <v>112</v>
      </c>
      <c r="H2274" s="15"/>
    </row>
    <row r="2275" customFormat="false" ht="26.25" hidden="false" customHeight="true" outlineLevel="0" collapsed="false">
      <c r="A2275" s="15" t="s">
        <v>224</v>
      </c>
      <c r="B2275" s="15" t="s">
        <v>276</v>
      </c>
      <c r="C2275" s="15" t="s">
        <v>98</v>
      </c>
      <c r="D2275" s="15" t="s">
        <v>732</v>
      </c>
      <c r="E2275" s="15"/>
      <c r="F2275" s="15" t="s">
        <v>876</v>
      </c>
      <c r="G2275" s="15" t="s">
        <v>112</v>
      </c>
      <c r="H2275" s="15"/>
    </row>
    <row r="2276" customFormat="false" ht="26.25" hidden="false" customHeight="true" outlineLevel="0" collapsed="false">
      <c r="A2276" s="15" t="s">
        <v>224</v>
      </c>
      <c r="B2276" s="15" t="s">
        <v>276</v>
      </c>
      <c r="C2276" s="15" t="s">
        <v>830</v>
      </c>
      <c r="D2276" s="15" t="s">
        <v>831</v>
      </c>
      <c r="E2276" s="15"/>
      <c r="F2276" s="15" t="s">
        <v>883</v>
      </c>
      <c r="G2276" s="15" t="s">
        <v>112</v>
      </c>
      <c r="H2276" s="15"/>
    </row>
    <row r="2277" customFormat="false" ht="15" hidden="false" customHeight="true" outlineLevel="0" collapsed="false">
      <c r="A2277" s="15" t="s">
        <v>224</v>
      </c>
      <c r="B2277" s="15" t="s">
        <v>276</v>
      </c>
      <c r="C2277" s="15" t="s">
        <v>833</v>
      </c>
      <c r="D2277" s="15" t="s">
        <v>834</v>
      </c>
      <c r="E2277" s="15"/>
      <c r="F2277" s="15" t="s">
        <v>883</v>
      </c>
      <c r="G2277" s="15" t="s">
        <v>112</v>
      </c>
      <c r="H2277" s="15"/>
    </row>
    <row r="2278" customFormat="false" ht="15" hidden="false" customHeight="true" outlineLevel="0" collapsed="false">
      <c r="A2278" s="15" t="s">
        <v>224</v>
      </c>
      <c r="B2278" s="15" t="s">
        <v>276</v>
      </c>
      <c r="C2278" s="15" t="s">
        <v>835</v>
      </c>
      <c r="D2278" s="15" t="s">
        <v>836</v>
      </c>
      <c r="E2278" s="15"/>
      <c r="F2278" s="15" t="s">
        <v>883</v>
      </c>
      <c r="G2278" s="15" t="s">
        <v>112</v>
      </c>
      <c r="H2278" s="15"/>
    </row>
    <row r="2279" customFormat="false" ht="15" hidden="false" customHeight="true" outlineLevel="0" collapsed="false">
      <c r="A2279" s="15" t="s">
        <v>224</v>
      </c>
      <c r="B2279" s="15" t="s">
        <v>276</v>
      </c>
      <c r="C2279" s="15" t="s">
        <v>837</v>
      </c>
      <c r="D2279" s="15" t="n">
        <v>10000</v>
      </c>
      <c r="E2279" s="15" t="s">
        <v>838</v>
      </c>
      <c r="F2279" s="15" t="s">
        <v>883</v>
      </c>
      <c r="G2279" s="15" t="s">
        <v>112</v>
      </c>
      <c r="H2279" s="15"/>
    </row>
    <row r="2280" customFormat="false" ht="26.25" hidden="false" customHeight="true" outlineLevel="0" collapsed="false">
      <c r="A2280" s="15" t="s">
        <v>224</v>
      </c>
      <c r="B2280" s="15" t="s">
        <v>276</v>
      </c>
      <c r="C2280" s="15" t="s">
        <v>839</v>
      </c>
      <c r="D2280" s="15" t="s">
        <v>840</v>
      </c>
      <c r="E2280" s="15"/>
      <c r="F2280" s="15" t="s">
        <v>883</v>
      </c>
      <c r="G2280" s="15" t="s">
        <v>112</v>
      </c>
      <c r="H2280" s="15"/>
    </row>
    <row r="2281" customFormat="false" ht="15" hidden="false" customHeight="true" outlineLevel="0" collapsed="false">
      <c r="A2281" s="15" t="s">
        <v>224</v>
      </c>
      <c r="B2281" s="15" t="s">
        <v>276</v>
      </c>
      <c r="C2281" s="15" t="s">
        <v>841</v>
      </c>
      <c r="D2281" s="15" t="s">
        <v>842</v>
      </c>
      <c r="E2281" s="15"/>
      <c r="F2281" s="15" t="s">
        <v>883</v>
      </c>
      <c r="G2281" s="15" t="s">
        <v>112</v>
      </c>
      <c r="H2281" s="15"/>
    </row>
    <row r="2282" customFormat="false" ht="15" hidden="false" customHeight="true" outlineLevel="0" collapsed="false">
      <c r="A2282" s="15" t="s">
        <v>224</v>
      </c>
      <c r="B2282" s="15" t="s">
        <v>276</v>
      </c>
      <c r="C2282" s="15" t="s">
        <v>843</v>
      </c>
      <c r="D2282" s="15" t="s">
        <v>844</v>
      </c>
      <c r="E2282" s="15"/>
      <c r="F2282" s="15" t="s">
        <v>876</v>
      </c>
      <c r="G2282" s="15" t="s">
        <v>112</v>
      </c>
      <c r="H2282" s="15"/>
    </row>
    <row r="2283" customFormat="false" ht="15" hidden="false" customHeight="true" outlineLevel="0" collapsed="false">
      <c r="A2283" s="15" t="s">
        <v>224</v>
      </c>
      <c r="B2283" s="15" t="s">
        <v>276</v>
      </c>
      <c r="C2283" s="15" t="s">
        <v>737</v>
      </c>
      <c r="D2283" s="15" t="n">
        <v>210</v>
      </c>
      <c r="E2283" s="15" t="s">
        <v>738</v>
      </c>
      <c r="F2283" s="15" t="s">
        <v>876</v>
      </c>
      <c r="G2283" s="15" t="s">
        <v>112</v>
      </c>
      <c r="H2283" s="15"/>
    </row>
    <row r="2284" customFormat="false" ht="15" hidden="false" customHeight="true" outlineLevel="0" collapsed="false">
      <c r="A2284" s="15" t="s">
        <v>224</v>
      </c>
      <c r="B2284" s="15" t="s">
        <v>276</v>
      </c>
      <c r="C2284" s="15" t="s">
        <v>739</v>
      </c>
      <c r="D2284" s="15" t="n">
        <v>180</v>
      </c>
      <c r="E2284" s="15" t="s">
        <v>738</v>
      </c>
      <c r="F2284" s="15" t="s">
        <v>876</v>
      </c>
      <c r="G2284" s="15" t="s">
        <v>112</v>
      </c>
      <c r="H2284" s="15"/>
    </row>
    <row r="2285" customFormat="false" ht="26.25" hidden="false" customHeight="true" outlineLevel="0" collapsed="false">
      <c r="A2285" s="15" t="s">
        <v>224</v>
      </c>
      <c r="B2285" s="15" t="s">
        <v>276</v>
      </c>
      <c r="C2285" s="15" t="s">
        <v>740</v>
      </c>
      <c r="D2285" s="15" t="n">
        <v>8</v>
      </c>
      <c r="E2285" s="15" t="s">
        <v>741</v>
      </c>
      <c r="F2285" s="15" t="s">
        <v>876</v>
      </c>
      <c r="G2285" s="15" t="s">
        <v>112</v>
      </c>
      <c r="H2285" s="15"/>
    </row>
    <row r="2286" customFormat="false" ht="15" hidden="false" customHeight="true" outlineLevel="0" collapsed="false">
      <c r="A2286" s="15" t="s">
        <v>224</v>
      </c>
      <c r="B2286" s="15" t="s">
        <v>276</v>
      </c>
      <c r="C2286" s="15" t="s">
        <v>742</v>
      </c>
      <c r="D2286" s="15" t="n">
        <v>11.7</v>
      </c>
      <c r="E2286" s="15" t="s">
        <v>741</v>
      </c>
      <c r="F2286" s="15" t="s">
        <v>876</v>
      </c>
      <c r="G2286" s="15" t="s">
        <v>112</v>
      </c>
      <c r="H2286" s="15"/>
    </row>
    <row r="2287" customFormat="false" ht="15" hidden="false" customHeight="true" outlineLevel="0" collapsed="false">
      <c r="A2287" s="15" t="s">
        <v>224</v>
      </c>
      <c r="B2287" s="15" t="s">
        <v>276</v>
      </c>
      <c r="C2287" s="15" t="s">
        <v>733</v>
      </c>
      <c r="D2287" s="15" t="s">
        <v>808</v>
      </c>
      <c r="E2287" s="15"/>
      <c r="F2287" s="15" t="s">
        <v>882</v>
      </c>
      <c r="G2287" s="15" t="s">
        <v>112</v>
      </c>
      <c r="H2287" s="15"/>
    </row>
    <row r="2288" customFormat="false" ht="15" hidden="false" customHeight="true" outlineLevel="0" collapsed="false">
      <c r="A2288" s="15" t="s">
        <v>224</v>
      </c>
      <c r="B2288" s="15" t="s">
        <v>276</v>
      </c>
      <c r="C2288" s="15" t="s">
        <v>785</v>
      </c>
      <c r="D2288" s="15" t="n">
        <v>409</v>
      </c>
      <c r="E2288" s="15" t="s">
        <v>786</v>
      </c>
      <c r="F2288" s="15" t="s">
        <v>879</v>
      </c>
      <c r="G2288" s="15" t="s">
        <v>112</v>
      </c>
      <c r="H2288" s="15"/>
    </row>
    <row r="2289" customFormat="false" ht="26.25" hidden="false" customHeight="true" outlineLevel="0" collapsed="false">
      <c r="A2289" s="15" t="s">
        <v>224</v>
      </c>
      <c r="B2289" s="15" t="s">
        <v>276</v>
      </c>
      <c r="C2289" s="15" t="s">
        <v>887</v>
      </c>
      <c r="D2289" s="15" t="s">
        <v>888</v>
      </c>
      <c r="E2289" s="15"/>
      <c r="F2289" s="15" t="s">
        <v>889</v>
      </c>
      <c r="G2289" s="15" t="s">
        <v>112</v>
      </c>
      <c r="H2289" s="15" t="s">
        <v>890</v>
      </c>
    </row>
    <row r="2290" customFormat="false" ht="15" hidden="false" customHeight="true" outlineLevel="0" collapsed="false">
      <c r="A2290" s="15" t="s">
        <v>224</v>
      </c>
      <c r="B2290" s="15" t="s">
        <v>276</v>
      </c>
      <c r="C2290" s="15" t="s">
        <v>769</v>
      </c>
      <c r="D2290" s="15" t="s">
        <v>892</v>
      </c>
      <c r="E2290" s="15" t="s">
        <v>721</v>
      </c>
      <c r="F2290" s="15" t="s">
        <v>876</v>
      </c>
      <c r="G2290" s="15" t="s">
        <v>112</v>
      </c>
      <c r="H2290" s="15"/>
    </row>
    <row r="2291" customFormat="false" ht="15" hidden="false" customHeight="true" outlineLevel="0" collapsed="false">
      <c r="A2291" s="15" t="s">
        <v>224</v>
      </c>
      <c r="B2291" s="15" t="s">
        <v>276</v>
      </c>
      <c r="C2291" s="15" t="s">
        <v>86</v>
      </c>
      <c r="D2291" s="15" t="n">
        <v>7</v>
      </c>
      <c r="E2291" s="15" t="s">
        <v>721</v>
      </c>
      <c r="F2291" s="15" t="s">
        <v>876</v>
      </c>
      <c r="G2291" s="15" t="s">
        <v>112</v>
      </c>
      <c r="H2291" s="15"/>
    </row>
    <row r="2292" customFormat="false" ht="15" hidden="false" customHeight="true" outlineLevel="0" collapsed="false">
      <c r="A2292" s="15" t="s">
        <v>224</v>
      </c>
      <c r="B2292" s="15" t="s">
        <v>276</v>
      </c>
      <c r="C2292" s="15" t="s">
        <v>764</v>
      </c>
      <c r="D2292" s="15" t="s">
        <v>803</v>
      </c>
      <c r="E2292" s="15"/>
      <c r="F2292" s="15" t="s">
        <v>876</v>
      </c>
      <c r="G2292" s="15" t="s">
        <v>112</v>
      </c>
      <c r="H2292" s="15"/>
    </row>
    <row r="2293" customFormat="false" ht="15" hidden="false" customHeight="true" outlineLevel="0" collapsed="false">
      <c r="A2293" s="15" t="s">
        <v>224</v>
      </c>
      <c r="B2293" s="15" t="s">
        <v>276</v>
      </c>
      <c r="C2293" s="15" t="s">
        <v>749</v>
      </c>
      <c r="D2293" s="15" t="s">
        <v>895</v>
      </c>
      <c r="E2293" s="15"/>
      <c r="F2293" s="15" t="s">
        <v>876</v>
      </c>
      <c r="G2293" s="15" t="s">
        <v>112</v>
      </c>
      <c r="H2293" s="15"/>
    </row>
    <row r="2294" customFormat="false" ht="15" hidden="false" customHeight="true" outlineLevel="0" collapsed="false">
      <c r="A2294" s="15" t="s">
        <v>224</v>
      </c>
      <c r="B2294" s="15" t="s">
        <v>276</v>
      </c>
      <c r="C2294" s="15" t="s">
        <v>752</v>
      </c>
      <c r="D2294" s="15" t="s">
        <v>865</v>
      </c>
      <c r="E2294" s="15"/>
      <c r="F2294" s="15" t="s">
        <v>876</v>
      </c>
      <c r="G2294" s="15" t="s">
        <v>112</v>
      </c>
      <c r="H2294" s="15"/>
    </row>
    <row r="2295" customFormat="false" ht="15" hidden="false" customHeight="true" outlineLevel="0" collapsed="false">
      <c r="A2295" s="15" t="s">
        <v>224</v>
      </c>
      <c r="B2295" s="15" t="s">
        <v>276</v>
      </c>
      <c r="C2295" s="15" t="s">
        <v>754</v>
      </c>
      <c r="D2295" s="15" t="s">
        <v>803</v>
      </c>
      <c r="E2295" s="15"/>
      <c r="F2295" s="15" t="s">
        <v>876</v>
      </c>
      <c r="G2295" s="15" t="s">
        <v>112</v>
      </c>
      <c r="H2295" s="15"/>
    </row>
    <row r="2296" customFormat="false" ht="15" hidden="false" customHeight="true" outlineLevel="0" collapsed="false">
      <c r="A2296" s="15" t="s">
        <v>224</v>
      </c>
      <c r="B2296" s="15" t="s">
        <v>276</v>
      </c>
      <c r="C2296" s="15" t="s">
        <v>884</v>
      </c>
      <c r="D2296" s="15" t="s">
        <v>803</v>
      </c>
      <c r="E2296" s="15"/>
      <c r="F2296" s="15" t="s">
        <v>876</v>
      </c>
      <c r="G2296" s="15" t="s">
        <v>112</v>
      </c>
      <c r="H2296" s="15"/>
    </row>
    <row r="2297" customFormat="false" ht="15" hidden="false" customHeight="true" outlineLevel="0" collapsed="false">
      <c r="A2297" s="15" t="s">
        <v>224</v>
      </c>
      <c r="B2297" s="15" t="s">
        <v>276</v>
      </c>
      <c r="C2297" s="15" t="s">
        <v>756</v>
      </c>
      <c r="D2297" s="15" t="s">
        <v>858</v>
      </c>
      <c r="E2297" s="15"/>
      <c r="F2297" s="15" t="s">
        <v>876</v>
      </c>
      <c r="G2297" s="15" t="s">
        <v>112</v>
      </c>
      <c r="H2297" s="15"/>
    </row>
    <row r="2298" customFormat="false" ht="15" hidden="false" customHeight="true" outlineLevel="0" collapsed="false">
      <c r="A2298" s="15" t="s">
        <v>224</v>
      </c>
      <c r="B2298" s="15" t="s">
        <v>276</v>
      </c>
      <c r="C2298" s="15" t="s">
        <v>757</v>
      </c>
      <c r="D2298" s="15" t="s">
        <v>797</v>
      </c>
      <c r="E2298" s="15"/>
      <c r="F2298" s="15" t="s">
        <v>876</v>
      </c>
      <c r="G2298" s="15" t="s">
        <v>112</v>
      </c>
      <c r="H2298" s="15"/>
    </row>
    <row r="2299" customFormat="false" ht="15" hidden="false" customHeight="true" outlineLevel="0" collapsed="false">
      <c r="A2299" s="15" t="s">
        <v>224</v>
      </c>
      <c r="B2299" s="15" t="s">
        <v>276</v>
      </c>
      <c r="C2299" s="15" t="s">
        <v>759</v>
      </c>
      <c r="D2299" s="15" t="s">
        <v>798</v>
      </c>
      <c r="E2299" s="15"/>
      <c r="F2299" s="15" t="s">
        <v>876</v>
      </c>
      <c r="G2299" s="15" t="s">
        <v>112</v>
      </c>
      <c r="H2299" s="15"/>
    </row>
    <row r="2300" customFormat="false" ht="15" hidden="false" customHeight="true" outlineLevel="0" collapsed="false">
      <c r="A2300" s="15" t="s">
        <v>224</v>
      </c>
      <c r="B2300" s="15" t="s">
        <v>276</v>
      </c>
      <c r="C2300" s="15" t="s">
        <v>761</v>
      </c>
      <c r="D2300" s="15" t="s">
        <v>755</v>
      </c>
      <c r="E2300" s="15"/>
      <c r="F2300" s="15" t="s">
        <v>876</v>
      </c>
      <c r="G2300" s="15" t="s">
        <v>112</v>
      </c>
      <c r="H2300" s="15"/>
    </row>
    <row r="2301" customFormat="false" ht="15" hidden="false" customHeight="true" outlineLevel="0" collapsed="false">
      <c r="A2301" s="15" t="s">
        <v>224</v>
      </c>
      <c r="B2301" s="15" t="s">
        <v>276</v>
      </c>
      <c r="C2301" s="15" t="s">
        <v>762</v>
      </c>
      <c r="D2301" s="15" t="s">
        <v>755</v>
      </c>
      <c r="E2301" s="15"/>
      <c r="F2301" s="15" t="s">
        <v>876</v>
      </c>
      <c r="G2301" s="15" t="s">
        <v>112</v>
      </c>
      <c r="H2301" s="15"/>
    </row>
    <row r="2302" customFormat="false" ht="15" hidden="false" customHeight="true" outlineLevel="0" collapsed="false">
      <c r="A2302" s="15" t="s">
        <v>224</v>
      </c>
      <c r="B2302" s="15" t="s">
        <v>276</v>
      </c>
      <c r="C2302" s="15" t="s">
        <v>92</v>
      </c>
      <c r="D2302" s="15" t="s">
        <v>803</v>
      </c>
      <c r="E2302" s="15"/>
      <c r="F2302" s="15" t="s">
        <v>876</v>
      </c>
      <c r="G2302" s="15" t="s">
        <v>112</v>
      </c>
      <c r="H2302" s="15"/>
    </row>
    <row r="2303" customFormat="false" ht="15" hidden="false" customHeight="true" outlineLevel="0" collapsed="false">
      <c r="A2303" s="15" t="s">
        <v>224</v>
      </c>
      <c r="B2303" s="15" t="s">
        <v>276</v>
      </c>
      <c r="C2303" s="15" t="s">
        <v>848</v>
      </c>
      <c r="D2303" s="15" t="s">
        <v>859</v>
      </c>
      <c r="E2303" s="15"/>
      <c r="F2303" s="15" t="s">
        <v>876</v>
      </c>
      <c r="G2303" s="15" t="s">
        <v>112</v>
      </c>
      <c r="H2303" s="15"/>
    </row>
    <row r="2304" customFormat="false" ht="15" hidden="false" customHeight="true" outlineLevel="0" collapsed="false">
      <c r="A2304" s="15" t="s">
        <v>224</v>
      </c>
      <c r="B2304" s="15" t="s">
        <v>276</v>
      </c>
      <c r="C2304" s="15" t="s">
        <v>747</v>
      </c>
      <c r="D2304" s="15" t="s">
        <v>893</v>
      </c>
      <c r="E2304" s="15"/>
      <c r="F2304" s="15" t="s">
        <v>876</v>
      </c>
      <c r="G2304" s="15" t="s">
        <v>112</v>
      </c>
      <c r="H2304" s="15"/>
    </row>
    <row r="2305" customFormat="false" ht="15" hidden="false" customHeight="true" outlineLevel="0" collapsed="false">
      <c r="A2305" s="15" t="s">
        <v>224</v>
      </c>
      <c r="B2305" s="15" t="s">
        <v>276</v>
      </c>
      <c r="C2305" s="15" t="s">
        <v>851</v>
      </c>
      <c r="D2305" s="15" t="s">
        <v>860</v>
      </c>
      <c r="E2305" s="15"/>
      <c r="F2305" s="15" t="s">
        <v>876</v>
      </c>
      <c r="G2305" s="15" t="s">
        <v>112</v>
      </c>
      <c r="H2305" s="15"/>
    </row>
    <row r="2306" customFormat="false" ht="15" hidden="false" customHeight="true" outlineLevel="0" collapsed="false">
      <c r="A2306" s="15" t="s">
        <v>224</v>
      </c>
      <c r="B2306" s="15" t="s">
        <v>276</v>
      </c>
      <c r="C2306" s="15" t="s">
        <v>853</v>
      </c>
      <c r="D2306" s="15" t="s">
        <v>866</v>
      </c>
      <c r="E2306" s="15"/>
      <c r="F2306" s="15" t="s">
        <v>876</v>
      </c>
      <c r="G2306" s="15" t="s">
        <v>112</v>
      </c>
      <c r="H2306" s="15"/>
    </row>
    <row r="2307" customFormat="false" ht="15" hidden="false" customHeight="true" outlineLevel="0" collapsed="false">
      <c r="A2307" s="15" t="s">
        <v>224</v>
      </c>
      <c r="B2307" s="15" t="s">
        <v>276</v>
      </c>
      <c r="C2307" s="15" t="s">
        <v>854</v>
      </c>
      <c r="D2307" s="15" t="s">
        <v>803</v>
      </c>
      <c r="E2307" s="15"/>
      <c r="F2307" s="15" t="s">
        <v>876</v>
      </c>
      <c r="G2307" s="15" t="s">
        <v>112</v>
      </c>
      <c r="H2307" s="15"/>
    </row>
    <row r="2308" customFormat="false" ht="15" hidden="false" customHeight="true" outlineLevel="0" collapsed="false">
      <c r="A2308" s="15" t="s">
        <v>224</v>
      </c>
      <c r="B2308" s="15" t="s">
        <v>276</v>
      </c>
      <c r="C2308" s="15" t="s">
        <v>855</v>
      </c>
      <c r="D2308" s="15" t="s">
        <v>862</v>
      </c>
      <c r="E2308" s="15"/>
      <c r="F2308" s="15" t="s">
        <v>876</v>
      </c>
      <c r="G2308" s="15" t="s">
        <v>112</v>
      </c>
      <c r="H2308" s="15"/>
    </row>
    <row r="2309" customFormat="false" ht="15" hidden="false" customHeight="true" outlineLevel="0" collapsed="false">
      <c r="A2309" s="15" t="s">
        <v>224</v>
      </c>
      <c r="B2309" s="15" t="s">
        <v>276</v>
      </c>
      <c r="C2309" s="15" t="s">
        <v>857</v>
      </c>
      <c r="D2309" s="15" t="s">
        <v>803</v>
      </c>
      <c r="E2309" s="15"/>
      <c r="F2309" s="15" t="s">
        <v>876</v>
      </c>
      <c r="G2309" s="15" t="s">
        <v>112</v>
      </c>
      <c r="H2309" s="15"/>
    </row>
    <row r="2310" customFormat="false" ht="15" hidden="false" customHeight="true" outlineLevel="0" collapsed="false">
      <c r="A2310" s="15" t="s">
        <v>224</v>
      </c>
      <c r="B2310" s="15" t="s">
        <v>276</v>
      </c>
      <c r="C2310" s="15" t="s">
        <v>886</v>
      </c>
      <c r="D2310" s="15" t="s">
        <v>803</v>
      </c>
      <c r="E2310" s="15"/>
      <c r="F2310" s="15" t="s">
        <v>876</v>
      </c>
      <c r="G2310" s="15" t="s">
        <v>112</v>
      </c>
      <c r="H2310" s="15"/>
    </row>
    <row r="2311" customFormat="false" ht="26.25" hidden="false" customHeight="true" outlineLevel="0" collapsed="false">
      <c r="A2311" s="15" t="s">
        <v>227</v>
      </c>
      <c r="B2311" s="15" t="s">
        <v>896</v>
      </c>
      <c r="C2311" s="15" t="s">
        <v>714</v>
      </c>
      <c r="D2311" s="15" t="n">
        <v>380</v>
      </c>
      <c r="E2311" s="15" t="s">
        <v>715</v>
      </c>
      <c r="F2311" s="15" t="s">
        <v>876</v>
      </c>
      <c r="G2311" s="15" t="s">
        <v>112</v>
      </c>
      <c r="H2311" s="15"/>
    </row>
    <row r="2312" customFormat="false" ht="26.25" hidden="false" customHeight="true" outlineLevel="0" collapsed="false">
      <c r="A2312" s="15" t="s">
        <v>227</v>
      </c>
      <c r="B2312" s="15" t="s">
        <v>896</v>
      </c>
      <c r="C2312" s="15" t="s">
        <v>718</v>
      </c>
      <c r="D2312" s="15" t="s">
        <v>113</v>
      </c>
      <c r="E2312" s="15"/>
      <c r="F2312" s="15" t="s">
        <v>876</v>
      </c>
      <c r="G2312" s="15" t="s">
        <v>112</v>
      </c>
      <c r="H2312" s="15"/>
    </row>
    <row r="2313" customFormat="false" ht="26.25" hidden="false" customHeight="true" outlineLevel="0" collapsed="false">
      <c r="A2313" s="15" t="s">
        <v>227</v>
      </c>
      <c r="B2313" s="15" t="s">
        <v>896</v>
      </c>
      <c r="C2313" s="15" t="s">
        <v>719</v>
      </c>
      <c r="D2313" s="15" t="n">
        <v>20</v>
      </c>
      <c r="E2313" s="15" t="s">
        <v>720</v>
      </c>
      <c r="F2313" s="15" t="s">
        <v>876</v>
      </c>
      <c r="G2313" s="15" t="s">
        <v>112</v>
      </c>
      <c r="H2313" s="15"/>
    </row>
    <row r="2314" customFormat="false" ht="26.25" hidden="false" customHeight="true" outlineLevel="0" collapsed="false">
      <c r="A2314" s="15" t="s">
        <v>227</v>
      </c>
      <c r="B2314" s="15" t="s">
        <v>896</v>
      </c>
      <c r="C2314" s="15" t="s">
        <v>722</v>
      </c>
      <c r="D2314" s="15" t="s">
        <v>877</v>
      </c>
      <c r="E2314" s="15" t="s">
        <v>723</v>
      </c>
      <c r="F2314" s="15" t="s">
        <v>876</v>
      </c>
      <c r="G2314" s="15" t="s">
        <v>112</v>
      </c>
      <c r="H2314" s="15"/>
    </row>
    <row r="2315" customFormat="false" ht="26.25" hidden="false" customHeight="true" outlineLevel="0" collapsed="false">
      <c r="A2315" s="15" t="s">
        <v>227</v>
      </c>
      <c r="B2315" s="15" t="s">
        <v>896</v>
      </c>
      <c r="C2315" s="15" t="s">
        <v>724</v>
      </c>
      <c r="D2315" s="15" t="n">
        <v>150</v>
      </c>
      <c r="E2315" s="15" t="s">
        <v>723</v>
      </c>
      <c r="F2315" s="15" t="s">
        <v>876</v>
      </c>
      <c r="G2315" s="15" t="s">
        <v>112</v>
      </c>
      <c r="H2315" s="15"/>
    </row>
    <row r="2316" customFormat="false" ht="26.25" hidden="false" customHeight="true" outlineLevel="0" collapsed="false">
      <c r="A2316" s="15" t="s">
        <v>227</v>
      </c>
      <c r="B2316" s="15" t="s">
        <v>896</v>
      </c>
      <c r="C2316" s="15" t="s">
        <v>84</v>
      </c>
      <c r="D2316" s="15" t="n">
        <v>205</v>
      </c>
      <c r="E2316" s="15" t="s">
        <v>725</v>
      </c>
      <c r="F2316" s="15" t="s">
        <v>876</v>
      </c>
      <c r="G2316" s="15" t="s">
        <v>112</v>
      </c>
      <c r="H2316" s="15"/>
    </row>
    <row r="2317" customFormat="false" ht="26.25" hidden="false" customHeight="true" outlineLevel="0" collapsed="false">
      <c r="A2317" s="15" t="s">
        <v>227</v>
      </c>
      <c r="B2317" s="15" t="s">
        <v>896</v>
      </c>
      <c r="C2317" s="15" t="s">
        <v>726</v>
      </c>
      <c r="D2317" s="15" t="n">
        <v>4737</v>
      </c>
      <c r="E2317" s="15" t="s">
        <v>725</v>
      </c>
      <c r="F2317" s="15" t="s">
        <v>876</v>
      </c>
      <c r="G2317" s="15" t="s">
        <v>112</v>
      </c>
      <c r="H2317" s="15"/>
    </row>
    <row r="2318" customFormat="false" ht="26.25" hidden="false" customHeight="true" outlineLevel="0" collapsed="false">
      <c r="A2318" s="15" t="s">
        <v>227</v>
      </c>
      <c r="B2318" s="15" t="s">
        <v>896</v>
      </c>
      <c r="C2318" s="15" t="s">
        <v>727</v>
      </c>
      <c r="D2318" s="15" t="n">
        <v>1900</v>
      </c>
      <c r="E2318" s="15" t="s">
        <v>725</v>
      </c>
      <c r="F2318" s="15" t="s">
        <v>876</v>
      </c>
      <c r="G2318" s="15" t="s">
        <v>112</v>
      </c>
      <c r="H2318" s="15"/>
    </row>
    <row r="2319" customFormat="false" ht="26.25" hidden="false" customHeight="true" outlineLevel="0" collapsed="false">
      <c r="A2319" s="15" t="s">
        <v>227</v>
      </c>
      <c r="B2319" s="15" t="s">
        <v>896</v>
      </c>
      <c r="C2319" s="15" t="s">
        <v>728</v>
      </c>
      <c r="D2319" s="15" t="n">
        <v>1747</v>
      </c>
      <c r="E2319" s="15" t="s">
        <v>725</v>
      </c>
      <c r="F2319" s="15" t="s">
        <v>876</v>
      </c>
      <c r="G2319" s="15" t="s">
        <v>112</v>
      </c>
      <c r="H2319" s="15"/>
    </row>
    <row r="2320" customFormat="false" ht="26.25" hidden="false" customHeight="true" outlineLevel="0" collapsed="false">
      <c r="A2320" s="15" t="s">
        <v>227</v>
      </c>
      <c r="B2320" s="15" t="s">
        <v>896</v>
      </c>
      <c r="C2320" s="15" t="s">
        <v>729</v>
      </c>
      <c r="D2320" s="15" t="n">
        <v>2762</v>
      </c>
      <c r="E2320" s="15" t="s">
        <v>725</v>
      </c>
      <c r="F2320" s="15" t="s">
        <v>876</v>
      </c>
      <c r="G2320" s="15" t="s">
        <v>112</v>
      </c>
      <c r="H2320" s="15"/>
    </row>
    <row r="2321" customFormat="false" ht="26.25" hidden="false" customHeight="true" outlineLevel="0" collapsed="false">
      <c r="A2321" s="15" t="s">
        <v>227</v>
      </c>
      <c r="B2321" s="15" t="s">
        <v>896</v>
      </c>
      <c r="C2321" s="15" t="s">
        <v>730</v>
      </c>
      <c r="D2321" s="15" t="n">
        <v>10</v>
      </c>
      <c r="E2321" s="15" t="s">
        <v>731</v>
      </c>
      <c r="F2321" s="15" t="s">
        <v>876</v>
      </c>
      <c r="G2321" s="15" t="s">
        <v>112</v>
      </c>
      <c r="H2321" s="15"/>
    </row>
    <row r="2322" customFormat="false" ht="26.25" hidden="false" customHeight="true" outlineLevel="0" collapsed="false">
      <c r="A2322" s="15" t="s">
        <v>227</v>
      </c>
      <c r="B2322" s="15" t="s">
        <v>896</v>
      </c>
      <c r="C2322" s="15" t="s">
        <v>776</v>
      </c>
      <c r="D2322" s="15" t="s">
        <v>878</v>
      </c>
      <c r="E2322" s="15"/>
      <c r="F2322" s="15" t="s">
        <v>876</v>
      </c>
      <c r="G2322" s="15" t="s">
        <v>112</v>
      </c>
      <c r="H2322" s="15"/>
    </row>
    <row r="2323" customFormat="false" ht="26.25" hidden="false" customHeight="true" outlineLevel="0" collapsed="false">
      <c r="A2323" s="15" t="s">
        <v>227</v>
      </c>
      <c r="B2323" s="15" t="s">
        <v>896</v>
      </c>
      <c r="C2323" s="15" t="s">
        <v>780</v>
      </c>
      <c r="D2323" s="15" t="s">
        <v>781</v>
      </c>
      <c r="E2323" s="15"/>
      <c r="F2323" s="15" t="s">
        <v>876</v>
      </c>
      <c r="G2323" s="15" t="s">
        <v>112</v>
      </c>
      <c r="H2323" s="15"/>
    </row>
    <row r="2324" customFormat="false" ht="26.25" hidden="false" customHeight="true" outlineLevel="0" collapsed="false">
      <c r="A2324" s="15" t="s">
        <v>227</v>
      </c>
      <c r="B2324" s="15" t="s">
        <v>896</v>
      </c>
      <c r="C2324" s="15" t="s">
        <v>789</v>
      </c>
      <c r="D2324" s="15" t="s">
        <v>790</v>
      </c>
      <c r="E2324" s="15"/>
      <c r="F2324" s="15" t="s">
        <v>876</v>
      </c>
      <c r="G2324" s="15" t="s">
        <v>112</v>
      </c>
      <c r="H2324" s="15"/>
    </row>
    <row r="2325" customFormat="false" ht="26.25" hidden="false" customHeight="true" outlineLevel="0" collapsed="false">
      <c r="A2325" s="15" t="s">
        <v>227</v>
      </c>
      <c r="B2325" s="15" t="s">
        <v>896</v>
      </c>
      <c r="C2325" s="15" t="s">
        <v>784</v>
      </c>
      <c r="D2325" s="15" t="n">
        <v>11</v>
      </c>
      <c r="E2325" s="15" t="s">
        <v>738</v>
      </c>
      <c r="F2325" s="15" t="s">
        <v>879</v>
      </c>
      <c r="G2325" s="15" t="s">
        <v>112</v>
      </c>
      <c r="H2325" s="15"/>
    </row>
    <row r="2326" customFormat="false" ht="26.25" hidden="false" customHeight="true" outlineLevel="0" collapsed="false">
      <c r="A2326" s="15" t="s">
        <v>227</v>
      </c>
      <c r="B2326" s="15" t="s">
        <v>896</v>
      </c>
      <c r="C2326" s="15" t="s">
        <v>782</v>
      </c>
      <c r="D2326" s="15" t="n">
        <v>36</v>
      </c>
      <c r="E2326" s="15" t="s">
        <v>783</v>
      </c>
      <c r="F2326" s="15" t="s">
        <v>879</v>
      </c>
      <c r="G2326" s="15" t="s">
        <v>112</v>
      </c>
      <c r="H2326" s="15"/>
    </row>
    <row r="2327" customFormat="false" ht="26.25" hidden="false" customHeight="true" outlineLevel="0" collapsed="false">
      <c r="A2327" s="15" t="s">
        <v>227</v>
      </c>
      <c r="B2327" s="15" t="s">
        <v>896</v>
      </c>
      <c r="C2327" s="15" t="s">
        <v>90</v>
      </c>
      <c r="D2327" s="15" t="s">
        <v>880</v>
      </c>
      <c r="E2327" s="15"/>
      <c r="F2327" s="15" t="s">
        <v>876</v>
      </c>
      <c r="G2327" s="15" t="s">
        <v>112</v>
      </c>
      <c r="H2327" s="15"/>
    </row>
    <row r="2328" customFormat="false" ht="26.25" hidden="false" customHeight="true" outlineLevel="0" collapsed="false">
      <c r="A2328" s="15" t="s">
        <v>227</v>
      </c>
      <c r="B2328" s="15" t="s">
        <v>896</v>
      </c>
      <c r="C2328" s="15" t="s">
        <v>875</v>
      </c>
      <c r="D2328" s="15" t="n">
        <v>3.2</v>
      </c>
      <c r="E2328" s="15"/>
      <c r="F2328" s="15" t="s">
        <v>876</v>
      </c>
      <c r="G2328" s="15" t="s">
        <v>819</v>
      </c>
      <c r="H2328" s="15" t="s">
        <v>881</v>
      </c>
    </row>
    <row r="2329" customFormat="false" ht="26.25" hidden="false" customHeight="true" outlineLevel="0" collapsed="false">
      <c r="A2329" s="15" t="s">
        <v>227</v>
      </c>
      <c r="B2329" s="15" t="s">
        <v>896</v>
      </c>
      <c r="C2329" s="15" t="s">
        <v>772</v>
      </c>
      <c r="D2329" s="15" t="n">
        <v>60000</v>
      </c>
      <c r="E2329" s="15" t="s">
        <v>773</v>
      </c>
      <c r="F2329" s="15" t="s">
        <v>882</v>
      </c>
      <c r="G2329" s="15" t="s">
        <v>112</v>
      </c>
      <c r="H2329" s="15"/>
    </row>
    <row r="2330" customFormat="false" ht="26.25" hidden="false" customHeight="true" outlineLevel="0" collapsed="false">
      <c r="A2330" s="15" t="s">
        <v>227</v>
      </c>
      <c r="B2330" s="15" t="s">
        <v>896</v>
      </c>
      <c r="C2330" s="15" t="s">
        <v>775</v>
      </c>
      <c r="D2330" s="15" t="n">
        <v>75000</v>
      </c>
      <c r="E2330" s="15" t="s">
        <v>773</v>
      </c>
      <c r="F2330" s="15" t="s">
        <v>882</v>
      </c>
      <c r="G2330" s="15" t="s">
        <v>112</v>
      </c>
      <c r="H2330" s="15"/>
    </row>
    <row r="2331" customFormat="false" ht="26.25" hidden="false" customHeight="true" outlineLevel="0" collapsed="false">
      <c r="A2331" s="15" t="s">
        <v>227</v>
      </c>
      <c r="B2331" s="15" t="s">
        <v>896</v>
      </c>
      <c r="C2331" s="15" t="s">
        <v>98</v>
      </c>
      <c r="D2331" s="15" t="s">
        <v>732</v>
      </c>
      <c r="E2331" s="15"/>
      <c r="F2331" s="15" t="s">
        <v>876</v>
      </c>
      <c r="G2331" s="15" t="s">
        <v>112</v>
      </c>
      <c r="H2331" s="15"/>
    </row>
    <row r="2332" customFormat="false" ht="26.25" hidden="false" customHeight="true" outlineLevel="0" collapsed="false">
      <c r="A2332" s="15" t="s">
        <v>227</v>
      </c>
      <c r="B2332" s="15" t="s">
        <v>896</v>
      </c>
      <c r="C2332" s="15" t="s">
        <v>830</v>
      </c>
      <c r="D2332" s="15" t="s">
        <v>831</v>
      </c>
      <c r="E2332" s="15"/>
      <c r="F2332" s="15" t="s">
        <v>883</v>
      </c>
      <c r="G2332" s="15" t="s">
        <v>112</v>
      </c>
      <c r="H2332" s="15"/>
    </row>
    <row r="2333" customFormat="false" ht="26.25" hidden="false" customHeight="true" outlineLevel="0" collapsed="false">
      <c r="A2333" s="15" t="s">
        <v>227</v>
      </c>
      <c r="B2333" s="15" t="s">
        <v>896</v>
      </c>
      <c r="C2333" s="15" t="s">
        <v>833</v>
      </c>
      <c r="D2333" s="15" t="s">
        <v>834</v>
      </c>
      <c r="E2333" s="15"/>
      <c r="F2333" s="15" t="s">
        <v>883</v>
      </c>
      <c r="G2333" s="15" t="s">
        <v>112</v>
      </c>
      <c r="H2333" s="15"/>
    </row>
    <row r="2334" customFormat="false" ht="26.25" hidden="false" customHeight="true" outlineLevel="0" collapsed="false">
      <c r="A2334" s="15" t="s">
        <v>227</v>
      </c>
      <c r="B2334" s="15" t="s">
        <v>896</v>
      </c>
      <c r="C2334" s="15" t="s">
        <v>835</v>
      </c>
      <c r="D2334" s="15" t="s">
        <v>836</v>
      </c>
      <c r="E2334" s="15"/>
      <c r="F2334" s="15" t="s">
        <v>883</v>
      </c>
      <c r="G2334" s="15" t="s">
        <v>112</v>
      </c>
      <c r="H2334" s="15"/>
    </row>
    <row r="2335" customFormat="false" ht="26.25" hidden="false" customHeight="true" outlineLevel="0" collapsed="false">
      <c r="A2335" s="15" t="s">
        <v>227</v>
      </c>
      <c r="B2335" s="15" t="s">
        <v>896</v>
      </c>
      <c r="C2335" s="15" t="s">
        <v>837</v>
      </c>
      <c r="D2335" s="15" t="n">
        <v>10000</v>
      </c>
      <c r="E2335" s="15" t="s">
        <v>838</v>
      </c>
      <c r="F2335" s="15" t="s">
        <v>883</v>
      </c>
      <c r="G2335" s="15" t="s">
        <v>112</v>
      </c>
      <c r="H2335" s="15"/>
    </row>
    <row r="2336" customFormat="false" ht="26.25" hidden="false" customHeight="true" outlineLevel="0" collapsed="false">
      <c r="A2336" s="15" t="s">
        <v>227</v>
      </c>
      <c r="B2336" s="15" t="s">
        <v>896</v>
      </c>
      <c r="C2336" s="15" t="s">
        <v>839</v>
      </c>
      <c r="D2336" s="15" t="s">
        <v>840</v>
      </c>
      <c r="E2336" s="15"/>
      <c r="F2336" s="15" t="s">
        <v>883</v>
      </c>
      <c r="G2336" s="15" t="s">
        <v>112</v>
      </c>
      <c r="H2336" s="15"/>
    </row>
    <row r="2337" customFormat="false" ht="26.25" hidden="false" customHeight="true" outlineLevel="0" collapsed="false">
      <c r="A2337" s="15" t="s">
        <v>227</v>
      </c>
      <c r="B2337" s="15" t="s">
        <v>896</v>
      </c>
      <c r="C2337" s="15" t="s">
        <v>841</v>
      </c>
      <c r="D2337" s="15" t="s">
        <v>842</v>
      </c>
      <c r="E2337" s="15"/>
      <c r="F2337" s="15" t="s">
        <v>883</v>
      </c>
      <c r="G2337" s="15" t="s">
        <v>112</v>
      </c>
      <c r="H2337" s="15"/>
    </row>
    <row r="2338" customFormat="false" ht="26.25" hidden="false" customHeight="true" outlineLevel="0" collapsed="false">
      <c r="A2338" s="15" t="s">
        <v>227</v>
      </c>
      <c r="B2338" s="15" t="s">
        <v>896</v>
      </c>
      <c r="C2338" s="15" t="s">
        <v>843</v>
      </c>
      <c r="D2338" s="15" t="s">
        <v>844</v>
      </c>
      <c r="E2338" s="15"/>
      <c r="F2338" s="15" t="s">
        <v>876</v>
      </c>
      <c r="G2338" s="15" t="s">
        <v>112</v>
      </c>
      <c r="H2338" s="15"/>
    </row>
    <row r="2339" customFormat="false" ht="26.25" hidden="false" customHeight="true" outlineLevel="0" collapsed="false">
      <c r="A2339" s="15" t="s">
        <v>227</v>
      </c>
      <c r="B2339" s="15" t="s">
        <v>896</v>
      </c>
      <c r="C2339" s="15" t="s">
        <v>737</v>
      </c>
      <c r="D2339" s="15" t="n">
        <v>210</v>
      </c>
      <c r="E2339" s="15" t="s">
        <v>738</v>
      </c>
      <c r="F2339" s="15" t="s">
        <v>876</v>
      </c>
      <c r="G2339" s="15" t="s">
        <v>112</v>
      </c>
      <c r="H2339" s="15"/>
    </row>
    <row r="2340" customFormat="false" ht="26.25" hidden="false" customHeight="true" outlineLevel="0" collapsed="false">
      <c r="A2340" s="15" t="s">
        <v>227</v>
      </c>
      <c r="B2340" s="15" t="s">
        <v>896</v>
      </c>
      <c r="C2340" s="15" t="s">
        <v>739</v>
      </c>
      <c r="D2340" s="15" t="n">
        <v>180</v>
      </c>
      <c r="E2340" s="15" t="s">
        <v>738</v>
      </c>
      <c r="F2340" s="15" t="s">
        <v>876</v>
      </c>
      <c r="G2340" s="15" t="s">
        <v>112</v>
      </c>
      <c r="H2340" s="15"/>
    </row>
    <row r="2341" customFormat="false" ht="26.25" hidden="false" customHeight="true" outlineLevel="0" collapsed="false">
      <c r="A2341" s="15" t="s">
        <v>227</v>
      </c>
      <c r="B2341" s="15" t="s">
        <v>896</v>
      </c>
      <c r="C2341" s="15" t="s">
        <v>740</v>
      </c>
      <c r="D2341" s="15" t="n">
        <v>8</v>
      </c>
      <c r="E2341" s="15" t="s">
        <v>741</v>
      </c>
      <c r="F2341" s="15" t="s">
        <v>876</v>
      </c>
      <c r="G2341" s="15" t="s">
        <v>112</v>
      </c>
      <c r="H2341" s="15"/>
    </row>
    <row r="2342" customFormat="false" ht="26.25" hidden="false" customHeight="true" outlineLevel="0" collapsed="false">
      <c r="A2342" s="15" t="s">
        <v>227</v>
      </c>
      <c r="B2342" s="15" t="s">
        <v>896</v>
      </c>
      <c r="C2342" s="15" t="s">
        <v>742</v>
      </c>
      <c r="D2342" s="15" t="n">
        <v>11.7</v>
      </c>
      <c r="E2342" s="15" t="s">
        <v>741</v>
      </c>
      <c r="F2342" s="15" t="s">
        <v>876</v>
      </c>
      <c r="G2342" s="15" t="s">
        <v>112</v>
      </c>
      <c r="H2342" s="15"/>
    </row>
    <row r="2343" customFormat="false" ht="26.25" hidden="false" customHeight="true" outlineLevel="0" collapsed="false">
      <c r="A2343" s="15" t="s">
        <v>227</v>
      </c>
      <c r="B2343" s="15" t="s">
        <v>896</v>
      </c>
      <c r="C2343" s="15" t="s">
        <v>733</v>
      </c>
      <c r="D2343" s="15" t="s">
        <v>808</v>
      </c>
      <c r="E2343" s="15"/>
      <c r="F2343" s="15" t="s">
        <v>882</v>
      </c>
      <c r="G2343" s="15" t="s">
        <v>112</v>
      </c>
      <c r="H2343" s="15"/>
    </row>
    <row r="2344" customFormat="false" ht="26.25" hidden="false" customHeight="true" outlineLevel="0" collapsed="false">
      <c r="A2344" s="15" t="s">
        <v>227</v>
      </c>
      <c r="B2344" s="15" t="s">
        <v>896</v>
      </c>
      <c r="C2344" s="15" t="s">
        <v>785</v>
      </c>
      <c r="D2344" s="15" t="n">
        <v>409</v>
      </c>
      <c r="E2344" s="15" t="s">
        <v>786</v>
      </c>
      <c r="F2344" s="15" t="s">
        <v>879</v>
      </c>
      <c r="G2344" s="15" t="s">
        <v>112</v>
      </c>
      <c r="H2344" s="15"/>
    </row>
    <row r="2345" customFormat="false" ht="26.25" hidden="false" customHeight="true" outlineLevel="0" collapsed="false">
      <c r="A2345" s="15" t="s">
        <v>227</v>
      </c>
      <c r="B2345" s="15" t="s">
        <v>896</v>
      </c>
      <c r="C2345" s="15" t="s">
        <v>887</v>
      </c>
      <c r="D2345" s="15" t="s">
        <v>888</v>
      </c>
      <c r="E2345" s="15"/>
      <c r="F2345" s="15" t="s">
        <v>889</v>
      </c>
      <c r="G2345" s="15" t="s">
        <v>112</v>
      </c>
      <c r="H2345" s="15" t="s">
        <v>890</v>
      </c>
    </row>
    <row r="2346" customFormat="false" ht="26.25" hidden="false" customHeight="true" outlineLevel="0" collapsed="false">
      <c r="A2346" s="15" t="s">
        <v>227</v>
      </c>
      <c r="B2346" s="15" t="s">
        <v>896</v>
      </c>
      <c r="C2346" s="15" t="s">
        <v>769</v>
      </c>
      <c r="D2346" s="15" t="s">
        <v>892</v>
      </c>
      <c r="E2346" s="15" t="s">
        <v>721</v>
      </c>
      <c r="F2346" s="15" t="s">
        <v>876</v>
      </c>
      <c r="G2346" s="15" t="s">
        <v>112</v>
      </c>
      <c r="H2346" s="15"/>
    </row>
    <row r="2347" customFormat="false" ht="26.25" hidden="false" customHeight="true" outlineLevel="0" collapsed="false">
      <c r="A2347" s="15" t="s">
        <v>227</v>
      </c>
      <c r="B2347" s="15" t="s">
        <v>896</v>
      </c>
      <c r="C2347" s="15" t="s">
        <v>86</v>
      </c>
      <c r="D2347" s="15" t="n">
        <v>7</v>
      </c>
      <c r="E2347" s="15" t="s">
        <v>721</v>
      </c>
      <c r="F2347" s="15" t="s">
        <v>876</v>
      </c>
      <c r="G2347" s="15" t="s">
        <v>112</v>
      </c>
      <c r="H2347" s="15"/>
    </row>
    <row r="2348" customFormat="false" ht="26.25" hidden="false" customHeight="true" outlineLevel="0" collapsed="false">
      <c r="A2348" s="15" t="s">
        <v>227</v>
      </c>
      <c r="B2348" s="15" t="s">
        <v>896</v>
      </c>
      <c r="C2348" s="15" t="s">
        <v>764</v>
      </c>
      <c r="D2348" s="15" t="s">
        <v>803</v>
      </c>
      <c r="E2348" s="15"/>
      <c r="F2348" s="15" t="s">
        <v>876</v>
      </c>
      <c r="G2348" s="15" t="s">
        <v>112</v>
      </c>
      <c r="H2348" s="15"/>
    </row>
    <row r="2349" customFormat="false" ht="26.25" hidden="false" customHeight="true" outlineLevel="0" collapsed="false">
      <c r="A2349" s="15" t="s">
        <v>227</v>
      </c>
      <c r="B2349" s="15" t="s">
        <v>896</v>
      </c>
      <c r="C2349" s="15" t="s">
        <v>749</v>
      </c>
      <c r="D2349" s="15" t="s">
        <v>895</v>
      </c>
      <c r="E2349" s="15"/>
      <c r="F2349" s="15" t="s">
        <v>876</v>
      </c>
      <c r="G2349" s="15" t="s">
        <v>112</v>
      </c>
      <c r="H2349" s="15"/>
    </row>
    <row r="2350" customFormat="false" ht="26.25" hidden="false" customHeight="true" outlineLevel="0" collapsed="false">
      <c r="A2350" s="15" t="s">
        <v>227</v>
      </c>
      <c r="B2350" s="15" t="s">
        <v>896</v>
      </c>
      <c r="C2350" s="15" t="s">
        <v>752</v>
      </c>
      <c r="D2350" s="15" t="s">
        <v>865</v>
      </c>
      <c r="E2350" s="15"/>
      <c r="F2350" s="15" t="s">
        <v>876</v>
      </c>
      <c r="G2350" s="15" t="s">
        <v>112</v>
      </c>
      <c r="H2350" s="15"/>
    </row>
    <row r="2351" customFormat="false" ht="26.25" hidden="false" customHeight="true" outlineLevel="0" collapsed="false">
      <c r="A2351" s="15" t="s">
        <v>227</v>
      </c>
      <c r="B2351" s="15" t="s">
        <v>896</v>
      </c>
      <c r="C2351" s="15" t="s">
        <v>754</v>
      </c>
      <c r="D2351" s="15" t="s">
        <v>803</v>
      </c>
      <c r="E2351" s="15"/>
      <c r="F2351" s="15" t="s">
        <v>876</v>
      </c>
      <c r="G2351" s="15" t="s">
        <v>112</v>
      </c>
      <c r="H2351" s="15"/>
    </row>
    <row r="2352" customFormat="false" ht="26.25" hidden="false" customHeight="true" outlineLevel="0" collapsed="false">
      <c r="A2352" s="15" t="s">
        <v>227</v>
      </c>
      <c r="B2352" s="15" t="s">
        <v>896</v>
      </c>
      <c r="C2352" s="15" t="s">
        <v>884</v>
      </c>
      <c r="D2352" s="15" t="s">
        <v>803</v>
      </c>
      <c r="E2352" s="15"/>
      <c r="F2352" s="15" t="s">
        <v>876</v>
      </c>
      <c r="G2352" s="15" t="s">
        <v>112</v>
      </c>
      <c r="H2352" s="15"/>
    </row>
    <row r="2353" customFormat="false" ht="26.25" hidden="false" customHeight="true" outlineLevel="0" collapsed="false">
      <c r="A2353" s="15" t="s">
        <v>227</v>
      </c>
      <c r="B2353" s="15" t="s">
        <v>896</v>
      </c>
      <c r="C2353" s="15" t="s">
        <v>756</v>
      </c>
      <c r="D2353" s="15" t="s">
        <v>858</v>
      </c>
      <c r="E2353" s="15"/>
      <c r="F2353" s="15" t="s">
        <v>876</v>
      </c>
      <c r="G2353" s="15" t="s">
        <v>112</v>
      </c>
      <c r="H2353" s="15"/>
    </row>
    <row r="2354" customFormat="false" ht="26.25" hidden="false" customHeight="true" outlineLevel="0" collapsed="false">
      <c r="A2354" s="15" t="s">
        <v>227</v>
      </c>
      <c r="B2354" s="15" t="s">
        <v>896</v>
      </c>
      <c r="C2354" s="15" t="s">
        <v>757</v>
      </c>
      <c r="D2354" s="15" t="s">
        <v>797</v>
      </c>
      <c r="E2354" s="15"/>
      <c r="F2354" s="15" t="s">
        <v>876</v>
      </c>
      <c r="G2354" s="15" t="s">
        <v>112</v>
      </c>
      <c r="H2354" s="15"/>
    </row>
    <row r="2355" customFormat="false" ht="26.25" hidden="false" customHeight="true" outlineLevel="0" collapsed="false">
      <c r="A2355" s="15" t="s">
        <v>227</v>
      </c>
      <c r="B2355" s="15" t="s">
        <v>896</v>
      </c>
      <c r="C2355" s="15" t="s">
        <v>759</v>
      </c>
      <c r="D2355" s="15" t="s">
        <v>798</v>
      </c>
      <c r="E2355" s="15"/>
      <c r="F2355" s="15" t="s">
        <v>876</v>
      </c>
      <c r="G2355" s="15" t="s">
        <v>112</v>
      </c>
      <c r="H2355" s="15"/>
    </row>
    <row r="2356" customFormat="false" ht="26.25" hidden="false" customHeight="true" outlineLevel="0" collapsed="false">
      <c r="A2356" s="15" t="s">
        <v>227</v>
      </c>
      <c r="B2356" s="15" t="s">
        <v>896</v>
      </c>
      <c r="C2356" s="15" t="s">
        <v>761</v>
      </c>
      <c r="D2356" s="15" t="s">
        <v>816</v>
      </c>
      <c r="E2356" s="15"/>
      <c r="F2356" s="15" t="s">
        <v>876</v>
      </c>
      <c r="G2356" s="15" t="s">
        <v>112</v>
      </c>
      <c r="H2356" s="15"/>
    </row>
    <row r="2357" customFormat="false" ht="26.25" hidden="false" customHeight="true" outlineLevel="0" collapsed="false">
      <c r="A2357" s="15" t="s">
        <v>227</v>
      </c>
      <c r="B2357" s="15" t="s">
        <v>896</v>
      </c>
      <c r="C2357" s="15" t="s">
        <v>762</v>
      </c>
      <c r="D2357" s="15" t="s">
        <v>803</v>
      </c>
      <c r="E2357" s="15"/>
      <c r="F2357" s="15" t="s">
        <v>876</v>
      </c>
      <c r="G2357" s="15" t="s">
        <v>112</v>
      </c>
      <c r="H2357" s="15"/>
    </row>
    <row r="2358" customFormat="false" ht="26.25" hidden="false" customHeight="true" outlineLevel="0" collapsed="false">
      <c r="A2358" s="15" t="s">
        <v>227</v>
      </c>
      <c r="B2358" s="15" t="s">
        <v>896</v>
      </c>
      <c r="C2358" s="15" t="s">
        <v>92</v>
      </c>
      <c r="D2358" s="15" t="s">
        <v>803</v>
      </c>
      <c r="E2358" s="15"/>
      <c r="F2358" s="15" t="s">
        <v>876</v>
      </c>
      <c r="G2358" s="15" t="s">
        <v>112</v>
      </c>
      <c r="H2358" s="15"/>
    </row>
    <row r="2359" customFormat="false" ht="26.25" hidden="false" customHeight="true" outlineLevel="0" collapsed="false">
      <c r="A2359" s="15" t="s">
        <v>227</v>
      </c>
      <c r="B2359" s="15" t="s">
        <v>896</v>
      </c>
      <c r="C2359" s="15" t="s">
        <v>848</v>
      </c>
      <c r="D2359" s="15" t="s">
        <v>859</v>
      </c>
      <c r="E2359" s="15"/>
      <c r="F2359" s="15" t="s">
        <v>876</v>
      </c>
      <c r="G2359" s="15" t="s">
        <v>112</v>
      </c>
      <c r="H2359" s="15"/>
    </row>
    <row r="2360" customFormat="false" ht="26.25" hidden="false" customHeight="true" outlineLevel="0" collapsed="false">
      <c r="A2360" s="15" t="s">
        <v>227</v>
      </c>
      <c r="B2360" s="15" t="s">
        <v>896</v>
      </c>
      <c r="C2360" s="15" t="s">
        <v>747</v>
      </c>
      <c r="D2360" s="15" t="s">
        <v>893</v>
      </c>
      <c r="E2360" s="15"/>
      <c r="F2360" s="15" t="s">
        <v>876</v>
      </c>
      <c r="G2360" s="15" t="s">
        <v>112</v>
      </c>
      <c r="H2360" s="15"/>
    </row>
    <row r="2361" customFormat="false" ht="26.25" hidden="false" customHeight="true" outlineLevel="0" collapsed="false">
      <c r="A2361" s="15" t="s">
        <v>227</v>
      </c>
      <c r="B2361" s="15" t="s">
        <v>896</v>
      </c>
      <c r="C2361" s="15" t="s">
        <v>851</v>
      </c>
      <c r="D2361" s="15" t="s">
        <v>860</v>
      </c>
      <c r="E2361" s="15"/>
      <c r="F2361" s="15" t="s">
        <v>876</v>
      </c>
      <c r="G2361" s="15" t="s">
        <v>112</v>
      </c>
      <c r="H2361" s="15"/>
    </row>
    <row r="2362" customFormat="false" ht="26.25" hidden="false" customHeight="true" outlineLevel="0" collapsed="false">
      <c r="A2362" s="15" t="s">
        <v>227</v>
      </c>
      <c r="B2362" s="15" t="s">
        <v>896</v>
      </c>
      <c r="C2362" s="15" t="s">
        <v>853</v>
      </c>
      <c r="D2362" s="15" t="s">
        <v>866</v>
      </c>
      <c r="E2362" s="15"/>
      <c r="F2362" s="15" t="s">
        <v>876</v>
      </c>
      <c r="G2362" s="15" t="s">
        <v>112</v>
      </c>
      <c r="H2362" s="15"/>
    </row>
    <row r="2363" customFormat="false" ht="26.25" hidden="false" customHeight="true" outlineLevel="0" collapsed="false">
      <c r="A2363" s="15" t="s">
        <v>227</v>
      </c>
      <c r="B2363" s="15" t="s">
        <v>896</v>
      </c>
      <c r="C2363" s="15" t="s">
        <v>854</v>
      </c>
      <c r="D2363" s="15" t="s">
        <v>803</v>
      </c>
      <c r="E2363" s="15"/>
      <c r="F2363" s="15" t="s">
        <v>876</v>
      </c>
      <c r="G2363" s="15" t="s">
        <v>112</v>
      </c>
      <c r="H2363" s="15"/>
    </row>
    <row r="2364" customFormat="false" ht="26.25" hidden="false" customHeight="true" outlineLevel="0" collapsed="false">
      <c r="A2364" s="15" t="s">
        <v>227</v>
      </c>
      <c r="B2364" s="15" t="s">
        <v>896</v>
      </c>
      <c r="C2364" s="15" t="s">
        <v>855</v>
      </c>
      <c r="D2364" s="15" t="s">
        <v>862</v>
      </c>
      <c r="E2364" s="15"/>
      <c r="F2364" s="15" t="s">
        <v>876</v>
      </c>
      <c r="G2364" s="15" t="s">
        <v>112</v>
      </c>
      <c r="H2364" s="15"/>
    </row>
    <row r="2365" customFormat="false" ht="26.25" hidden="false" customHeight="true" outlineLevel="0" collapsed="false">
      <c r="A2365" s="15" t="s">
        <v>227</v>
      </c>
      <c r="B2365" s="15" t="s">
        <v>896</v>
      </c>
      <c r="C2365" s="15" t="s">
        <v>857</v>
      </c>
      <c r="D2365" s="15" t="s">
        <v>803</v>
      </c>
      <c r="E2365" s="15"/>
      <c r="F2365" s="15" t="s">
        <v>876</v>
      </c>
      <c r="G2365" s="15" t="s">
        <v>112</v>
      </c>
      <c r="H2365" s="15"/>
    </row>
    <row r="2366" customFormat="false" ht="26.25" hidden="false" customHeight="true" outlineLevel="0" collapsed="false">
      <c r="A2366" s="15" t="s">
        <v>227</v>
      </c>
      <c r="B2366" s="15" t="s">
        <v>896</v>
      </c>
      <c r="C2366" s="15" t="s">
        <v>886</v>
      </c>
      <c r="D2366" s="15" t="s">
        <v>803</v>
      </c>
      <c r="E2366" s="15"/>
      <c r="F2366" s="15" t="s">
        <v>876</v>
      </c>
      <c r="G2366" s="15" t="s">
        <v>112</v>
      </c>
      <c r="H2366" s="15"/>
    </row>
    <row r="2367" customFormat="false" ht="15" hidden="false" customHeight="true" outlineLevel="0" collapsed="false">
      <c r="A2367" s="15" t="s">
        <v>299</v>
      </c>
      <c r="B2367" s="15" t="s">
        <v>301</v>
      </c>
      <c r="C2367" s="15" t="s">
        <v>769</v>
      </c>
      <c r="D2367" s="15" t="n">
        <v>5</v>
      </c>
      <c r="E2367" s="15" t="s">
        <v>721</v>
      </c>
      <c r="F2367" s="15" t="s">
        <v>897</v>
      </c>
      <c r="G2367" s="15" t="s">
        <v>112</v>
      </c>
      <c r="H2367" s="15"/>
    </row>
    <row r="2368" customFormat="false" ht="15" hidden="false" customHeight="true" outlineLevel="0" collapsed="false">
      <c r="A2368" s="15" t="s">
        <v>299</v>
      </c>
      <c r="B2368" s="15" t="s">
        <v>301</v>
      </c>
      <c r="C2368" s="15" t="s">
        <v>737</v>
      </c>
      <c r="D2368" s="15" t="n">
        <v>110</v>
      </c>
      <c r="E2368" s="15" t="s">
        <v>738</v>
      </c>
      <c r="F2368" s="15" t="s">
        <v>897</v>
      </c>
      <c r="G2368" s="15" t="s">
        <v>112</v>
      </c>
      <c r="H2368" s="15"/>
    </row>
    <row r="2369" customFormat="false" ht="15" hidden="false" customHeight="true" outlineLevel="0" collapsed="false">
      <c r="A2369" s="15" t="s">
        <v>299</v>
      </c>
      <c r="B2369" s="15" t="s">
        <v>301</v>
      </c>
      <c r="C2369" s="15" t="s">
        <v>714</v>
      </c>
      <c r="D2369" s="15" t="n">
        <v>310</v>
      </c>
      <c r="E2369" s="15" t="s">
        <v>715</v>
      </c>
      <c r="F2369" s="15" t="s">
        <v>897</v>
      </c>
      <c r="G2369" s="15" t="s">
        <v>112</v>
      </c>
      <c r="H2369" s="15"/>
    </row>
    <row r="2370" customFormat="false" ht="15" hidden="false" customHeight="true" outlineLevel="0" collapsed="false">
      <c r="A2370" s="15" t="s">
        <v>299</v>
      </c>
      <c r="B2370" s="15" t="s">
        <v>301</v>
      </c>
      <c r="C2370" s="15" t="s">
        <v>718</v>
      </c>
      <c r="D2370" s="15" t="s">
        <v>302</v>
      </c>
      <c r="E2370" s="15"/>
      <c r="F2370" s="15" t="s">
        <v>897</v>
      </c>
      <c r="G2370" s="15" t="s">
        <v>112</v>
      </c>
      <c r="H2370" s="15"/>
    </row>
    <row r="2371" customFormat="false" ht="15" hidden="false" customHeight="true" outlineLevel="0" collapsed="false">
      <c r="A2371" s="15" t="s">
        <v>299</v>
      </c>
      <c r="B2371" s="15" t="s">
        <v>301</v>
      </c>
      <c r="C2371" s="15" t="s">
        <v>811</v>
      </c>
      <c r="D2371" s="15" t="n">
        <v>8.3</v>
      </c>
      <c r="E2371" s="15" t="s">
        <v>812</v>
      </c>
      <c r="F2371" s="15" t="s">
        <v>897</v>
      </c>
      <c r="G2371" s="15" t="s">
        <v>112</v>
      </c>
      <c r="H2371" s="15"/>
    </row>
    <row r="2372" customFormat="false" ht="15" hidden="false" customHeight="true" outlineLevel="0" collapsed="false">
      <c r="A2372" s="15" t="s">
        <v>299</v>
      </c>
      <c r="B2372" s="15" t="s">
        <v>301</v>
      </c>
      <c r="C2372" s="15" t="s">
        <v>733</v>
      </c>
      <c r="D2372" s="15" t="s">
        <v>898</v>
      </c>
      <c r="E2372" s="15"/>
      <c r="F2372" s="15" t="s">
        <v>897</v>
      </c>
      <c r="G2372" s="15" t="s">
        <v>112</v>
      </c>
      <c r="H2372" s="15"/>
    </row>
    <row r="2373" customFormat="false" ht="15" hidden="false" customHeight="true" outlineLevel="0" collapsed="false">
      <c r="A2373" s="15" t="s">
        <v>299</v>
      </c>
      <c r="B2373" s="15" t="s">
        <v>301</v>
      </c>
      <c r="C2373" s="15" t="s">
        <v>739</v>
      </c>
      <c r="D2373" s="15" t="n">
        <v>50</v>
      </c>
      <c r="E2373" s="15" t="s">
        <v>738</v>
      </c>
      <c r="F2373" s="15" t="s">
        <v>897</v>
      </c>
      <c r="G2373" s="15" t="s">
        <v>112</v>
      </c>
      <c r="H2373" s="15" t="s">
        <v>899</v>
      </c>
    </row>
    <row r="2374" customFormat="false" ht="15" hidden="false" customHeight="true" outlineLevel="0" collapsed="false">
      <c r="A2374" s="15" t="s">
        <v>299</v>
      </c>
      <c r="B2374" s="15" t="s">
        <v>301</v>
      </c>
      <c r="C2374" s="15" t="s">
        <v>900</v>
      </c>
      <c r="D2374" s="15" t="n">
        <v>50</v>
      </c>
      <c r="E2374" s="15" t="s">
        <v>720</v>
      </c>
      <c r="F2374" s="15" t="s">
        <v>897</v>
      </c>
      <c r="G2374" s="15" t="s">
        <v>112</v>
      </c>
      <c r="H2374" s="15"/>
    </row>
    <row r="2375" customFormat="false" ht="15" hidden="false" customHeight="true" outlineLevel="0" collapsed="false">
      <c r="A2375" s="15" t="s">
        <v>299</v>
      </c>
      <c r="B2375" s="15" t="s">
        <v>301</v>
      </c>
      <c r="C2375" s="15" t="s">
        <v>742</v>
      </c>
      <c r="D2375" s="15" t="n">
        <v>6.5</v>
      </c>
      <c r="E2375" s="15" t="s">
        <v>741</v>
      </c>
      <c r="F2375" s="15" t="s">
        <v>897</v>
      </c>
      <c r="G2375" s="15" t="s">
        <v>112</v>
      </c>
      <c r="H2375" s="15"/>
    </row>
    <row r="2376" customFormat="false" ht="26.25" hidden="false" customHeight="true" outlineLevel="0" collapsed="false">
      <c r="A2376" s="15" t="s">
        <v>299</v>
      </c>
      <c r="B2376" s="15" t="s">
        <v>301</v>
      </c>
      <c r="C2376" s="15" t="s">
        <v>784</v>
      </c>
      <c r="D2376" s="15" t="n">
        <v>6.6</v>
      </c>
      <c r="E2376" s="15" t="s">
        <v>738</v>
      </c>
      <c r="F2376" s="15" t="s">
        <v>901</v>
      </c>
      <c r="G2376" s="15" t="s">
        <v>112</v>
      </c>
      <c r="H2376" s="15" t="s">
        <v>902</v>
      </c>
    </row>
    <row r="2377" customFormat="false" ht="39" hidden="false" customHeight="true" outlineLevel="0" collapsed="false">
      <c r="A2377" s="15" t="s">
        <v>299</v>
      </c>
      <c r="B2377" s="15" t="s">
        <v>301</v>
      </c>
      <c r="C2377" s="15" t="s">
        <v>875</v>
      </c>
      <c r="D2377" s="15" t="n">
        <v>3</v>
      </c>
      <c r="E2377" s="15"/>
      <c r="F2377" s="15" t="s">
        <v>897</v>
      </c>
      <c r="G2377" s="15" t="s">
        <v>819</v>
      </c>
      <c r="H2377" s="15" t="s">
        <v>903</v>
      </c>
    </row>
    <row r="2378" customFormat="false" ht="15" hidden="false" customHeight="true" outlineLevel="0" collapsed="false">
      <c r="A2378" s="15" t="s">
        <v>299</v>
      </c>
      <c r="B2378" s="15" t="s">
        <v>301</v>
      </c>
      <c r="C2378" s="15" t="s">
        <v>789</v>
      </c>
      <c r="D2378" s="15" t="s">
        <v>790</v>
      </c>
      <c r="E2378" s="15"/>
      <c r="F2378" s="15" t="s">
        <v>897</v>
      </c>
      <c r="G2378" s="15" t="s">
        <v>112</v>
      </c>
      <c r="H2378" s="15"/>
    </row>
    <row r="2379" customFormat="false" ht="15" hidden="false" customHeight="true" outlineLevel="0" collapsed="false">
      <c r="A2379" s="15" t="s">
        <v>299</v>
      </c>
      <c r="B2379" s="15" t="s">
        <v>301</v>
      </c>
      <c r="C2379" s="15" t="s">
        <v>722</v>
      </c>
      <c r="D2379" s="15" t="n">
        <v>364</v>
      </c>
      <c r="E2379" s="15" t="s">
        <v>723</v>
      </c>
      <c r="F2379" s="15" t="s">
        <v>897</v>
      </c>
      <c r="G2379" s="15" t="s">
        <v>112</v>
      </c>
      <c r="H2379" s="15"/>
    </row>
    <row r="2380" customFormat="false" ht="15" hidden="false" customHeight="true" outlineLevel="0" collapsed="false">
      <c r="A2380" s="15" t="s">
        <v>299</v>
      </c>
      <c r="B2380" s="15" t="s">
        <v>301</v>
      </c>
      <c r="C2380" s="15" t="s">
        <v>84</v>
      </c>
      <c r="D2380" s="15" t="s">
        <v>904</v>
      </c>
      <c r="E2380" s="15" t="s">
        <v>725</v>
      </c>
      <c r="F2380" s="15" t="s">
        <v>897</v>
      </c>
      <c r="G2380" s="15" t="s">
        <v>112</v>
      </c>
      <c r="H2380" s="15"/>
    </row>
    <row r="2381" customFormat="false" ht="15" hidden="false" customHeight="true" outlineLevel="0" collapsed="false">
      <c r="A2381" s="15" t="s">
        <v>299</v>
      </c>
      <c r="B2381" s="15" t="s">
        <v>301</v>
      </c>
      <c r="C2381" s="15" t="s">
        <v>726</v>
      </c>
      <c r="D2381" s="15" t="n">
        <v>3990</v>
      </c>
      <c r="E2381" s="15" t="s">
        <v>725</v>
      </c>
      <c r="F2381" s="15" t="s">
        <v>897</v>
      </c>
      <c r="G2381" s="15" t="s">
        <v>112</v>
      </c>
      <c r="H2381" s="15"/>
    </row>
    <row r="2382" customFormat="false" ht="15" hidden="false" customHeight="true" outlineLevel="0" collapsed="false">
      <c r="A2382" s="15" t="s">
        <v>299</v>
      </c>
      <c r="B2382" s="15" t="s">
        <v>301</v>
      </c>
      <c r="C2382" s="15" t="s">
        <v>727</v>
      </c>
      <c r="D2382" s="15" t="n">
        <v>1821</v>
      </c>
      <c r="E2382" s="15" t="s">
        <v>725</v>
      </c>
      <c r="F2382" s="15" t="s">
        <v>897</v>
      </c>
      <c r="G2382" s="15" t="s">
        <v>112</v>
      </c>
      <c r="H2382" s="15"/>
    </row>
    <row r="2383" customFormat="false" ht="15" hidden="false" customHeight="true" outlineLevel="0" collapsed="false">
      <c r="A2383" s="15" t="s">
        <v>299</v>
      </c>
      <c r="B2383" s="15" t="s">
        <v>301</v>
      </c>
      <c r="C2383" s="15" t="s">
        <v>728</v>
      </c>
      <c r="D2383" s="15" t="n">
        <v>1653</v>
      </c>
      <c r="E2383" s="15" t="s">
        <v>725</v>
      </c>
      <c r="F2383" s="15" t="s">
        <v>897</v>
      </c>
      <c r="G2383" s="15" t="s">
        <v>112</v>
      </c>
      <c r="H2383" s="15"/>
    </row>
    <row r="2384" customFormat="false" ht="15" hidden="false" customHeight="true" outlineLevel="0" collapsed="false">
      <c r="A2384" s="15" t="s">
        <v>299</v>
      </c>
      <c r="B2384" s="15" t="s">
        <v>301</v>
      </c>
      <c r="C2384" s="15" t="s">
        <v>729</v>
      </c>
      <c r="D2384" s="15" t="n">
        <v>2600</v>
      </c>
      <c r="E2384" s="15" t="s">
        <v>725</v>
      </c>
      <c r="F2384" s="15" t="s">
        <v>897</v>
      </c>
      <c r="G2384" s="15" t="s">
        <v>112</v>
      </c>
      <c r="H2384" s="15"/>
    </row>
    <row r="2385" customFormat="false" ht="15" hidden="false" customHeight="true" outlineLevel="0" collapsed="false">
      <c r="A2385" s="15" t="s">
        <v>299</v>
      </c>
      <c r="B2385" s="15" t="s">
        <v>301</v>
      </c>
      <c r="C2385" s="15" t="s">
        <v>730</v>
      </c>
      <c r="D2385" s="15" t="n">
        <v>10.6</v>
      </c>
      <c r="E2385" s="15" t="s">
        <v>731</v>
      </c>
      <c r="F2385" s="15" t="s">
        <v>897</v>
      </c>
      <c r="G2385" s="15" t="s">
        <v>112</v>
      </c>
      <c r="H2385" s="15"/>
    </row>
    <row r="2386" customFormat="false" ht="15" hidden="false" customHeight="true" outlineLevel="0" collapsed="false">
      <c r="A2386" s="15" t="s">
        <v>299</v>
      </c>
      <c r="B2386" s="15" t="s">
        <v>301</v>
      </c>
      <c r="C2386" s="15" t="s">
        <v>780</v>
      </c>
      <c r="D2386" s="15" t="s">
        <v>905</v>
      </c>
      <c r="E2386" s="15"/>
      <c r="F2386" s="15" t="s">
        <v>897</v>
      </c>
      <c r="G2386" s="15" t="s">
        <v>112</v>
      </c>
      <c r="H2386" s="15"/>
    </row>
    <row r="2387" customFormat="false" ht="15" hidden="false" customHeight="true" outlineLevel="0" collapsed="false">
      <c r="A2387" s="15" t="s">
        <v>299</v>
      </c>
      <c r="B2387" s="15" t="s">
        <v>301</v>
      </c>
      <c r="C2387" s="15" t="s">
        <v>785</v>
      </c>
      <c r="D2387" s="15" t="n">
        <v>351</v>
      </c>
      <c r="E2387" s="15" t="s">
        <v>786</v>
      </c>
      <c r="F2387" s="15" t="s">
        <v>901</v>
      </c>
      <c r="G2387" s="15" t="s">
        <v>112</v>
      </c>
      <c r="H2387" s="15"/>
    </row>
    <row r="2388" customFormat="false" ht="26.25" hidden="false" customHeight="true" outlineLevel="0" collapsed="false">
      <c r="A2388" s="15" t="s">
        <v>299</v>
      </c>
      <c r="B2388" s="15" t="s">
        <v>301</v>
      </c>
      <c r="C2388" s="15" t="s">
        <v>98</v>
      </c>
      <c r="D2388" s="15" t="s">
        <v>906</v>
      </c>
      <c r="E2388" s="15"/>
      <c r="F2388" s="15" t="s">
        <v>897</v>
      </c>
      <c r="G2388" s="15" t="s">
        <v>112</v>
      </c>
      <c r="H2388" s="15" t="s">
        <v>907</v>
      </c>
    </row>
    <row r="2389" customFormat="false" ht="15" hidden="false" customHeight="true" outlineLevel="0" collapsed="false">
      <c r="A2389" s="15" t="s">
        <v>299</v>
      </c>
      <c r="B2389" s="15" t="s">
        <v>301</v>
      </c>
      <c r="C2389" s="15" t="s">
        <v>835</v>
      </c>
      <c r="D2389" s="15" t="s">
        <v>836</v>
      </c>
      <c r="E2389" s="15"/>
      <c r="F2389" s="15" t="s">
        <v>897</v>
      </c>
      <c r="G2389" s="15" t="s">
        <v>112</v>
      </c>
      <c r="H2389" s="15"/>
    </row>
    <row r="2390" customFormat="false" ht="15" hidden="false" customHeight="true" outlineLevel="0" collapsed="false">
      <c r="A2390" s="15" t="s">
        <v>299</v>
      </c>
      <c r="B2390" s="15" t="s">
        <v>301</v>
      </c>
      <c r="C2390" s="15" t="s">
        <v>833</v>
      </c>
      <c r="D2390" s="15" t="s">
        <v>908</v>
      </c>
      <c r="E2390" s="15"/>
      <c r="F2390" s="15" t="s">
        <v>897</v>
      </c>
      <c r="G2390" s="15" t="s">
        <v>112</v>
      </c>
      <c r="H2390" s="15"/>
    </row>
    <row r="2391" customFormat="false" ht="15" hidden="false" customHeight="true" outlineLevel="0" collapsed="false">
      <c r="A2391" s="15" t="s">
        <v>299</v>
      </c>
      <c r="B2391" s="15" t="s">
        <v>301</v>
      </c>
      <c r="C2391" s="15" t="s">
        <v>86</v>
      </c>
      <c r="D2391" s="15" t="n">
        <v>6</v>
      </c>
      <c r="E2391" s="15" t="s">
        <v>721</v>
      </c>
      <c r="F2391" s="15" t="s">
        <v>897</v>
      </c>
      <c r="G2391" s="15" t="s">
        <v>112</v>
      </c>
      <c r="H2391" s="15"/>
    </row>
    <row r="2392" customFormat="false" ht="15" hidden="false" customHeight="true" outlineLevel="0" collapsed="false">
      <c r="A2392" s="15" t="s">
        <v>299</v>
      </c>
      <c r="B2392" s="15" t="s">
        <v>301</v>
      </c>
      <c r="C2392" s="15" t="s">
        <v>764</v>
      </c>
      <c r="D2392" s="15" t="s">
        <v>755</v>
      </c>
      <c r="E2392" s="15"/>
      <c r="F2392" s="15" t="s">
        <v>897</v>
      </c>
      <c r="G2392" s="15" t="s">
        <v>112</v>
      </c>
      <c r="H2392" s="15"/>
    </row>
    <row r="2393" customFormat="false" ht="15" hidden="false" customHeight="true" outlineLevel="0" collapsed="false">
      <c r="A2393" s="15" t="s">
        <v>299</v>
      </c>
      <c r="B2393" s="15" t="s">
        <v>301</v>
      </c>
      <c r="C2393" s="15" t="s">
        <v>757</v>
      </c>
      <c r="D2393" s="15" t="s">
        <v>797</v>
      </c>
      <c r="E2393" s="15"/>
      <c r="F2393" s="15" t="s">
        <v>897</v>
      </c>
      <c r="G2393" s="15" t="s">
        <v>112</v>
      </c>
      <c r="H2393" s="15"/>
    </row>
    <row r="2394" customFormat="false" ht="15" hidden="false" customHeight="true" outlineLevel="0" collapsed="false">
      <c r="A2394" s="15" t="s">
        <v>299</v>
      </c>
      <c r="B2394" s="15" t="s">
        <v>301</v>
      </c>
      <c r="C2394" s="15" t="s">
        <v>854</v>
      </c>
      <c r="D2394" s="15" t="s">
        <v>803</v>
      </c>
      <c r="E2394" s="15"/>
      <c r="F2394" s="15" t="s">
        <v>897</v>
      </c>
      <c r="G2394" s="15" t="s">
        <v>112</v>
      </c>
      <c r="H2394" s="15"/>
    </row>
    <row r="2395" customFormat="false" ht="15" hidden="false" customHeight="true" outlineLevel="0" collapsed="false">
      <c r="A2395" s="15" t="s">
        <v>299</v>
      </c>
      <c r="B2395" s="15" t="s">
        <v>301</v>
      </c>
      <c r="C2395" s="15" t="s">
        <v>855</v>
      </c>
      <c r="D2395" s="15" t="s">
        <v>803</v>
      </c>
      <c r="E2395" s="15"/>
      <c r="F2395" s="15" t="s">
        <v>897</v>
      </c>
      <c r="G2395" s="15" t="s">
        <v>112</v>
      </c>
      <c r="H2395" s="15"/>
    </row>
    <row r="2396" customFormat="false" ht="15" hidden="false" customHeight="true" outlineLevel="0" collapsed="false">
      <c r="A2396" s="15" t="s">
        <v>299</v>
      </c>
      <c r="B2396" s="15" t="s">
        <v>301</v>
      </c>
      <c r="C2396" s="15" t="s">
        <v>848</v>
      </c>
      <c r="D2396" s="15" t="s">
        <v>849</v>
      </c>
      <c r="E2396" s="15"/>
      <c r="F2396" s="15" t="s">
        <v>897</v>
      </c>
      <c r="G2396" s="15" t="s">
        <v>112</v>
      </c>
      <c r="H2396" s="15"/>
    </row>
    <row r="2397" customFormat="false" ht="15" hidden="false" customHeight="true" outlineLevel="0" collapsed="false">
      <c r="A2397" s="15" t="s">
        <v>299</v>
      </c>
      <c r="B2397" s="15" t="s">
        <v>301</v>
      </c>
      <c r="C2397" s="15" t="s">
        <v>853</v>
      </c>
      <c r="D2397" s="15" t="s">
        <v>119</v>
      </c>
      <c r="E2397" s="15"/>
      <c r="F2397" s="15" t="s">
        <v>897</v>
      </c>
      <c r="G2397" s="15" t="s">
        <v>112</v>
      </c>
      <c r="H2397" s="15"/>
    </row>
    <row r="2398" customFormat="false" ht="15" hidden="false" customHeight="true" outlineLevel="0" collapsed="false">
      <c r="A2398" s="15" t="s">
        <v>299</v>
      </c>
      <c r="B2398" s="15" t="s">
        <v>301</v>
      </c>
      <c r="C2398" s="15" t="s">
        <v>743</v>
      </c>
      <c r="D2398" s="15" t="s">
        <v>909</v>
      </c>
      <c r="E2398" s="15"/>
      <c r="F2398" s="15" t="s">
        <v>897</v>
      </c>
      <c r="G2398" s="15" t="s">
        <v>112</v>
      </c>
      <c r="H2398" s="15"/>
    </row>
    <row r="2399" customFormat="false" ht="15" hidden="false" customHeight="true" outlineLevel="0" collapsed="false">
      <c r="A2399" s="15" t="s">
        <v>299</v>
      </c>
      <c r="B2399" s="15" t="s">
        <v>301</v>
      </c>
      <c r="C2399" s="15" t="s">
        <v>749</v>
      </c>
      <c r="D2399" s="15" t="s">
        <v>120</v>
      </c>
      <c r="E2399" s="15"/>
      <c r="F2399" s="15" t="s">
        <v>897</v>
      </c>
      <c r="G2399" s="15" t="s">
        <v>112</v>
      </c>
      <c r="H2399" s="15"/>
    </row>
    <row r="2400" customFormat="false" ht="15" hidden="false" customHeight="true" outlineLevel="0" collapsed="false">
      <c r="A2400" s="15" t="s">
        <v>299</v>
      </c>
      <c r="B2400" s="15" t="s">
        <v>301</v>
      </c>
      <c r="C2400" s="15" t="s">
        <v>752</v>
      </c>
      <c r="D2400" s="15" t="s">
        <v>753</v>
      </c>
      <c r="E2400" s="15"/>
      <c r="F2400" s="15" t="s">
        <v>897</v>
      </c>
      <c r="G2400" s="15" t="s">
        <v>112</v>
      </c>
      <c r="H2400" s="15"/>
    </row>
    <row r="2401" customFormat="false" ht="15" hidden="false" customHeight="true" outlineLevel="0" collapsed="false">
      <c r="A2401" s="15" t="s">
        <v>299</v>
      </c>
      <c r="B2401" s="15" t="s">
        <v>301</v>
      </c>
      <c r="C2401" s="15" t="s">
        <v>90</v>
      </c>
      <c r="D2401" s="15" t="s">
        <v>910</v>
      </c>
      <c r="E2401" s="15"/>
      <c r="F2401" s="15" t="s">
        <v>897</v>
      </c>
      <c r="G2401" s="15" t="s">
        <v>112</v>
      </c>
      <c r="H2401" s="15"/>
    </row>
    <row r="2402" customFormat="false" ht="15" hidden="false" customHeight="true" outlineLevel="0" collapsed="false">
      <c r="A2402" s="15" t="s">
        <v>299</v>
      </c>
      <c r="B2402" s="15" t="s">
        <v>301</v>
      </c>
      <c r="C2402" s="15" t="s">
        <v>759</v>
      </c>
      <c r="D2402" s="15" t="s">
        <v>760</v>
      </c>
      <c r="E2402" s="15"/>
      <c r="F2402" s="15" t="s">
        <v>897</v>
      </c>
      <c r="G2402" s="15" t="s">
        <v>112</v>
      </c>
      <c r="H2402" s="15"/>
    </row>
    <row r="2403" customFormat="false" ht="26.25" hidden="false" customHeight="true" outlineLevel="0" collapsed="false">
      <c r="A2403" s="15" t="s">
        <v>299</v>
      </c>
      <c r="B2403" s="15" t="s">
        <v>301</v>
      </c>
      <c r="C2403" s="15" t="s">
        <v>851</v>
      </c>
      <c r="D2403" s="15" t="s">
        <v>911</v>
      </c>
      <c r="E2403" s="15"/>
      <c r="F2403" s="15" t="s">
        <v>897</v>
      </c>
      <c r="G2403" s="15" t="s">
        <v>112</v>
      </c>
      <c r="H2403" s="15"/>
    </row>
    <row r="2404" customFormat="false" ht="15" hidden="false" customHeight="true" outlineLevel="0" collapsed="false">
      <c r="A2404" s="15" t="s">
        <v>299</v>
      </c>
      <c r="B2404" s="15" t="s">
        <v>301</v>
      </c>
      <c r="C2404" s="15" t="s">
        <v>747</v>
      </c>
      <c r="D2404" s="15" t="s">
        <v>912</v>
      </c>
      <c r="E2404" s="15"/>
      <c r="F2404" s="15" t="s">
        <v>897</v>
      </c>
      <c r="G2404" s="15" t="s">
        <v>112</v>
      </c>
      <c r="H2404" s="15"/>
    </row>
    <row r="2405" customFormat="false" ht="15" hidden="false" customHeight="true" outlineLevel="0" collapsed="false">
      <c r="A2405" s="15" t="s">
        <v>299</v>
      </c>
      <c r="B2405" s="15" t="s">
        <v>301</v>
      </c>
      <c r="C2405" s="15" t="s">
        <v>776</v>
      </c>
      <c r="D2405" s="15" t="s">
        <v>913</v>
      </c>
      <c r="E2405" s="15"/>
      <c r="F2405" s="15" t="s">
        <v>901</v>
      </c>
      <c r="G2405" s="15" t="s">
        <v>112</v>
      </c>
      <c r="H2405" s="15"/>
    </row>
    <row r="2406" customFormat="false" ht="15" hidden="false" customHeight="true" outlineLevel="0" collapsed="false">
      <c r="A2406" s="15" t="s">
        <v>299</v>
      </c>
      <c r="B2406" s="15" t="s">
        <v>301</v>
      </c>
      <c r="C2406" s="15" t="s">
        <v>782</v>
      </c>
      <c r="D2406" s="15" t="n">
        <v>32</v>
      </c>
      <c r="E2406" s="15" t="s">
        <v>783</v>
      </c>
      <c r="F2406" s="15" t="s">
        <v>901</v>
      </c>
      <c r="G2406" s="15" t="s">
        <v>112</v>
      </c>
      <c r="H2406" s="15"/>
    </row>
    <row r="2407" customFormat="false" ht="15" hidden="false" customHeight="true" outlineLevel="0" collapsed="false">
      <c r="A2407" s="15" t="s">
        <v>299</v>
      </c>
      <c r="B2407" s="15" t="s">
        <v>301</v>
      </c>
      <c r="C2407" s="15" t="s">
        <v>857</v>
      </c>
      <c r="D2407" s="15" t="s">
        <v>755</v>
      </c>
      <c r="E2407" s="15"/>
      <c r="F2407" s="15" t="s">
        <v>897</v>
      </c>
      <c r="G2407" s="15" t="s">
        <v>112</v>
      </c>
      <c r="H2407" s="15"/>
    </row>
    <row r="2408" customFormat="false" ht="15" hidden="false" customHeight="true" outlineLevel="0" collapsed="false">
      <c r="A2408" s="15" t="s">
        <v>299</v>
      </c>
      <c r="B2408" s="15" t="s">
        <v>301</v>
      </c>
      <c r="C2408" s="15" t="s">
        <v>756</v>
      </c>
      <c r="D2408" s="15" t="s">
        <v>914</v>
      </c>
      <c r="E2408" s="15"/>
      <c r="F2408" s="15" t="s">
        <v>897</v>
      </c>
      <c r="G2408" s="15" t="s">
        <v>112</v>
      </c>
      <c r="H2408" s="15"/>
    </row>
    <row r="2409" customFormat="false" ht="15" hidden="false" customHeight="true" outlineLevel="0" collapsed="false">
      <c r="A2409" s="15" t="s">
        <v>307</v>
      </c>
      <c r="B2409" s="15" t="s">
        <v>308</v>
      </c>
      <c r="C2409" s="15" t="s">
        <v>769</v>
      </c>
      <c r="D2409" s="15" t="n">
        <v>5</v>
      </c>
      <c r="E2409" s="15" t="s">
        <v>721</v>
      </c>
      <c r="F2409" s="15" t="s">
        <v>897</v>
      </c>
      <c r="G2409" s="15" t="s">
        <v>112</v>
      </c>
      <c r="H2409" s="15"/>
    </row>
    <row r="2410" customFormat="false" ht="15" hidden="false" customHeight="true" outlineLevel="0" collapsed="false">
      <c r="A2410" s="15" t="s">
        <v>307</v>
      </c>
      <c r="B2410" s="15" t="s">
        <v>308</v>
      </c>
      <c r="C2410" s="15" t="s">
        <v>737</v>
      </c>
      <c r="D2410" s="15" t="n">
        <v>110</v>
      </c>
      <c r="E2410" s="15" t="s">
        <v>738</v>
      </c>
      <c r="F2410" s="15" t="s">
        <v>897</v>
      </c>
      <c r="G2410" s="15" t="s">
        <v>112</v>
      </c>
      <c r="H2410" s="15"/>
    </row>
    <row r="2411" customFormat="false" ht="15" hidden="false" customHeight="true" outlineLevel="0" collapsed="false">
      <c r="A2411" s="15" t="s">
        <v>307</v>
      </c>
      <c r="B2411" s="15" t="s">
        <v>308</v>
      </c>
      <c r="C2411" s="15" t="s">
        <v>714</v>
      </c>
      <c r="D2411" s="15" t="n">
        <v>310</v>
      </c>
      <c r="E2411" s="15" t="s">
        <v>715</v>
      </c>
      <c r="F2411" s="15" t="s">
        <v>897</v>
      </c>
      <c r="G2411" s="15" t="s">
        <v>112</v>
      </c>
      <c r="H2411" s="15"/>
    </row>
    <row r="2412" customFormat="false" ht="15" hidden="false" customHeight="true" outlineLevel="0" collapsed="false">
      <c r="A2412" s="15" t="s">
        <v>307</v>
      </c>
      <c r="B2412" s="15" t="s">
        <v>308</v>
      </c>
      <c r="C2412" s="15" t="s">
        <v>718</v>
      </c>
      <c r="D2412" s="15" t="s">
        <v>302</v>
      </c>
      <c r="E2412" s="15"/>
      <c r="F2412" s="15" t="s">
        <v>897</v>
      </c>
      <c r="G2412" s="15" t="s">
        <v>112</v>
      </c>
      <c r="H2412" s="15"/>
    </row>
    <row r="2413" customFormat="false" ht="15" hidden="false" customHeight="true" outlineLevel="0" collapsed="false">
      <c r="A2413" s="15" t="s">
        <v>307</v>
      </c>
      <c r="B2413" s="15" t="s">
        <v>308</v>
      </c>
      <c r="C2413" s="15" t="s">
        <v>811</v>
      </c>
      <c r="D2413" s="15" t="n">
        <v>8.3</v>
      </c>
      <c r="E2413" s="15" t="s">
        <v>812</v>
      </c>
      <c r="F2413" s="15" t="s">
        <v>897</v>
      </c>
      <c r="G2413" s="15" t="s">
        <v>112</v>
      </c>
      <c r="H2413" s="15"/>
    </row>
    <row r="2414" customFormat="false" ht="15" hidden="false" customHeight="true" outlineLevel="0" collapsed="false">
      <c r="A2414" s="15" t="s">
        <v>307</v>
      </c>
      <c r="B2414" s="15" t="s">
        <v>308</v>
      </c>
      <c r="C2414" s="15" t="s">
        <v>733</v>
      </c>
      <c r="D2414" s="15" t="s">
        <v>898</v>
      </c>
      <c r="E2414" s="15"/>
      <c r="F2414" s="15" t="s">
        <v>897</v>
      </c>
      <c r="G2414" s="15" t="s">
        <v>112</v>
      </c>
      <c r="H2414" s="15"/>
    </row>
    <row r="2415" customFormat="false" ht="15" hidden="false" customHeight="true" outlineLevel="0" collapsed="false">
      <c r="A2415" s="15" t="s">
        <v>307</v>
      </c>
      <c r="B2415" s="15" t="s">
        <v>308</v>
      </c>
      <c r="C2415" s="15" t="s">
        <v>739</v>
      </c>
      <c r="D2415" s="15" t="n">
        <v>50</v>
      </c>
      <c r="E2415" s="15" t="s">
        <v>738</v>
      </c>
      <c r="F2415" s="15" t="s">
        <v>897</v>
      </c>
      <c r="G2415" s="15" t="s">
        <v>112</v>
      </c>
      <c r="H2415" s="15" t="s">
        <v>899</v>
      </c>
    </row>
    <row r="2416" customFormat="false" ht="15" hidden="false" customHeight="true" outlineLevel="0" collapsed="false">
      <c r="A2416" s="15" t="s">
        <v>307</v>
      </c>
      <c r="B2416" s="15" t="s">
        <v>308</v>
      </c>
      <c r="C2416" s="15" t="s">
        <v>900</v>
      </c>
      <c r="D2416" s="15" t="n">
        <v>50</v>
      </c>
      <c r="E2416" s="15" t="s">
        <v>720</v>
      </c>
      <c r="F2416" s="15" t="s">
        <v>897</v>
      </c>
      <c r="G2416" s="15" t="s">
        <v>112</v>
      </c>
      <c r="H2416" s="15"/>
    </row>
    <row r="2417" customFormat="false" ht="15" hidden="false" customHeight="true" outlineLevel="0" collapsed="false">
      <c r="A2417" s="15" t="s">
        <v>307</v>
      </c>
      <c r="B2417" s="15" t="s">
        <v>308</v>
      </c>
      <c r="C2417" s="15" t="s">
        <v>742</v>
      </c>
      <c r="D2417" s="15" t="n">
        <v>6.5</v>
      </c>
      <c r="E2417" s="15" t="s">
        <v>741</v>
      </c>
      <c r="F2417" s="15" t="s">
        <v>897</v>
      </c>
      <c r="G2417" s="15" t="s">
        <v>112</v>
      </c>
      <c r="H2417" s="15"/>
    </row>
    <row r="2418" customFormat="false" ht="26.25" hidden="false" customHeight="true" outlineLevel="0" collapsed="false">
      <c r="A2418" s="15" t="s">
        <v>307</v>
      </c>
      <c r="B2418" s="15" t="s">
        <v>308</v>
      </c>
      <c r="C2418" s="15" t="s">
        <v>784</v>
      </c>
      <c r="D2418" s="15" t="n">
        <v>6.6</v>
      </c>
      <c r="E2418" s="15" t="s">
        <v>738</v>
      </c>
      <c r="F2418" s="15" t="s">
        <v>901</v>
      </c>
      <c r="G2418" s="15" t="s">
        <v>112</v>
      </c>
      <c r="H2418" s="15" t="s">
        <v>902</v>
      </c>
    </row>
    <row r="2419" customFormat="false" ht="39" hidden="false" customHeight="true" outlineLevel="0" collapsed="false">
      <c r="A2419" s="15" t="s">
        <v>307</v>
      </c>
      <c r="B2419" s="15" t="s">
        <v>308</v>
      </c>
      <c r="C2419" s="15" t="s">
        <v>875</v>
      </c>
      <c r="D2419" s="15" t="n">
        <v>3</v>
      </c>
      <c r="E2419" s="15"/>
      <c r="F2419" s="15" t="s">
        <v>897</v>
      </c>
      <c r="G2419" s="15" t="s">
        <v>819</v>
      </c>
      <c r="H2419" s="15" t="s">
        <v>903</v>
      </c>
    </row>
    <row r="2420" customFormat="false" ht="15" hidden="false" customHeight="true" outlineLevel="0" collapsed="false">
      <c r="A2420" s="15" t="s">
        <v>307</v>
      </c>
      <c r="B2420" s="15" t="s">
        <v>308</v>
      </c>
      <c r="C2420" s="15" t="s">
        <v>789</v>
      </c>
      <c r="D2420" s="15" t="s">
        <v>790</v>
      </c>
      <c r="E2420" s="15"/>
      <c r="F2420" s="15" t="s">
        <v>897</v>
      </c>
      <c r="G2420" s="15" t="s">
        <v>112</v>
      </c>
      <c r="H2420" s="15"/>
    </row>
    <row r="2421" customFormat="false" ht="15" hidden="false" customHeight="true" outlineLevel="0" collapsed="false">
      <c r="A2421" s="15" t="s">
        <v>307</v>
      </c>
      <c r="B2421" s="15" t="s">
        <v>308</v>
      </c>
      <c r="C2421" s="15" t="s">
        <v>722</v>
      </c>
      <c r="D2421" s="15" t="n">
        <v>364</v>
      </c>
      <c r="E2421" s="15" t="s">
        <v>723</v>
      </c>
      <c r="F2421" s="15" t="s">
        <v>897</v>
      </c>
      <c r="G2421" s="15" t="s">
        <v>112</v>
      </c>
      <c r="H2421" s="15"/>
    </row>
    <row r="2422" customFormat="false" ht="15" hidden="false" customHeight="true" outlineLevel="0" collapsed="false">
      <c r="A2422" s="15" t="s">
        <v>307</v>
      </c>
      <c r="B2422" s="15" t="s">
        <v>308</v>
      </c>
      <c r="C2422" s="15" t="s">
        <v>84</v>
      </c>
      <c r="D2422" s="15" t="s">
        <v>904</v>
      </c>
      <c r="E2422" s="15" t="s">
        <v>725</v>
      </c>
      <c r="F2422" s="15" t="s">
        <v>897</v>
      </c>
      <c r="G2422" s="15" t="s">
        <v>112</v>
      </c>
      <c r="H2422" s="15"/>
    </row>
    <row r="2423" customFormat="false" ht="15" hidden="false" customHeight="true" outlineLevel="0" collapsed="false">
      <c r="A2423" s="15" t="s">
        <v>307</v>
      </c>
      <c r="B2423" s="15" t="s">
        <v>308</v>
      </c>
      <c r="C2423" s="15" t="s">
        <v>726</v>
      </c>
      <c r="D2423" s="15" t="n">
        <v>3990</v>
      </c>
      <c r="E2423" s="15" t="s">
        <v>725</v>
      </c>
      <c r="F2423" s="15" t="s">
        <v>897</v>
      </c>
      <c r="G2423" s="15" t="s">
        <v>112</v>
      </c>
      <c r="H2423" s="15"/>
    </row>
    <row r="2424" customFormat="false" ht="15" hidden="false" customHeight="true" outlineLevel="0" collapsed="false">
      <c r="A2424" s="15" t="s">
        <v>307</v>
      </c>
      <c r="B2424" s="15" t="s">
        <v>308</v>
      </c>
      <c r="C2424" s="15" t="s">
        <v>727</v>
      </c>
      <c r="D2424" s="15" t="n">
        <v>1821</v>
      </c>
      <c r="E2424" s="15" t="s">
        <v>725</v>
      </c>
      <c r="F2424" s="15" t="s">
        <v>897</v>
      </c>
      <c r="G2424" s="15" t="s">
        <v>112</v>
      </c>
      <c r="H2424" s="15"/>
    </row>
    <row r="2425" customFormat="false" ht="15" hidden="false" customHeight="true" outlineLevel="0" collapsed="false">
      <c r="A2425" s="15" t="s">
        <v>307</v>
      </c>
      <c r="B2425" s="15" t="s">
        <v>308</v>
      </c>
      <c r="C2425" s="15" t="s">
        <v>728</v>
      </c>
      <c r="D2425" s="15" t="n">
        <v>1653</v>
      </c>
      <c r="E2425" s="15" t="s">
        <v>725</v>
      </c>
      <c r="F2425" s="15" t="s">
        <v>897</v>
      </c>
      <c r="G2425" s="15" t="s">
        <v>112</v>
      </c>
      <c r="H2425" s="15"/>
    </row>
    <row r="2426" customFormat="false" ht="15" hidden="false" customHeight="true" outlineLevel="0" collapsed="false">
      <c r="A2426" s="15" t="s">
        <v>307</v>
      </c>
      <c r="B2426" s="15" t="s">
        <v>308</v>
      </c>
      <c r="C2426" s="15" t="s">
        <v>729</v>
      </c>
      <c r="D2426" s="15" t="n">
        <v>2600</v>
      </c>
      <c r="E2426" s="15" t="s">
        <v>725</v>
      </c>
      <c r="F2426" s="15" t="s">
        <v>897</v>
      </c>
      <c r="G2426" s="15" t="s">
        <v>112</v>
      </c>
      <c r="H2426" s="15"/>
    </row>
    <row r="2427" customFormat="false" ht="15" hidden="false" customHeight="true" outlineLevel="0" collapsed="false">
      <c r="A2427" s="15" t="s">
        <v>307</v>
      </c>
      <c r="B2427" s="15" t="s">
        <v>308</v>
      </c>
      <c r="C2427" s="15" t="s">
        <v>730</v>
      </c>
      <c r="D2427" s="15" t="n">
        <v>10.6</v>
      </c>
      <c r="E2427" s="15" t="s">
        <v>731</v>
      </c>
      <c r="F2427" s="15" t="s">
        <v>897</v>
      </c>
      <c r="G2427" s="15" t="s">
        <v>112</v>
      </c>
      <c r="H2427" s="15"/>
    </row>
    <row r="2428" customFormat="false" ht="15" hidden="false" customHeight="true" outlineLevel="0" collapsed="false">
      <c r="A2428" s="15" t="s">
        <v>307</v>
      </c>
      <c r="B2428" s="15" t="s">
        <v>308</v>
      </c>
      <c r="C2428" s="15" t="s">
        <v>780</v>
      </c>
      <c r="D2428" s="15" t="s">
        <v>905</v>
      </c>
      <c r="E2428" s="15"/>
      <c r="F2428" s="15" t="s">
        <v>897</v>
      </c>
      <c r="G2428" s="15" t="s">
        <v>112</v>
      </c>
      <c r="H2428" s="15"/>
    </row>
    <row r="2429" customFormat="false" ht="15" hidden="false" customHeight="true" outlineLevel="0" collapsed="false">
      <c r="A2429" s="15" t="s">
        <v>307</v>
      </c>
      <c r="B2429" s="15" t="s">
        <v>308</v>
      </c>
      <c r="C2429" s="15" t="s">
        <v>785</v>
      </c>
      <c r="D2429" s="15" t="n">
        <v>351</v>
      </c>
      <c r="E2429" s="15" t="s">
        <v>786</v>
      </c>
      <c r="F2429" s="15" t="s">
        <v>901</v>
      </c>
      <c r="G2429" s="15" t="s">
        <v>112</v>
      </c>
      <c r="H2429" s="15"/>
    </row>
    <row r="2430" customFormat="false" ht="26.25" hidden="false" customHeight="true" outlineLevel="0" collapsed="false">
      <c r="A2430" s="15" t="s">
        <v>307</v>
      </c>
      <c r="B2430" s="15" t="s">
        <v>308</v>
      </c>
      <c r="C2430" s="15" t="s">
        <v>98</v>
      </c>
      <c r="D2430" s="15" t="s">
        <v>906</v>
      </c>
      <c r="E2430" s="15"/>
      <c r="F2430" s="15" t="s">
        <v>897</v>
      </c>
      <c r="G2430" s="15" t="s">
        <v>112</v>
      </c>
      <c r="H2430" s="15" t="s">
        <v>907</v>
      </c>
    </row>
    <row r="2431" customFormat="false" ht="15" hidden="false" customHeight="true" outlineLevel="0" collapsed="false">
      <c r="A2431" s="15" t="s">
        <v>307</v>
      </c>
      <c r="B2431" s="15" t="s">
        <v>308</v>
      </c>
      <c r="C2431" s="15" t="s">
        <v>835</v>
      </c>
      <c r="D2431" s="15" t="s">
        <v>836</v>
      </c>
      <c r="E2431" s="15"/>
      <c r="F2431" s="15" t="s">
        <v>897</v>
      </c>
      <c r="G2431" s="15" t="s">
        <v>112</v>
      </c>
      <c r="H2431" s="15"/>
    </row>
    <row r="2432" customFormat="false" ht="15" hidden="false" customHeight="true" outlineLevel="0" collapsed="false">
      <c r="A2432" s="15" t="s">
        <v>307</v>
      </c>
      <c r="B2432" s="15" t="s">
        <v>308</v>
      </c>
      <c r="C2432" s="15" t="s">
        <v>833</v>
      </c>
      <c r="D2432" s="15" t="s">
        <v>908</v>
      </c>
      <c r="E2432" s="15"/>
      <c r="F2432" s="15" t="s">
        <v>897</v>
      </c>
      <c r="G2432" s="15" t="s">
        <v>112</v>
      </c>
      <c r="H2432" s="15"/>
    </row>
    <row r="2433" customFormat="false" ht="15" hidden="false" customHeight="true" outlineLevel="0" collapsed="false">
      <c r="A2433" s="15" t="s">
        <v>307</v>
      </c>
      <c r="B2433" s="15" t="s">
        <v>308</v>
      </c>
      <c r="C2433" s="15" t="s">
        <v>86</v>
      </c>
      <c r="D2433" s="15" t="n">
        <v>6</v>
      </c>
      <c r="E2433" s="15" t="s">
        <v>721</v>
      </c>
      <c r="F2433" s="15" t="s">
        <v>897</v>
      </c>
      <c r="G2433" s="15" t="s">
        <v>112</v>
      </c>
      <c r="H2433" s="15"/>
    </row>
    <row r="2434" customFormat="false" ht="15" hidden="false" customHeight="true" outlineLevel="0" collapsed="false">
      <c r="A2434" s="15" t="s">
        <v>307</v>
      </c>
      <c r="B2434" s="15" t="s">
        <v>308</v>
      </c>
      <c r="C2434" s="15" t="s">
        <v>764</v>
      </c>
      <c r="D2434" s="15" t="s">
        <v>755</v>
      </c>
      <c r="E2434" s="15"/>
      <c r="F2434" s="15" t="s">
        <v>897</v>
      </c>
      <c r="G2434" s="15" t="s">
        <v>112</v>
      </c>
      <c r="H2434" s="15"/>
    </row>
    <row r="2435" customFormat="false" ht="15" hidden="false" customHeight="true" outlineLevel="0" collapsed="false">
      <c r="A2435" s="15" t="s">
        <v>307</v>
      </c>
      <c r="B2435" s="15" t="s">
        <v>308</v>
      </c>
      <c r="C2435" s="15" t="s">
        <v>757</v>
      </c>
      <c r="D2435" s="15" t="s">
        <v>797</v>
      </c>
      <c r="E2435" s="15"/>
      <c r="F2435" s="15" t="s">
        <v>897</v>
      </c>
      <c r="G2435" s="15" t="s">
        <v>112</v>
      </c>
      <c r="H2435" s="15"/>
    </row>
    <row r="2436" customFormat="false" ht="15" hidden="false" customHeight="true" outlineLevel="0" collapsed="false">
      <c r="A2436" s="15" t="s">
        <v>307</v>
      </c>
      <c r="B2436" s="15" t="s">
        <v>308</v>
      </c>
      <c r="C2436" s="15" t="s">
        <v>854</v>
      </c>
      <c r="D2436" s="15" t="s">
        <v>803</v>
      </c>
      <c r="E2436" s="15"/>
      <c r="F2436" s="15" t="s">
        <v>897</v>
      </c>
      <c r="G2436" s="15" t="s">
        <v>112</v>
      </c>
      <c r="H2436" s="15"/>
    </row>
    <row r="2437" customFormat="false" ht="15" hidden="false" customHeight="true" outlineLevel="0" collapsed="false">
      <c r="A2437" s="15" t="s">
        <v>307</v>
      </c>
      <c r="B2437" s="15" t="s">
        <v>308</v>
      </c>
      <c r="C2437" s="15" t="s">
        <v>855</v>
      </c>
      <c r="D2437" s="15" t="s">
        <v>803</v>
      </c>
      <c r="E2437" s="15"/>
      <c r="F2437" s="15" t="s">
        <v>897</v>
      </c>
      <c r="G2437" s="15" t="s">
        <v>112</v>
      </c>
      <c r="H2437" s="15"/>
    </row>
    <row r="2438" customFormat="false" ht="15" hidden="false" customHeight="true" outlineLevel="0" collapsed="false">
      <c r="A2438" s="15" t="s">
        <v>307</v>
      </c>
      <c r="B2438" s="15" t="s">
        <v>308</v>
      </c>
      <c r="C2438" s="15" t="s">
        <v>848</v>
      </c>
      <c r="D2438" s="15" t="s">
        <v>849</v>
      </c>
      <c r="E2438" s="15"/>
      <c r="F2438" s="15" t="s">
        <v>897</v>
      </c>
      <c r="G2438" s="15" t="s">
        <v>112</v>
      </c>
      <c r="H2438" s="15"/>
    </row>
    <row r="2439" customFormat="false" ht="15" hidden="false" customHeight="true" outlineLevel="0" collapsed="false">
      <c r="A2439" s="15" t="s">
        <v>307</v>
      </c>
      <c r="B2439" s="15" t="s">
        <v>308</v>
      </c>
      <c r="C2439" s="15" t="s">
        <v>853</v>
      </c>
      <c r="D2439" s="15" t="s">
        <v>119</v>
      </c>
      <c r="E2439" s="15"/>
      <c r="F2439" s="15" t="s">
        <v>897</v>
      </c>
      <c r="G2439" s="15" t="s">
        <v>112</v>
      </c>
      <c r="H2439" s="15"/>
    </row>
    <row r="2440" customFormat="false" ht="15" hidden="false" customHeight="true" outlineLevel="0" collapsed="false">
      <c r="A2440" s="15" t="s">
        <v>307</v>
      </c>
      <c r="B2440" s="15" t="s">
        <v>308</v>
      </c>
      <c r="C2440" s="15" t="s">
        <v>743</v>
      </c>
      <c r="D2440" s="15" t="s">
        <v>909</v>
      </c>
      <c r="E2440" s="15"/>
      <c r="F2440" s="15" t="s">
        <v>897</v>
      </c>
      <c r="G2440" s="15" t="s">
        <v>112</v>
      </c>
      <c r="H2440" s="15"/>
    </row>
    <row r="2441" customFormat="false" ht="15" hidden="false" customHeight="true" outlineLevel="0" collapsed="false">
      <c r="A2441" s="15" t="s">
        <v>307</v>
      </c>
      <c r="B2441" s="15" t="s">
        <v>308</v>
      </c>
      <c r="C2441" s="15" t="s">
        <v>749</v>
      </c>
      <c r="D2441" s="15" t="s">
        <v>141</v>
      </c>
      <c r="E2441" s="15"/>
      <c r="F2441" s="15" t="s">
        <v>897</v>
      </c>
      <c r="G2441" s="15" t="s">
        <v>112</v>
      </c>
      <c r="H2441" s="15"/>
    </row>
    <row r="2442" customFormat="false" ht="15" hidden="false" customHeight="true" outlineLevel="0" collapsed="false">
      <c r="A2442" s="15" t="s">
        <v>307</v>
      </c>
      <c r="B2442" s="15" t="s">
        <v>308</v>
      </c>
      <c r="C2442" s="15" t="s">
        <v>752</v>
      </c>
      <c r="D2442" s="15" t="s">
        <v>915</v>
      </c>
      <c r="E2442" s="15"/>
      <c r="F2442" s="15" t="s">
        <v>897</v>
      </c>
      <c r="G2442" s="15" t="s">
        <v>112</v>
      </c>
      <c r="H2442" s="15"/>
    </row>
    <row r="2443" customFormat="false" ht="15" hidden="false" customHeight="true" outlineLevel="0" collapsed="false">
      <c r="A2443" s="15" t="s">
        <v>307</v>
      </c>
      <c r="B2443" s="15" t="s">
        <v>308</v>
      </c>
      <c r="C2443" s="15" t="s">
        <v>90</v>
      </c>
      <c r="D2443" s="15" t="s">
        <v>916</v>
      </c>
      <c r="E2443" s="15"/>
      <c r="F2443" s="15" t="s">
        <v>897</v>
      </c>
      <c r="G2443" s="15" t="s">
        <v>112</v>
      </c>
      <c r="H2443" s="15"/>
    </row>
    <row r="2444" customFormat="false" ht="26.25" hidden="false" customHeight="true" outlineLevel="0" collapsed="false">
      <c r="A2444" s="15" t="s">
        <v>307</v>
      </c>
      <c r="B2444" s="15" t="s">
        <v>308</v>
      </c>
      <c r="C2444" s="15" t="s">
        <v>759</v>
      </c>
      <c r="D2444" s="15" t="s">
        <v>917</v>
      </c>
      <c r="E2444" s="15"/>
      <c r="F2444" s="15" t="s">
        <v>897</v>
      </c>
      <c r="G2444" s="15" t="s">
        <v>112</v>
      </c>
      <c r="H2444" s="15"/>
    </row>
    <row r="2445" customFormat="false" ht="15" hidden="false" customHeight="true" outlineLevel="0" collapsed="false">
      <c r="A2445" s="15" t="s">
        <v>307</v>
      </c>
      <c r="B2445" s="15" t="s">
        <v>308</v>
      </c>
      <c r="C2445" s="15" t="s">
        <v>851</v>
      </c>
      <c r="D2445" s="15" t="s">
        <v>860</v>
      </c>
      <c r="E2445" s="15"/>
      <c r="F2445" s="15" t="s">
        <v>897</v>
      </c>
      <c r="G2445" s="15" t="s">
        <v>112</v>
      </c>
      <c r="H2445" s="15"/>
    </row>
    <row r="2446" customFormat="false" ht="15" hidden="false" customHeight="true" outlineLevel="0" collapsed="false">
      <c r="A2446" s="15" t="s">
        <v>307</v>
      </c>
      <c r="B2446" s="15" t="s">
        <v>308</v>
      </c>
      <c r="C2446" s="15" t="s">
        <v>747</v>
      </c>
      <c r="D2446" s="15" t="s">
        <v>918</v>
      </c>
      <c r="E2446" s="15"/>
      <c r="F2446" s="15" t="s">
        <v>897</v>
      </c>
      <c r="G2446" s="15" t="s">
        <v>112</v>
      </c>
      <c r="H2446" s="15"/>
    </row>
    <row r="2447" customFormat="false" ht="15" hidden="false" customHeight="true" outlineLevel="0" collapsed="false">
      <c r="A2447" s="15" t="s">
        <v>307</v>
      </c>
      <c r="B2447" s="15" t="s">
        <v>308</v>
      </c>
      <c r="C2447" s="15" t="s">
        <v>776</v>
      </c>
      <c r="D2447" s="15" t="s">
        <v>919</v>
      </c>
      <c r="E2447" s="15"/>
      <c r="F2447" s="15" t="s">
        <v>901</v>
      </c>
      <c r="G2447" s="15" t="s">
        <v>112</v>
      </c>
      <c r="H2447" s="15"/>
    </row>
    <row r="2448" customFormat="false" ht="15" hidden="false" customHeight="true" outlineLevel="0" collapsed="false">
      <c r="A2448" s="15" t="s">
        <v>307</v>
      </c>
      <c r="B2448" s="15" t="s">
        <v>308</v>
      </c>
      <c r="C2448" s="15" t="s">
        <v>782</v>
      </c>
      <c r="D2448" s="15" t="n">
        <v>34</v>
      </c>
      <c r="E2448" s="15" t="s">
        <v>783</v>
      </c>
      <c r="F2448" s="15" t="s">
        <v>901</v>
      </c>
      <c r="G2448" s="15" t="s">
        <v>112</v>
      </c>
      <c r="H2448" s="15"/>
    </row>
    <row r="2449" customFormat="false" ht="15" hidden="false" customHeight="true" outlineLevel="0" collapsed="false">
      <c r="A2449" s="15" t="s">
        <v>307</v>
      </c>
      <c r="B2449" s="15" t="s">
        <v>308</v>
      </c>
      <c r="C2449" s="15" t="s">
        <v>857</v>
      </c>
      <c r="D2449" s="15" t="s">
        <v>803</v>
      </c>
      <c r="E2449" s="15"/>
      <c r="F2449" s="15" t="s">
        <v>897</v>
      </c>
      <c r="G2449" s="15" t="s">
        <v>112</v>
      </c>
      <c r="H2449" s="15"/>
    </row>
    <row r="2450" customFormat="false" ht="15" hidden="false" customHeight="true" outlineLevel="0" collapsed="false">
      <c r="A2450" s="15" t="s">
        <v>307</v>
      </c>
      <c r="B2450" s="15" t="s">
        <v>308</v>
      </c>
      <c r="C2450" s="15" t="s">
        <v>756</v>
      </c>
      <c r="D2450" s="15" t="s">
        <v>914</v>
      </c>
      <c r="E2450" s="15"/>
      <c r="F2450" s="15" t="s">
        <v>897</v>
      </c>
      <c r="G2450" s="15" t="s">
        <v>112</v>
      </c>
      <c r="H2450" s="15"/>
    </row>
    <row r="2451" customFormat="false" ht="15" hidden="false" customHeight="true" outlineLevel="0" collapsed="false">
      <c r="A2451" s="15" t="s">
        <v>106</v>
      </c>
      <c r="B2451" s="15" t="s">
        <v>110</v>
      </c>
      <c r="C2451" s="15" t="s">
        <v>85</v>
      </c>
      <c r="D2451" s="15" t="n">
        <v>222</v>
      </c>
      <c r="E2451" s="15" t="s">
        <v>725</v>
      </c>
      <c r="F2451" s="15" t="s">
        <v>716</v>
      </c>
      <c r="G2451" s="15" t="s">
        <v>112</v>
      </c>
      <c r="H2451" s="15"/>
    </row>
    <row r="2452" customFormat="false" ht="15" hidden="false" customHeight="true" outlineLevel="0" collapsed="false">
      <c r="A2452" s="15" t="s">
        <v>106</v>
      </c>
      <c r="B2452" s="15" t="s">
        <v>110</v>
      </c>
      <c r="C2452" s="15" t="s">
        <v>920</v>
      </c>
      <c r="D2452" s="15" t="s">
        <v>921</v>
      </c>
      <c r="E2452" s="15"/>
      <c r="F2452" s="15" t="s">
        <v>778</v>
      </c>
      <c r="G2452" s="15" t="s">
        <v>293</v>
      </c>
      <c r="H2452" s="15" t="s">
        <v>922</v>
      </c>
    </row>
    <row r="2453" customFormat="false" ht="15" hidden="false" customHeight="true" outlineLevel="0" collapsed="false">
      <c r="A2453" s="15" t="s">
        <v>106</v>
      </c>
      <c r="B2453" s="15" t="s">
        <v>110</v>
      </c>
      <c r="C2453" s="15" t="s">
        <v>923</v>
      </c>
      <c r="D2453" s="15" t="s">
        <v>921</v>
      </c>
      <c r="E2453" s="15"/>
      <c r="F2453" s="15" t="s">
        <v>778</v>
      </c>
      <c r="G2453" s="15" t="s">
        <v>293</v>
      </c>
      <c r="H2453" s="15" t="s">
        <v>924</v>
      </c>
    </row>
    <row r="2454" customFormat="false" ht="26.25" hidden="false" customHeight="true" outlineLevel="0" collapsed="false">
      <c r="A2454" s="15" t="s">
        <v>106</v>
      </c>
      <c r="B2454" s="15" t="s">
        <v>110</v>
      </c>
      <c r="C2454" s="15" t="s">
        <v>925</v>
      </c>
      <c r="D2454" s="15" t="s">
        <v>926</v>
      </c>
      <c r="E2454" s="15"/>
      <c r="F2454" s="15"/>
      <c r="G2454" s="15" t="s">
        <v>293</v>
      </c>
      <c r="H2454" s="15"/>
    </row>
    <row r="2455" customFormat="false" ht="15" hidden="false" customHeight="true" outlineLevel="0" collapsed="false">
      <c r="A2455" s="15" t="s">
        <v>162</v>
      </c>
      <c r="B2455" s="15" t="s">
        <v>163</v>
      </c>
      <c r="C2455" s="15" t="s">
        <v>85</v>
      </c>
      <c r="D2455" s="15" t="n">
        <v>222</v>
      </c>
      <c r="E2455" s="15" t="s">
        <v>725</v>
      </c>
      <c r="F2455" s="15" t="s">
        <v>716</v>
      </c>
      <c r="G2455" s="15" t="s">
        <v>112</v>
      </c>
      <c r="H2455" s="15"/>
    </row>
    <row r="2456" customFormat="false" ht="15" hidden="false" customHeight="true" outlineLevel="0" collapsed="false">
      <c r="A2456" s="15" t="s">
        <v>162</v>
      </c>
      <c r="B2456" s="15" t="s">
        <v>163</v>
      </c>
      <c r="C2456" s="15" t="s">
        <v>920</v>
      </c>
      <c r="D2456" s="15" t="s">
        <v>921</v>
      </c>
      <c r="E2456" s="15"/>
      <c r="F2456" s="15" t="s">
        <v>778</v>
      </c>
      <c r="G2456" s="15" t="s">
        <v>293</v>
      </c>
      <c r="H2456" s="15" t="s">
        <v>922</v>
      </c>
    </row>
    <row r="2457" customFormat="false" ht="15" hidden="false" customHeight="true" outlineLevel="0" collapsed="false">
      <c r="A2457" s="15" t="s">
        <v>162</v>
      </c>
      <c r="B2457" s="15" t="s">
        <v>163</v>
      </c>
      <c r="C2457" s="15" t="s">
        <v>923</v>
      </c>
      <c r="D2457" s="15" t="s">
        <v>921</v>
      </c>
      <c r="E2457" s="15"/>
      <c r="F2457" s="15" t="s">
        <v>778</v>
      </c>
      <c r="G2457" s="15" t="s">
        <v>293</v>
      </c>
      <c r="H2457" s="15" t="s">
        <v>924</v>
      </c>
    </row>
    <row r="2458" customFormat="false" ht="26.25" hidden="false" customHeight="true" outlineLevel="0" collapsed="false">
      <c r="A2458" s="15" t="s">
        <v>162</v>
      </c>
      <c r="B2458" s="15" t="s">
        <v>163</v>
      </c>
      <c r="C2458" s="15" t="s">
        <v>925</v>
      </c>
      <c r="D2458" s="15" t="s">
        <v>926</v>
      </c>
      <c r="E2458" s="15"/>
      <c r="F2458" s="15"/>
      <c r="G2458" s="15" t="s">
        <v>293</v>
      </c>
      <c r="H2458" s="15"/>
    </row>
    <row r="2459" customFormat="false" ht="15" hidden="false" customHeight="true" outlineLevel="0" collapsed="false">
      <c r="A2459" s="15" t="s">
        <v>126</v>
      </c>
      <c r="B2459" s="15" t="s">
        <v>127</v>
      </c>
      <c r="C2459" s="15" t="s">
        <v>85</v>
      </c>
      <c r="D2459" s="15" t="n">
        <v>222</v>
      </c>
      <c r="E2459" s="15" t="s">
        <v>725</v>
      </c>
      <c r="F2459" s="15" t="s">
        <v>716</v>
      </c>
      <c r="G2459" s="15" t="s">
        <v>112</v>
      </c>
      <c r="H2459" s="15"/>
    </row>
    <row r="2460" customFormat="false" ht="15" hidden="false" customHeight="true" outlineLevel="0" collapsed="false">
      <c r="A2460" s="15" t="s">
        <v>126</v>
      </c>
      <c r="B2460" s="15" t="s">
        <v>127</v>
      </c>
      <c r="C2460" s="15" t="s">
        <v>920</v>
      </c>
      <c r="D2460" s="15" t="s">
        <v>921</v>
      </c>
      <c r="E2460" s="15"/>
      <c r="F2460" s="15" t="s">
        <v>778</v>
      </c>
      <c r="G2460" s="15" t="s">
        <v>293</v>
      </c>
      <c r="H2460" s="15" t="s">
        <v>922</v>
      </c>
    </row>
    <row r="2461" customFormat="false" ht="15" hidden="false" customHeight="true" outlineLevel="0" collapsed="false">
      <c r="A2461" s="15" t="s">
        <v>126</v>
      </c>
      <c r="B2461" s="15" t="s">
        <v>127</v>
      </c>
      <c r="C2461" s="15" t="s">
        <v>923</v>
      </c>
      <c r="D2461" s="15" t="s">
        <v>921</v>
      </c>
      <c r="E2461" s="15"/>
      <c r="F2461" s="15" t="s">
        <v>778</v>
      </c>
      <c r="G2461" s="15" t="s">
        <v>293</v>
      </c>
      <c r="H2461" s="15" t="s">
        <v>924</v>
      </c>
    </row>
    <row r="2462" customFormat="false" ht="26.25" hidden="false" customHeight="true" outlineLevel="0" collapsed="false">
      <c r="A2462" s="15" t="s">
        <v>126</v>
      </c>
      <c r="B2462" s="15" t="s">
        <v>127</v>
      </c>
      <c r="C2462" s="15" t="s">
        <v>925</v>
      </c>
      <c r="D2462" s="15" t="s">
        <v>926</v>
      </c>
      <c r="E2462" s="15"/>
      <c r="F2462" s="15"/>
      <c r="G2462" s="15" t="s">
        <v>293</v>
      </c>
      <c r="H2462" s="15"/>
    </row>
    <row r="2463" customFormat="false" ht="15" hidden="false" customHeight="true" outlineLevel="0" collapsed="false">
      <c r="A2463" s="15" t="s">
        <v>167</v>
      </c>
      <c r="B2463" s="15" t="s">
        <v>168</v>
      </c>
      <c r="C2463" s="15" t="s">
        <v>85</v>
      </c>
      <c r="D2463" s="15" t="n">
        <v>222</v>
      </c>
      <c r="E2463" s="15" t="s">
        <v>725</v>
      </c>
      <c r="F2463" s="15" t="s">
        <v>716</v>
      </c>
      <c r="G2463" s="15" t="s">
        <v>112</v>
      </c>
      <c r="H2463" s="15"/>
    </row>
    <row r="2464" customFormat="false" ht="15" hidden="false" customHeight="true" outlineLevel="0" collapsed="false">
      <c r="A2464" s="15" t="s">
        <v>167</v>
      </c>
      <c r="B2464" s="15" t="s">
        <v>168</v>
      </c>
      <c r="C2464" s="15" t="s">
        <v>920</v>
      </c>
      <c r="D2464" s="15" t="s">
        <v>921</v>
      </c>
      <c r="E2464" s="15"/>
      <c r="F2464" s="15" t="s">
        <v>778</v>
      </c>
      <c r="G2464" s="15" t="s">
        <v>293</v>
      </c>
      <c r="H2464" s="15" t="s">
        <v>922</v>
      </c>
    </row>
    <row r="2465" customFormat="false" ht="15" hidden="false" customHeight="true" outlineLevel="0" collapsed="false">
      <c r="A2465" s="15" t="s">
        <v>167</v>
      </c>
      <c r="B2465" s="15" t="s">
        <v>168</v>
      </c>
      <c r="C2465" s="15" t="s">
        <v>923</v>
      </c>
      <c r="D2465" s="15" t="s">
        <v>921</v>
      </c>
      <c r="E2465" s="15"/>
      <c r="F2465" s="15" t="s">
        <v>778</v>
      </c>
      <c r="G2465" s="15" t="s">
        <v>293</v>
      </c>
      <c r="H2465" s="15" t="s">
        <v>924</v>
      </c>
    </row>
    <row r="2466" customFormat="false" ht="26.25" hidden="false" customHeight="true" outlineLevel="0" collapsed="false">
      <c r="A2466" s="15" t="s">
        <v>167</v>
      </c>
      <c r="B2466" s="15" t="s">
        <v>168</v>
      </c>
      <c r="C2466" s="15" t="s">
        <v>925</v>
      </c>
      <c r="D2466" s="15" t="s">
        <v>926</v>
      </c>
      <c r="E2466" s="15"/>
      <c r="F2466" s="15"/>
      <c r="G2466" s="15" t="s">
        <v>293</v>
      </c>
      <c r="H2466" s="15"/>
    </row>
    <row r="2467" customFormat="false" ht="15" hidden="false" customHeight="true" outlineLevel="0" collapsed="false">
      <c r="A2467" s="15" t="s">
        <v>132</v>
      </c>
      <c r="B2467" s="15" t="s">
        <v>133</v>
      </c>
      <c r="C2467" s="15" t="s">
        <v>85</v>
      </c>
      <c r="D2467" s="15" t="n">
        <v>222</v>
      </c>
      <c r="E2467" s="15" t="s">
        <v>725</v>
      </c>
      <c r="F2467" s="15" t="s">
        <v>716</v>
      </c>
      <c r="G2467" s="15" t="s">
        <v>112</v>
      </c>
      <c r="H2467" s="15"/>
    </row>
    <row r="2468" customFormat="false" ht="15" hidden="false" customHeight="true" outlineLevel="0" collapsed="false">
      <c r="A2468" s="15" t="s">
        <v>132</v>
      </c>
      <c r="B2468" s="15" t="s">
        <v>133</v>
      </c>
      <c r="C2468" s="15" t="s">
        <v>920</v>
      </c>
      <c r="D2468" s="15" t="s">
        <v>921</v>
      </c>
      <c r="E2468" s="15"/>
      <c r="F2468" s="15" t="s">
        <v>778</v>
      </c>
      <c r="G2468" s="15" t="s">
        <v>293</v>
      </c>
      <c r="H2468" s="15" t="s">
        <v>922</v>
      </c>
    </row>
    <row r="2469" customFormat="false" ht="15" hidden="false" customHeight="true" outlineLevel="0" collapsed="false">
      <c r="A2469" s="15" t="s">
        <v>132</v>
      </c>
      <c r="B2469" s="15" t="s">
        <v>133</v>
      </c>
      <c r="C2469" s="15" t="s">
        <v>923</v>
      </c>
      <c r="D2469" s="15" t="s">
        <v>921</v>
      </c>
      <c r="E2469" s="15"/>
      <c r="F2469" s="15" t="s">
        <v>778</v>
      </c>
      <c r="G2469" s="15" t="s">
        <v>293</v>
      </c>
      <c r="H2469" s="15" t="s">
        <v>924</v>
      </c>
    </row>
    <row r="2470" customFormat="false" ht="26.25" hidden="false" customHeight="true" outlineLevel="0" collapsed="false">
      <c r="A2470" s="15" t="s">
        <v>132</v>
      </c>
      <c r="B2470" s="15" t="s">
        <v>133</v>
      </c>
      <c r="C2470" s="15" t="s">
        <v>925</v>
      </c>
      <c r="D2470" s="15" t="s">
        <v>926</v>
      </c>
      <c r="E2470" s="15"/>
      <c r="F2470" s="15"/>
      <c r="G2470" s="15" t="s">
        <v>293</v>
      </c>
      <c r="H2470" s="15"/>
    </row>
    <row r="2471" customFormat="false" ht="15" hidden="false" customHeight="true" outlineLevel="0" collapsed="false">
      <c r="A2471" s="15" t="s">
        <v>170</v>
      </c>
      <c r="B2471" s="15" t="s">
        <v>171</v>
      </c>
      <c r="C2471" s="15" t="s">
        <v>85</v>
      </c>
      <c r="D2471" s="15" t="n">
        <v>222</v>
      </c>
      <c r="E2471" s="15" t="s">
        <v>725</v>
      </c>
      <c r="F2471" s="15" t="s">
        <v>716</v>
      </c>
      <c r="G2471" s="15" t="s">
        <v>112</v>
      </c>
      <c r="H2471" s="15"/>
    </row>
    <row r="2472" customFormat="false" ht="15" hidden="false" customHeight="true" outlineLevel="0" collapsed="false">
      <c r="A2472" s="15" t="s">
        <v>170</v>
      </c>
      <c r="B2472" s="15" t="s">
        <v>171</v>
      </c>
      <c r="C2472" s="15" t="s">
        <v>920</v>
      </c>
      <c r="D2472" s="15" t="s">
        <v>921</v>
      </c>
      <c r="E2472" s="15"/>
      <c r="F2472" s="15" t="s">
        <v>778</v>
      </c>
      <c r="G2472" s="15" t="s">
        <v>293</v>
      </c>
      <c r="H2472" s="15" t="s">
        <v>922</v>
      </c>
    </row>
    <row r="2473" customFormat="false" ht="15" hidden="false" customHeight="true" outlineLevel="0" collapsed="false">
      <c r="A2473" s="15" t="s">
        <v>170</v>
      </c>
      <c r="B2473" s="15" t="s">
        <v>171</v>
      </c>
      <c r="C2473" s="15" t="s">
        <v>923</v>
      </c>
      <c r="D2473" s="15" t="s">
        <v>921</v>
      </c>
      <c r="E2473" s="15"/>
      <c r="F2473" s="15" t="s">
        <v>778</v>
      </c>
      <c r="G2473" s="15" t="s">
        <v>293</v>
      </c>
      <c r="H2473" s="15" t="s">
        <v>924</v>
      </c>
    </row>
    <row r="2474" customFormat="false" ht="26.25" hidden="false" customHeight="true" outlineLevel="0" collapsed="false">
      <c r="A2474" s="15" t="s">
        <v>170</v>
      </c>
      <c r="B2474" s="15" t="s">
        <v>171</v>
      </c>
      <c r="C2474" s="15" t="s">
        <v>925</v>
      </c>
      <c r="D2474" s="15" t="s">
        <v>926</v>
      </c>
      <c r="E2474" s="15"/>
      <c r="F2474" s="15"/>
      <c r="G2474" s="15" t="s">
        <v>293</v>
      </c>
      <c r="H2474" s="15"/>
    </row>
    <row r="2475" customFormat="false" ht="15" hidden="false" customHeight="true" outlineLevel="0" collapsed="false">
      <c r="A2475" s="15" t="s">
        <v>136</v>
      </c>
      <c r="B2475" s="15" t="s">
        <v>137</v>
      </c>
      <c r="C2475" s="15" t="s">
        <v>85</v>
      </c>
      <c r="D2475" s="15" t="n">
        <v>222</v>
      </c>
      <c r="E2475" s="15" t="s">
        <v>725</v>
      </c>
      <c r="F2475" s="15" t="s">
        <v>716</v>
      </c>
      <c r="G2475" s="15" t="s">
        <v>112</v>
      </c>
      <c r="H2475" s="15"/>
    </row>
    <row r="2476" customFormat="false" ht="15" hidden="false" customHeight="true" outlineLevel="0" collapsed="false">
      <c r="A2476" s="15" t="s">
        <v>136</v>
      </c>
      <c r="B2476" s="15" t="s">
        <v>137</v>
      </c>
      <c r="C2476" s="15" t="s">
        <v>920</v>
      </c>
      <c r="D2476" s="15" t="s">
        <v>921</v>
      </c>
      <c r="E2476" s="15"/>
      <c r="F2476" s="15" t="s">
        <v>778</v>
      </c>
      <c r="G2476" s="15" t="s">
        <v>293</v>
      </c>
      <c r="H2476" s="15" t="s">
        <v>922</v>
      </c>
    </row>
    <row r="2477" customFormat="false" ht="15" hidden="false" customHeight="true" outlineLevel="0" collapsed="false">
      <c r="A2477" s="15" t="s">
        <v>136</v>
      </c>
      <c r="B2477" s="15" t="s">
        <v>137</v>
      </c>
      <c r="C2477" s="15" t="s">
        <v>923</v>
      </c>
      <c r="D2477" s="15" t="s">
        <v>921</v>
      </c>
      <c r="E2477" s="15"/>
      <c r="F2477" s="15" t="s">
        <v>778</v>
      </c>
      <c r="G2477" s="15" t="s">
        <v>293</v>
      </c>
      <c r="H2477" s="15" t="s">
        <v>924</v>
      </c>
    </row>
    <row r="2478" customFormat="false" ht="26.25" hidden="false" customHeight="true" outlineLevel="0" collapsed="false">
      <c r="A2478" s="15" t="s">
        <v>136</v>
      </c>
      <c r="B2478" s="15" t="s">
        <v>137</v>
      </c>
      <c r="C2478" s="15" t="s">
        <v>925</v>
      </c>
      <c r="D2478" s="15" t="s">
        <v>926</v>
      </c>
      <c r="E2478" s="15"/>
      <c r="F2478" s="15"/>
      <c r="G2478" s="15" t="s">
        <v>293</v>
      </c>
      <c r="H2478" s="15"/>
    </row>
    <row r="2479" customFormat="false" ht="15" hidden="false" customHeight="true" outlineLevel="0" collapsed="false">
      <c r="A2479" s="15" t="s">
        <v>173</v>
      </c>
      <c r="B2479" s="15" t="s">
        <v>174</v>
      </c>
      <c r="C2479" s="15" t="s">
        <v>85</v>
      </c>
      <c r="D2479" s="15" t="n">
        <v>222</v>
      </c>
      <c r="E2479" s="15" t="s">
        <v>725</v>
      </c>
      <c r="F2479" s="15" t="s">
        <v>716</v>
      </c>
      <c r="G2479" s="15" t="s">
        <v>112</v>
      </c>
      <c r="H2479" s="15"/>
    </row>
    <row r="2480" customFormat="false" ht="15" hidden="false" customHeight="true" outlineLevel="0" collapsed="false">
      <c r="A2480" s="15" t="s">
        <v>173</v>
      </c>
      <c r="B2480" s="15" t="s">
        <v>174</v>
      </c>
      <c r="C2480" s="15" t="s">
        <v>920</v>
      </c>
      <c r="D2480" s="15" t="s">
        <v>921</v>
      </c>
      <c r="E2480" s="15"/>
      <c r="F2480" s="15" t="s">
        <v>778</v>
      </c>
      <c r="G2480" s="15" t="s">
        <v>293</v>
      </c>
      <c r="H2480" s="15" t="s">
        <v>922</v>
      </c>
    </row>
    <row r="2481" customFormat="false" ht="15" hidden="false" customHeight="true" outlineLevel="0" collapsed="false">
      <c r="A2481" s="15" t="s">
        <v>173</v>
      </c>
      <c r="B2481" s="15" t="s">
        <v>174</v>
      </c>
      <c r="C2481" s="15" t="s">
        <v>923</v>
      </c>
      <c r="D2481" s="15" t="s">
        <v>921</v>
      </c>
      <c r="E2481" s="15"/>
      <c r="F2481" s="15" t="s">
        <v>778</v>
      </c>
      <c r="G2481" s="15" t="s">
        <v>293</v>
      </c>
      <c r="H2481" s="15" t="s">
        <v>924</v>
      </c>
    </row>
    <row r="2482" customFormat="false" ht="26.25" hidden="false" customHeight="true" outlineLevel="0" collapsed="false">
      <c r="A2482" s="15" t="s">
        <v>173</v>
      </c>
      <c r="B2482" s="15" t="s">
        <v>174</v>
      </c>
      <c r="C2482" s="15" t="s">
        <v>925</v>
      </c>
      <c r="D2482" s="15" t="s">
        <v>926</v>
      </c>
      <c r="E2482" s="15"/>
      <c r="F2482" s="15"/>
      <c r="G2482" s="15" t="s">
        <v>293</v>
      </c>
      <c r="H2482" s="15"/>
    </row>
    <row r="2483" customFormat="false" ht="15" hidden="false" customHeight="true" outlineLevel="0" collapsed="false">
      <c r="A2483" s="15" t="s">
        <v>139</v>
      </c>
      <c r="B2483" s="15" t="s">
        <v>140</v>
      </c>
      <c r="C2483" s="15" t="s">
        <v>85</v>
      </c>
      <c r="D2483" s="15" t="n">
        <v>222</v>
      </c>
      <c r="E2483" s="15" t="s">
        <v>725</v>
      </c>
      <c r="F2483" s="15" t="s">
        <v>716</v>
      </c>
      <c r="G2483" s="15" t="s">
        <v>112</v>
      </c>
      <c r="H2483" s="15"/>
    </row>
    <row r="2484" customFormat="false" ht="15" hidden="false" customHeight="true" outlineLevel="0" collapsed="false">
      <c r="A2484" s="15" t="s">
        <v>139</v>
      </c>
      <c r="B2484" s="15" t="s">
        <v>140</v>
      </c>
      <c r="C2484" s="15" t="s">
        <v>920</v>
      </c>
      <c r="D2484" s="15" t="s">
        <v>921</v>
      </c>
      <c r="E2484" s="15"/>
      <c r="F2484" s="15" t="s">
        <v>778</v>
      </c>
      <c r="G2484" s="15" t="s">
        <v>293</v>
      </c>
      <c r="H2484" s="15" t="s">
        <v>922</v>
      </c>
    </row>
    <row r="2485" customFormat="false" ht="15" hidden="false" customHeight="true" outlineLevel="0" collapsed="false">
      <c r="A2485" s="15" t="s">
        <v>139</v>
      </c>
      <c r="B2485" s="15" t="s">
        <v>140</v>
      </c>
      <c r="C2485" s="15" t="s">
        <v>923</v>
      </c>
      <c r="D2485" s="15" t="s">
        <v>921</v>
      </c>
      <c r="E2485" s="15"/>
      <c r="F2485" s="15" t="s">
        <v>778</v>
      </c>
      <c r="G2485" s="15" t="s">
        <v>293</v>
      </c>
      <c r="H2485" s="15" t="s">
        <v>924</v>
      </c>
    </row>
    <row r="2486" customFormat="false" ht="26.25" hidden="false" customHeight="true" outlineLevel="0" collapsed="false">
      <c r="A2486" s="15" t="s">
        <v>139</v>
      </c>
      <c r="B2486" s="15" t="s">
        <v>140</v>
      </c>
      <c r="C2486" s="15" t="s">
        <v>925</v>
      </c>
      <c r="D2486" s="15" t="s">
        <v>926</v>
      </c>
      <c r="E2486" s="15"/>
      <c r="F2486" s="15"/>
      <c r="G2486" s="15" t="s">
        <v>293</v>
      </c>
      <c r="H2486" s="15"/>
    </row>
    <row r="2487" customFormat="false" ht="15" hidden="false" customHeight="true" outlineLevel="0" collapsed="false">
      <c r="A2487" s="15" t="s">
        <v>180</v>
      </c>
      <c r="B2487" s="15" t="s">
        <v>181</v>
      </c>
      <c r="C2487" s="15" t="s">
        <v>85</v>
      </c>
      <c r="D2487" s="15" t="n">
        <v>222</v>
      </c>
      <c r="E2487" s="15" t="s">
        <v>725</v>
      </c>
      <c r="F2487" s="15" t="s">
        <v>716</v>
      </c>
      <c r="G2487" s="15" t="s">
        <v>112</v>
      </c>
      <c r="H2487" s="15"/>
    </row>
    <row r="2488" customFormat="false" ht="15" hidden="false" customHeight="true" outlineLevel="0" collapsed="false">
      <c r="A2488" s="15" t="s">
        <v>180</v>
      </c>
      <c r="B2488" s="15" t="s">
        <v>181</v>
      </c>
      <c r="C2488" s="15" t="s">
        <v>920</v>
      </c>
      <c r="D2488" s="15" t="s">
        <v>921</v>
      </c>
      <c r="E2488" s="15"/>
      <c r="F2488" s="15" t="s">
        <v>778</v>
      </c>
      <c r="G2488" s="15" t="s">
        <v>293</v>
      </c>
      <c r="H2488" s="15" t="s">
        <v>922</v>
      </c>
    </row>
    <row r="2489" customFormat="false" ht="15" hidden="false" customHeight="true" outlineLevel="0" collapsed="false">
      <c r="A2489" s="15" t="s">
        <v>180</v>
      </c>
      <c r="B2489" s="15" t="s">
        <v>181</v>
      </c>
      <c r="C2489" s="15" t="s">
        <v>923</v>
      </c>
      <c r="D2489" s="15" t="s">
        <v>921</v>
      </c>
      <c r="E2489" s="15"/>
      <c r="F2489" s="15" t="s">
        <v>778</v>
      </c>
      <c r="G2489" s="15" t="s">
        <v>293</v>
      </c>
      <c r="H2489" s="15" t="s">
        <v>924</v>
      </c>
    </row>
    <row r="2490" customFormat="false" ht="26.25" hidden="false" customHeight="true" outlineLevel="0" collapsed="false">
      <c r="A2490" s="15" t="s">
        <v>180</v>
      </c>
      <c r="B2490" s="15" t="s">
        <v>181</v>
      </c>
      <c r="C2490" s="15" t="s">
        <v>925</v>
      </c>
      <c r="D2490" s="15" t="s">
        <v>926</v>
      </c>
      <c r="E2490" s="15"/>
      <c r="F2490" s="15"/>
      <c r="G2490" s="15" t="s">
        <v>293</v>
      </c>
      <c r="H2490" s="15"/>
    </row>
    <row r="2491" customFormat="false" ht="15" hidden="false" customHeight="true" outlineLevel="0" collapsed="false">
      <c r="A2491" s="15" t="s">
        <v>148</v>
      </c>
      <c r="B2491" s="15" t="s">
        <v>149</v>
      </c>
      <c r="C2491" s="15" t="s">
        <v>85</v>
      </c>
      <c r="D2491" s="15" t="n">
        <v>222</v>
      </c>
      <c r="E2491" s="15" t="s">
        <v>725</v>
      </c>
      <c r="F2491" s="15" t="s">
        <v>716</v>
      </c>
      <c r="G2491" s="15" t="s">
        <v>112</v>
      </c>
      <c r="H2491" s="15"/>
    </row>
    <row r="2492" customFormat="false" ht="15" hidden="false" customHeight="true" outlineLevel="0" collapsed="false">
      <c r="A2492" s="15" t="s">
        <v>148</v>
      </c>
      <c r="B2492" s="15" t="s">
        <v>149</v>
      </c>
      <c r="C2492" s="15" t="s">
        <v>920</v>
      </c>
      <c r="D2492" s="15" t="s">
        <v>921</v>
      </c>
      <c r="E2492" s="15"/>
      <c r="F2492" s="15" t="s">
        <v>778</v>
      </c>
      <c r="G2492" s="15" t="s">
        <v>293</v>
      </c>
      <c r="H2492" s="15" t="s">
        <v>922</v>
      </c>
    </row>
    <row r="2493" customFormat="false" ht="15" hidden="false" customHeight="true" outlineLevel="0" collapsed="false">
      <c r="A2493" s="15" t="s">
        <v>148</v>
      </c>
      <c r="B2493" s="15" t="s">
        <v>149</v>
      </c>
      <c r="C2493" s="15" t="s">
        <v>923</v>
      </c>
      <c r="D2493" s="15" t="s">
        <v>921</v>
      </c>
      <c r="E2493" s="15"/>
      <c r="F2493" s="15" t="s">
        <v>778</v>
      </c>
      <c r="G2493" s="15" t="s">
        <v>293</v>
      </c>
      <c r="H2493" s="15" t="s">
        <v>924</v>
      </c>
    </row>
    <row r="2494" customFormat="false" ht="26.25" hidden="false" customHeight="true" outlineLevel="0" collapsed="false">
      <c r="A2494" s="15" t="s">
        <v>148</v>
      </c>
      <c r="B2494" s="15" t="s">
        <v>149</v>
      </c>
      <c r="C2494" s="15" t="s">
        <v>925</v>
      </c>
      <c r="D2494" s="15" t="s">
        <v>926</v>
      </c>
      <c r="E2494" s="15"/>
      <c r="F2494" s="15"/>
      <c r="G2494" s="15" t="s">
        <v>293</v>
      </c>
      <c r="H2494" s="15"/>
    </row>
    <row r="2495" customFormat="false" ht="15" hidden="false" customHeight="true" outlineLevel="0" collapsed="false">
      <c r="A2495" s="15" t="s">
        <v>183</v>
      </c>
      <c r="B2495" s="15" t="s">
        <v>184</v>
      </c>
      <c r="C2495" s="15" t="s">
        <v>85</v>
      </c>
      <c r="D2495" s="15" t="n">
        <v>222</v>
      </c>
      <c r="E2495" s="15" t="s">
        <v>725</v>
      </c>
      <c r="F2495" s="15" t="s">
        <v>716</v>
      </c>
      <c r="G2495" s="15" t="s">
        <v>112</v>
      </c>
      <c r="H2495" s="15"/>
    </row>
    <row r="2496" customFormat="false" ht="15" hidden="false" customHeight="true" outlineLevel="0" collapsed="false">
      <c r="A2496" s="15" t="s">
        <v>183</v>
      </c>
      <c r="B2496" s="15" t="s">
        <v>184</v>
      </c>
      <c r="C2496" s="15" t="s">
        <v>920</v>
      </c>
      <c r="D2496" s="15" t="s">
        <v>921</v>
      </c>
      <c r="E2496" s="15"/>
      <c r="F2496" s="15" t="s">
        <v>778</v>
      </c>
      <c r="G2496" s="15" t="s">
        <v>293</v>
      </c>
      <c r="H2496" s="15" t="s">
        <v>922</v>
      </c>
    </row>
    <row r="2497" customFormat="false" ht="15" hidden="false" customHeight="true" outlineLevel="0" collapsed="false">
      <c r="A2497" s="15" t="s">
        <v>183</v>
      </c>
      <c r="B2497" s="15" t="s">
        <v>184</v>
      </c>
      <c r="C2497" s="15" t="s">
        <v>923</v>
      </c>
      <c r="D2497" s="15" t="s">
        <v>921</v>
      </c>
      <c r="E2497" s="15"/>
      <c r="F2497" s="15" t="s">
        <v>778</v>
      </c>
      <c r="G2497" s="15" t="s">
        <v>293</v>
      </c>
      <c r="H2497" s="15" t="s">
        <v>924</v>
      </c>
    </row>
    <row r="2498" customFormat="false" ht="26.25" hidden="false" customHeight="true" outlineLevel="0" collapsed="false">
      <c r="A2498" s="15" t="s">
        <v>183</v>
      </c>
      <c r="B2498" s="15" t="s">
        <v>184</v>
      </c>
      <c r="C2498" s="15" t="s">
        <v>925</v>
      </c>
      <c r="D2498" s="15" t="s">
        <v>926</v>
      </c>
      <c r="E2498" s="15"/>
      <c r="F2498" s="15"/>
      <c r="G2498" s="15" t="s">
        <v>293</v>
      </c>
      <c r="H2498" s="15"/>
    </row>
    <row r="2499" customFormat="false" ht="15" hidden="false" customHeight="true" outlineLevel="0" collapsed="false">
      <c r="A2499" s="15" t="s">
        <v>143</v>
      </c>
      <c r="B2499" s="15" t="s">
        <v>144</v>
      </c>
      <c r="C2499" s="15" t="s">
        <v>85</v>
      </c>
      <c r="D2499" s="15" t="n">
        <v>222</v>
      </c>
      <c r="E2499" s="15" t="s">
        <v>725</v>
      </c>
      <c r="F2499" s="15" t="s">
        <v>716</v>
      </c>
      <c r="G2499" s="15" t="s">
        <v>112</v>
      </c>
      <c r="H2499" s="15"/>
    </row>
    <row r="2500" customFormat="false" ht="15" hidden="false" customHeight="true" outlineLevel="0" collapsed="false">
      <c r="A2500" s="15" t="s">
        <v>143</v>
      </c>
      <c r="B2500" s="15" t="s">
        <v>144</v>
      </c>
      <c r="C2500" s="15" t="s">
        <v>920</v>
      </c>
      <c r="D2500" s="15" t="s">
        <v>921</v>
      </c>
      <c r="E2500" s="15"/>
      <c r="F2500" s="15" t="s">
        <v>778</v>
      </c>
      <c r="G2500" s="15" t="s">
        <v>293</v>
      </c>
      <c r="H2500" s="15" t="s">
        <v>922</v>
      </c>
    </row>
    <row r="2501" customFormat="false" ht="15" hidden="false" customHeight="true" outlineLevel="0" collapsed="false">
      <c r="A2501" s="15" t="s">
        <v>143</v>
      </c>
      <c r="B2501" s="15" t="s">
        <v>144</v>
      </c>
      <c r="C2501" s="15" t="s">
        <v>923</v>
      </c>
      <c r="D2501" s="15" t="s">
        <v>921</v>
      </c>
      <c r="E2501" s="15"/>
      <c r="F2501" s="15" t="s">
        <v>778</v>
      </c>
      <c r="G2501" s="15" t="s">
        <v>293</v>
      </c>
      <c r="H2501" s="15" t="s">
        <v>924</v>
      </c>
    </row>
    <row r="2502" customFormat="false" ht="26.25" hidden="false" customHeight="true" outlineLevel="0" collapsed="false">
      <c r="A2502" s="15" t="s">
        <v>143</v>
      </c>
      <c r="B2502" s="15" t="s">
        <v>144</v>
      </c>
      <c r="C2502" s="15" t="s">
        <v>925</v>
      </c>
      <c r="D2502" s="15" t="s">
        <v>926</v>
      </c>
      <c r="E2502" s="15"/>
      <c r="F2502" s="15"/>
      <c r="G2502" s="15" t="s">
        <v>293</v>
      </c>
      <c r="H2502" s="15"/>
    </row>
    <row r="2503" customFormat="false" ht="15" hidden="false" customHeight="true" outlineLevel="0" collapsed="false">
      <c r="A2503" s="15" t="s">
        <v>176</v>
      </c>
      <c r="B2503" s="15" t="s">
        <v>177</v>
      </c>
      <c r="C2503" s="15" t="s">
        <v>85</v>
      </c>
      <c r="D2503" s="15" t="n">
        <v>222</v>
      </c>
      <c r="E2503" s="15" t="s">
        <v>725</v>
      </c>
      <c r="F2503" s="15" t="s">
        <v>716</v>
      </c>
      <c r="G2503" s="15" t="s">
        <v>112</v>
      </c>
      <c r="H2503" s="15"/>
    </row>
    <row r="2504" customFormat="false" ht="15" hidden="false" customHeight="true" outlineLevel="0" collapsed="false">
      <c r="A2504" s="15" t="s">
        <v>176</v>
      </c>
      <c r="B2504" s="15" t="s">
        <v>177</v>
      </c>
      <c r="C2504" s="15" t="s">
        <v>920</v>
      </c>
      <c r="D2504" s="15" t="s">
        <v>921</v>
      </c>
      <c r="E2504" s="15"/>
      <c r="F2504" s="15" t="s">
        <v>778</v>
      </c>
      <c r="G2504" s="15" t="s">
        <v>293</v>
      </c>
      <c r="H2504" s="15" t="s">
        <v>922</v>
      </c>
    </row>
    <row r="2505" customFormat="false" ht="15" hidden="false" customHeight="true" outlineLevel="0" collapsed="false">
      <c r="A2505" s="15" t="s">
        <v>176</v>
      </c>
      <c r="B2505" s="15" t="s">
        <v>177</v>
      </c>
      <c r="C2505" s="15" t="s">
        <v>923</v>
      </c>
      <c r="D2505" s="15" t="s">
        <v>921</v>
      </c>
      <c r="E2505" s="15"/>
      <c r="F2505" s="15" t="s">
        <v>778</v>
      </c>
      <c r="G2505" s="15" t="s">
        <v>293</v>
      </c>
      <c r="H2505" s="15" t="s">
        <v>924</v>
      </c>
    </row>
    <row r="2506" customFormat="false" ht="26.25" hidden="false" customHeight="true" outlineLevel="0" collapsed="false">
      <c r="A2506" s="15" t="s">
        <v>176</v>
      </c>
      <c r="B2506" s="15" t="s">
        <v>177</v>
      </c>
      <c r="C2506" s="15" t="s">
        <v>925</v>
      </c>
      <c r="D2506" s="15" t="s">
        <v>926</v>
      </c>
      <c r="E2506" s="15"/>
      <c r="F2506" s="15"/>
      <c r="G2506" s="15" t="s">
        <v>293</v>
      </c>
      <c r="H2506" s="15"/>
    </row>
    <row r="2507" customFormat="false" ht="15" hidden="false" customHeight="true" outlineLevel="0" collapsed="false">
      <c r="A2507" s="15" t="s">
        <v>151</v>
      </c>
      <c r="B2507" s="15" t="s">
        <v>152</v>
      </c>
      <c r="C2507" s="15" t="s">
        <v>85</v>
      </c>
      <c r="D2507" s="15" t="n">
        <v>222</v>
      </c>
      <c r="E2507" s="15" t="s">
        <v>725</v>
      </c>
      <c r="F2507" s="15" t="s">
        <v>716</v>
      </c>
      <c r="G2507" s="15" t="s">
        <v>112</v>
      </c>
      <c r="H2507" s="15"/>
    </row>
    <row r="2508" customFormat="false" ht="15" hidden="false" customHeight="true" outlineLevel="0" collapsed="false">
      <c r="A2508" s="15" t="s">
        <v>151</v>
      </c>
      <c r="B2508" s="15" t="s">
        <v>152</v>
      </c>
      <c r="C2508" s="15" t="s">
        <v>920</v>
      </c>
      <c r="D2508" s="15" t="s">
        <v>921</v>
      </c>
      <c r="E2508" s="15"/>
      <c r="F2508" s="15" t="s">
        <v>778</v>
      </c>
      <c r="G2508" s="15" t="s">
        <v>293</v>
      </c>
      <c r="H2508" s="15" t="s">
        <v>922</v>
      </c>
    </row>
    <row r="2509" customFormat="false" ht="15" hidden="false" customHeight="true" outlineLevel="0" collapsed="false">
      <c r="A2509" s="15" t="s">
        <v>151</v>
      </c>
      <c r="B2509" s="15" t="s">
        <v>152</v>
      </c>
      <c r="C2509" s="15" t="s">
        <v>923</v>
      </c>
      <c r="D2509" s="15" t="s">
        <v>921</v>
      </c>
      <c r="E2509" s="15"/>
      <c r="F2509" s="15" t="s">
        <v>778</v>
      </c>
      <c r="G2509" s="15" t="s">
        <v>293</v>
      </c>
      <c r="H2509" s="15" t="s">
        <v>924</v>
      </c>
    </row>
    <row r="2510" customFormat="false" ht="26.25" hidden="false" customHeight="true" outlineLevel="0" collapsed="false">
      <c r="A2510" s="15" t="s">
        <v>151</v>
      </c>
      <c r="B2510" s="15" t="s">
        <v>152</v>
      </c>
      <c r="C2510" s="15" t="s">
        <v>925</v>
      </c>
      <c r="D2510" s="15" t="s">
        <v>926</v>
      </c>
      <c r="E2510" s="15"/>
      <c r="F2510" s="15"/>
      <c r="G2510" s="15" t="s">
        <v>293</v>
      </c>
      <c r="H2510" s="15"/>
    </row>
    <row r="2511" customFormat="false" ht="15" hidden="false" customHeight="true" outlineLevel="0" collapsed="false">
      <c r="A2511" s="15" t="s">
        <v>186</v>
      </c>
      <c r="B2511" s="15" t="s">
        <v>187</v>
      </c>
      <c r="C2511" s="15" t="s">
        <v>85</v>
      </c>
      <c r="D2511" s="15" t="n">
        <v>222</v>
      </c>
      <c r="E2511" s="15" t="s">
        <v>725</v>
      </c>
      <c r="F2511" s="15" t="s">
        <v>716</v>
      </c>
      <c r="G2511" s="15" t="s">
        <v>112</v>
      </c>
      <c r="H2511" s="15"/>
    </row>
    <row r="2512" customFormat="false" ht="15" hidden="false" customHeight="true" outlineLevel="0" collapsed="false">
      <c r="A2512" s="15" t="s">
        <v>186</v>
      </c>
      <c r="B2512" s="15" t="s">
        <v>187</v>
      </c>
      <c r="C2512" s="15" t="s">
        <v>920</v>
      </c>
      <c r="D2512" s="15" t="s">
        <v>921</v>
      </c>
      <c r="E2512" s="15"/>
      <c r="F2512" s="15" t="s">
        <v>778</v>
      </c>
      <c r="G2512" s="15" t="s">
        <v>293</v>
      </c>
      <c r="H2512" s="15" t="s">
        <v>922</v>
      </c>
    </row>
    <row r="2513" customFormat="false" ht="15" hidden="false" customHeight="true" outlineLevel="0" collapsed="false">
      <c r="A2513" s="15" t="s">
        <v>186</v>
      </c>
      <c r="B2513" s="15" t="s">
        <v>187</v>
      </c>
      <c r="C2513" s="15" t="s">
        <v>923</v>
      </c>
      <c r="D2513" s="15" t="s">
        <v>921</v>
      </c>
      <c r="E2513" s="15"/>
      <c r="F2513" s="15" t="s">
        <v>778</v>
      </c>
      <c r="G2513" s="15" t="s">
        <v>293</v>
      </c>
      <c r="H2513" s="15" t="s">
        <v>924</v>
      </c>
    </row>
    <row r="2514" customFormat="false" ht="26.25" hidden="false" customHeight="true" outlineLevel="0" collapsed="false">
      <c r="A2514" s="15" t="s">
        <v>186</v>
      </c>
      <c r="B2514" s="15" t="s">
        <v>187</v>
      </c>
      <c r="C2514" s="15" t="s">
        <v>925</v>
      </c>
      <c r="D2514" s="15" t="s">
        <v>926</v>
      </c>
      <c r="E2514" s="15"/>
      <c r="F2514" s="15"/>
      <c r="G2514" s="15" t="s">
        <v>293</v>
      </c>
      <c r="H2514" s="15"/>
    </row>
    <row r="2515" customFormat="false" ht="15" hidden="false" customHeight="true" outlineLevel="0" collapsed="false">
      <c r="A2515" s="15" t="s">
        <v>155</v>
      </c>
      <c r="B2515" s="15" t="s">
        <v>156</v>
      </c>
      <c r="C2515" s="15" t="s">
        <v>85</v>
      </c>
      <c r="D2515" s="15" t="n">
        <v>222</v>
      </c>
      <c r="E2515" s="15" t="s">
        <v>725</v>
      </c>
      <c r="F2515" s="15" t="s">
        <v>716</v>
      </c>
      <c r="G2515" s="15" t="s">
        <v>112</v>
      </c>
      <c r="H2515" s="15"/>
    </row>
    <row r="2516" customFormat="false" ht="15" hidden="false" customHeight="true" outlineLevel="0" collapsed="false">
      <c r="A2516" s="15" t="s">
        <v>155</v>
      </c>
      <c r="B2516" s="15" t="s">
        <v>156</v>
      </c>
      <c r="C2516" s="15" t="s">
        <v>920</v>
      </c>
      <c r="D2516" s="15" t="s">
        <v>921</v>
      </c>
      <c r="E2516" s="15"/>
      <c r="F2516" s="15" t="s">
        <v>778</v>
      </c>
      <c r="G2516" s="15" t="s">
        <v>293</v>
      </c>
      <c r="H2516" s="15" t="s">
        <v>922</v>
      </c>
    </row>
    <row r="2517" customFormat="false" ht="15" hidden="false" customHeight="true" outlineLevel="0" collapsed="false">
      <c r="A2517" s="15" t="s">
        <v>155</v>
      </c>
      <c r="B2517" s="15" t="s">
        <v>156</v>
      </c>
      <c r="C2517" s="15" t="s">
        <v>923</v>
      </c>
      <c r="D2517" s="15" t="s">
        <v>921</v>
      </c>
      <c r="E2517" s="15"/>
      <c r="F2517" s="15" t="s">
        <v>778</v>
      </c>
      <c r="G2517" s="15" t="s">
        <v>293</v>
      </c>
      <c r="H2517" s="15" t="s">
        <v>924</v>
      </c>
    </row>
    <row r="2518" customFormat="false" ht="26.25" hidden="false" customHeight="true" outlineLevel="0" collapsed="false">
      <c r="A2518" s="15" t="s">
        <v>155</v>
      </c>
      <c r="B2518" s="15" t="s">
        <v>156</v>
      </c>
      <c r="C2518" s="15" t="s">
        <v>925</v>
      </c>
      <c r="D2518" s="15" t="s">
        <v>926</v>
      </c>
      <c r="E2518" s="15"/>
      <c r="F2518" s="15"/>
      <c r="G2518" s="15" t="s">
        <v>293</v>
      </c>
      <c r="H2518" s="15"/>
    </row>
    <row r="2519" customFormat="false" ht="15" hidden="false" customHeight="true" outlineLevel="0" collapsed="false">
      <c r="A2519" s="15" t="s">
        <v>189</v>
      </c>
      <c r="B2519" s="15" t="s">
        <v>190</v>
      </c>
      <c r="C2519" s="15" t="s">
        <v>85</v>
      </c>
      <c r="D2519" s="15" t="n">
        <v>222</v>
      </c>
      <c r="E2519" s="15" t="s">
        <v>725</v>
      </c>
      <c r="F2519" s="15" t="s">
        <v>716</v>
      </c>
      <c r="G2519" s="15" t="s">
        <v>112</v>
      </c>
      <c r="H2519" s="15"/>
    </row>
    <row r="2520" customFormat="false" ht="15" hidden="false" customHeight="true" outlineLevel="0" collapsed="false">
      <c r="A2520" s="15" t="s">
        <v>189</v>
      </c>
      <c r="B2520" s="15" t="s">
        <v>190</v>
      </c>
      <c r="C2520" s="15" t="s">
        <v>920</v>
      </c>
      <c r="D2520" s="15" t="s">
        <v>921</v>
      </c>
      <c r="E2520" s="15"/>
      <c r="F2520" s="15" t="s">
        <v>778</v>
      </c>
      <c r="G2520" s="15" t="s">
        <v>293</v>
      </c>
      <c r="H2520" s="15" t="s">
        <v>922</v>
      </c>
    </row>
    <row r="2521" customFormat="false" ht="15" hidden="false" customHeight="true" outlineLevel="0" collapsed="false">
      <c r="A2521" s="15" t="s">
        <v>189</v>
      </c>
      <c r="B2521" s="15" t="s">
        <v>190</v>
      </c>
      <c r="C2521" s="15" t="s">
        <v>923</v>
      </c>
      <c r="D2521" s="15" t="s">
        <v>921</v>
      </c>
      <c r="E2521" s="15"/>
      <c r="F2521" s="15" t="s">
        <v>778</v>
      </c>
      <c r="G2521" s="15" t="s">
        <v>293</v>
      </c>
      <c r="H2521" s="15" t="s">
        <v>924</v>
      </c>
    </row>
    <row r="2522" customFormat="false" ht="26.25" hidden="false" customHeight="true" outlineLevel="0" collapsed="false">
      <c r="A2522" s="15" t="s">
        <v>189</v>
      </c>
      <c r="B2522" s="15" t="s">
        <v>190</v>
      </c>
      <c r="C2522" s="15" t="s">
        <v>925</v>
      </c>
      <c r="D2522" s="15" t="s">
        <v>926</v>
      </c>
      <c r="E2522" s="15"/>
      <c r="F2522" s="15"/>
      <c r="G2522" s="15" t="s">
        <v>293</v>
      </c>
      <c r="H2522" s="15"/>
    </row>
    <row r="2523" customFormat="false" ht="15" hidden="false" customHeight="true" outlineLevel="0" collapsed="false">
      <c r="A2523" s="15" t="s">
        <v>159</v>
      </c>
      <c r="B2523" s="15" t="s">
        <v>160</v>
      </c>
      <c r="C2523" s="15" t="s">
        <v>85</v>
      </c>
      <c r="D2523" s="15" t="n">
        <v>222</v>
      </c>
      <c r="E2523" s="15" t="s">
        <v>725</v>
      </c>
      <c r="F2523" s="15" t="s">
        <v>716</v>
      </c>
      <c r="G2523" s="15" t="s">
        <v>112</v>
      </c>
      <c r="H2523" s="15"/>
    </row>
    <row r="2524" customFormat="false" ht="15" hidden="false" customHeight="true" outlineLevel="0" collapsed="false">
      <c r="A2524" s="15" t="s">
        <v>159</v>
      </c>
      <c r="B2524" s="15" t="s">
        <v>160</v>
      </c>
      <c r="C2524" s="15" t="s">
        <v>920</v>
      </c>
      <c r="D2524" s="15" t="s">
        <v>921</v>
      </c>
      <c r="E2524" s="15"/>
      <c r="F2524" s="15" t="s">
        <v>778</v>
      </c>
      <c r="G2524" s="15" t="s">
        <v>293</v>
      </c>
      <c r="H2524" s="15" t="s">
        <v>922</v>
      </c>
    </row>
    <row r="2525" customFormat="false" ht="15" hidden="false" customHeight="true" outlineLevel="0" collapsed="false">
      <c r="A2525" s="15" t="s">
        <v>159</v>
      </c>
      <c r="B2525" s="15" t="s">
        <v>160</v>
      </c>
      <c r="C2525" s="15" t="s">
        <v>923</v>
      </c>
      <c r="D2525" s="15" t="s">
        <v>921</v>
      </c>
      <c r="E2525" s="15"/>
      <c r="F2525" s="15" t="s">
        <v>778</v>
      </c>
      <c r="G2525" s="15" t="s">
        <v>293</v>
      </c>
      <c r="H2525" s="15" t="s">
        <v>924</v>
      </c>
    </row>
    <row r="2526" customFormat="false" ht="26.25" hidden="false" customHeight="true" outlineLevel="0" collapsed="false">
      <c r="A2526" s="15" t="s">
        <v>159</v>
      </c>
      <c r="B2526" s="15" t="s">
        <v>160</v>
      </c>
      <c r="C2526" s="15" t="s">
        <v>925</v>
      </c>
      <c r="D2526" s="15" t="s">
        <v>926</v>
      </c>
      <c r="E2526" s="15"/>
      <c r="F2526" s="15"/>
      <c r="G2526" s="15" t="s">
        <v>293</v>
      </c>
      <c r="H2526" s="15"/>
    </row>
    <row r="2527" customFormat="false" ht="26.25" hidden="false" customHeight="true" outlineLevel="0" collapsed="false">
      <c r="A2527" s="15" t="s">
        <v>192</v>
      </c>
      <c r="B2527" s="15" t="s">
        <v>193</v>
      </c>
      <c r="C2527" s="15" t="s">
        <v>85</v>
      </c>
      <c r="D2527" s="15" t="n">
        <v>222</v>
      </c>
      <c r="E2527" s="15" t="s">
        <v>725</v>
      </c>
      <c r="F2527" s="15" t="s">
        <v>716</v>
      </c>
      <c r="G2527" s="15" t="s">
        <v>112</v>
      </c>
      <c r="H2527" s="15"/>
    </row>
    <row r="2528" customFormat="false" ht="26.25" hidden="false" customHeight="true" outlineLevel="0" collapsed="false">
      <c r="A2528" s="15" t="s">
        <v>192</v>
      </c>
      <c r="B2528" s="15" t="s">
        <v>193</v>
      </c>
      <c r="C2528" s="15" t="s">
        <v>920</v>
      </c>
      <c r="D2528" s="15" t="s">
        <v>921</v>
      </c>
      <c r="E2528" s="15"/>
      <c r="F2528" s="15" t="s">
        <v>778</v>
      </c>
      <c r="G2528" s="15" t="s">
        <v>293</v>
      </c>
      <c r="H2528" s="15" t="s">
        <v>922</v>
      </c>
    </row>
    <row r="2529" customFormat="false" ht="26.25" hidden="false" customHeight="true" outlineLevel="0" collapsed="false">
      <c r="A2529" s="15" t="s">
        <v>192</v>
      </c>
      <c r="B2529" s="15" t="s">
        <v>193</v>
      </c>
      <c r="C2529" s="15" t="s">
        <v>923</v>
      </c>
      <c r="D2529" s="15" t="s">
        <v>921</v>
      </c>
      <c r="E2529" s="15"/>
      <c r="F2529" s="15" t="s">
        <v>778</v>
      </c>
      <c r="G2529" s="15" t="s">
        <v>293</v>
      </c>
      <c r="H2529" s="15" t="s">
        <v>924</v>
      </c>
    </row>
    <row r="2530" customFormat="false" ht="26.25" hidden="false" customHeight="true" outlineLevel="0" collapsed="false">
      <c r="A2530" s="15" t="s">
        <v>192</v>
      </c>
      <c r="B2530" s="15" t="s">
        <v>193</v>
      </c>
      <c r="C2530" s="15" t="s">
        <v>925</v>
      </c>
      <c r="D2530" s="15" t="s">
        <v>926</v>
      </c>
      <c r="E2530" s="15"/>
      <c r="F2530" s="15"/>
      <c r="G2530" s="15" t="s">
        <v>293</v>
      </c>
      <c r="H2530" s="15"/>
    </row>
    <row r="2531" customFormat="false" ht="15" hidden="false" customHeight="true" outlineLevel="0" collapsed="false">
      <c r="A2531" s="15" t="s">
        <v>254</v>
      </c>
      <c r="B2531" s="15" t="s">
        <v>257</v>
      </c>
      <c r="C2531" s="15" t="s">
        <v>85</v>
      </c>
      <c r="D2531" s="15" t="n">
        <v>218</v>
      </c>
      <c r="E2531" s="15" t="s">
        <v>725</v>
      </c>
      <c r="F2531" s="15" t="s">
        <v>825</v>
      </c>
      <c r="G2531" s="15" t="s">
        <v>112</v>
      </c>
      <c r="H2531" s="15"/>
    </row>
    <row r="2532" customFormat="false" ht="26.25" hidden="false" customHeight="true" outlineLevel="0" collapsed="false">
      <c r="A2532" s="15" t="s">
        <v>254</v>
      </c>
      <c r="B2532" s="15" t="s">
        <v>257</v>
      </c>
      <c r="C2532" s="15" t="s">
        <v>920</v>
      </c>
      <c r="D2532" s="15" t="s">
        <v>927</v>
      </c>
      <c r="E2532" s="15"/>
      <c r="F2532" s="15" t="s">
        <v>828</v>
      </c>
      <c r="G2532" s="15" t="s">
        <v>293</v>
      </c>
      <c r="H2532" s="15"/>
    </row>
    <row r="2533" customFormat="false" ht="26.25" hidden="false" customHeight="true" outlineLevel="0" collapsed="false">
      <c r="A2533" s="15" t="s">
        <v>254</v>
      </c>
      <c r="B2533" s="15" t="s">
        <v>257</v>
      </c>
      <c r="C2533" s="15" t="s">
        <v>923</v>
      </c>
      <c r="D2533" s="15" t="s">
        <v>928</v>
      </c>
      <c r="E2533" s="15"/>
      <c r="F2533" s="15" t="s">
        <v>828</v>
      </c>
      <c r="G2533" s="15" t="s">
        <v>112</v>
      </c>
      <c r="H2533" s="15"/>
    </row>
    <row r="2534" customFormat="false" ht="26.25" hidden="false" customHeight="true" outlineLevel="0" collapsed="false">
      <c r="A2534" s="15" t="s">
        <v>254</v>
      </c>
      <c r="B2534" s="15" t="s">
        <v>257</v>
      </c>
      <c r="C2534" s="15" t="s">
        <v>925</v>
      </c>
      <c r="D2534" s="15" t="s">
        <v>929</v>
      </c>
      <c r="E2534" s="15"/>
      <c r="F2534" s="15" t="s">
        <v>832</v>
      </c>
      <c r="G2534" s="15" t="s">
        <v>112</v>
      </c>
      <c r="H2534" s="15"/>
    </row>
    <row r="2535" customFormat="false" ht="15" hidden="false" customHeight="true" outlineLevel="0" collapsed="false">
      <c r="A2535" s="15" t="s">
        <v>278</v>
      </c>
      <c r="B2535" s="15" t="s">
        <v>279</v>
      </c>
      <c r="C2535" s="15" t="s">
        <v>85</v>
      </c>
      <c r="D2535" s="15" t="n">
        <v>218</v>
      </c>
      <c r="E2535" s="15" t="s">
        <v>725</v>
      </c>
      <c r="F2535" s="15" t="s">
        <v>825</v>
      </c>
      <c r="G2535" s="15" t="s">
        <v>112</v>
      </c>
      <c r="H2535" s="15"/>
    </row>
    <row r="2536" customFormat="false" ht="26.25" hidden="false" customHeight="true" outlineLevel="0" collapsed="false">
      <c r="A2536" s="15" t="s">
        <v>278</v>
      </c>
      <c r="B2536" s="15" t="s">
        <v>279</v>
      </c>
      <c r="C2536" s="15" t="s">
        <v>920</v>
      </c>
      <c r="D2536" s="15" t="s">
        <v>927</v>
      </c>
      <c r="E2536" s="15"/>
      <c r="F2536" s="15" t="s">
        <v>828</v>
      </c>
      <c r="G2536" s="15" t="s">
        <v>293</v>
      </c>
      <c r="H2536" s="15"/>
    </row>
    <row r="2537" customFormat="false" ht="26.25" hidden="false" customHeight="true" outlineLevel="0" collapsed="false">
      <c r="A2537" s="15" t="s">
        <v>278</v>
      </c>
      <c r="B2537" s="15" t="s">
        <v>279</v>
      </c>
      <c r="C2537" s="15" t="s">
        <v>923</v>
      </c>
      <c r="D2537" s="15" t="s">
        <v>928</v>
      </c>
      <c r="E2537" s="15"/>
      <c r="F2537" s="15" t="s">
        <v>828</v>
      </c>
      <c r="G2537" s="15" t="s">
        <v>112</v>
      </c>
      <c r="H2537" s="15"/>
    </row>
    <row r="2538" customFormat="false" ht="26.25" hidden="false" customHeight="true" outlineLevel="0" collapsed="false">
      <c r="A2538" s="15" t="s">
        <v>278</v>
      </c>
      <c r="B2538" s="15" t="s">
        <v>279</v>
      </c>
      <c r="C2538" s="15" t="s">
        <v>925</v>
      </c>
      <c r="D2538" s="15" t="s">
        <v>929</v>
      </c>
      <c r="E2538" s="15"/>
      <c r="F2538" s="15" t="s">
        <v>832</v>
      </c>
      <c r="G2538" s="15" t="s">
        <v>112</v>
      </c>
      <c r="H2538" s="15"/>
    </row>
    <row r="2539" customFormat="false" ht="15" hidden="false" customHeight="true" outlineLevel="0" collapsed="false">
      <c r="A2539" s="15" t="s">
        <v>261</v>
      </c>
      <c r="B2539" s="15" t="s">
        <v>262</v>
      </c>
      <c r="C2539" s="15" t="s">
        <v>85</v>
      </c>
      <c r="D2539" s="15" t="n">
        <v>218</v>
      </c>
      <c r="E2539" s="15" t="s">
        <v>725</v>
      </c>
      <c r="F2539" s="15" t="s">
        <v>825</v>
      </c>
      <c r="G2539" s="15" t="s">
        <v>112</v>
      </c>
      <c r="H2539" s="15"/>
    </row>
    <row r="2540" customFormat="false" ht="26.25" hidden="false" customHeight="true" outlineLevel="0" collapsed="false">
      <c r="A2540" s="15" t="s">
        <v>261</v>
      </c>
      <c r="B2540" s="15" t="s">
        <v>262</v>
      </c>
      <c r="C2540" s="15" t="s">
        <v>920</v>
      </c>
      <c r="D2540" s="15" t="s">
        <v>927</v>
      </c>
      <c r="E2540" s="15"/>
      <c r="F2540" s="15" t="s">
        <v>828</v>
      </c>
      <c r="G2540" s="15" t="s">
        <v>293</v>
      </c>
      <c r="H2540" s="15"/>
    </row>
    <row r="2541" customFormat="false" ht="26.25" hidden="false" customHeight="true" outlineLevel="0" collapsed="false">
      <c r="A2541" s="15" t="s">
        <v>261</v>
      </c>
      <c r="B2541" s="15" t="s">
        <v>262</v>
      </c>
      <c r="C2541" s="15" t="s">
        <v>923</v>
      </c>
      <c r="D2541" s="15" t="s">
        <v>928</v>
      </c>
      <c r="E2541" s="15"/>
      <c r="F2541" s="15" t="s">
        <v>828</v>
      </c>
      <c r="G2541" s="15" t="s">
        <v>112</v>
      </c>
      <c r="H2541" s="15"/>
    </row>
    <row r="2542" customFormat="false" ht="26.25" hidden="false" customHeight="true" outlineLevel="0" collapsed="false">
      <c r="A2542" s="15" t="s">
        <v>261</v>
      </c>
      <c r="B2542" s="15" t="s">
        <v>262</v>
      </c>
      <c r="C2542" s="15" t="s">
        <v>925</v>
      </c>
      <c r="D2542" s="15" t="s">
        <v>929</v>
      </c>
      <c r="E2542" s="15"/>
      <c r="F2542" s="15" t="s">
        <v>832</v>
      </c>
      <c r="G2542" s="15" t="s">
        <v>112</v>
      </c>
      <c r="H2542" s="15"/>
    </row>
    <row r="2543" customFormat="false" ht="15" hidden="false" customHeight="true" outlineLevel="0" collapsed="false">
      <c r="A2543" s="15" t="s">
        <v>291</v>
      </c>
      <c r="B2543" s="15" t="s">
        <v>292</v>
      </c>
      <c r="C2543" s="15" t="s">
        <v>85</v>
      </c>
      <c r="D2543" s="15" t="n">
        <v>218</v>
      </c>
      <c r="E2543" s="15" t="s">
        <v>725</v>
      </c>
      <c r="F2543" s="15" t="s">
        <v>825</v>
      </c>
      <c r="G2543" s="15" t="s">
        <v>112</v>
      </c>
      <c r="H2543" s="15"/>
    </row>
    <row r="2544" customFormat="false" ht="26.25" hidden="false" customHeight="true" outlineLevel="0" collapsed="false">
      <c r="A2544" s="15" t="s">
        <v>291</v>
      </c>
      <c r="B2544" s="15" t="s">
        <v>292</v>
      </c>
      <c r="C2544" s="15" t="s">
        <v>920</v>
      </c>
      <c r="D2544" s="15" t="s">
        <v>927</v>
      </c>
      <c r="E2544" s="15"/>
      <c r="F2544" s="15" t="s">
        <v>828</v>
      </c>
      <c r="G2544" s="15" t="s">
        <v>293</v>
      </c>
      <c r="H2544" s="15"/>
    </row>
    <row r="2545" customFormat="false" ht="26.25" hidden="false" customHeight="true" outlineLevel="0" collapsed="false">
      <c r="A2545" s="15" t="s">
        <v>291</v>
      </c>
      <c r="B2545" s="15" t="s">
        <v>292</v>
      </c>
      <c r="C2545" s="15" t="s">
        <v>923</v>
      </c>
      <c r="D2545" s="15" t="s">
        <v>928</v>
      </c>
      <c r="E2545" s="15"/>
      <c r="F2545" s="15" t="s">
        <v>828</v>
      </c>
      <c r="G2545" s="15" t="s">
        <v>112</v>
      </c>
      <c r="H2545" s="15"/>
    </row>
    <row r="2546" customFormat="false" ht="26.25" hidden="false" customHeight="true" outlineLevel="0" collapsed="false">
      <c r="A2546" s="15" t="s">
        <v>291</v>
      </c>
      <c r="B2546" s="15" t="s">
        <v>292</v>
      </c>
      <c r="C2546" s="15" t="s">
        <v>925</v>
      </c>
      <c r="D2546" s="15" t="s">
        <v>929</v>
      </c>
      <c r="E2546" s="15"/>
      <c r="F2546" s="15" t="s">
        <v>832</v>
      </c>
      <c r="G2546" s="15" t="s">
        <v>112</v>
      </c>
      <c r="H2546" s="15"/>
    </row>
    <row r="2547" customFormat="false" ht="15" hidden="false" customHeight="true" outlineLevel="0" collapsed="false">
      <c r="A2547" s="15" t="s">
        <v>264</v>
      </c>
      <c r="B2547" s="15" t="s">
        <v>265</v>
      </c>
      <c r="C2547" s="15" t="s">
        <v>85</v>
      </c>
      <c r="D2547" s="15" t="n">
        <v>218</v>
      </c>
      <c r="E2547" s="15" t="s">
        <v>725</v>
      </c>
      <c r="F2547" s="15" t="s">
        <v>825</v>
      </c>
      <c r="G2547" s="15" t="s">
        <v>112</v>
      </c>
      <c r="H2547" s="15"/>
    </row>
    <row r="2548" customFormat="false" ht="26.25" hidden="false" customHeight="true" outlineLevel="0" collapsed="false">
      <c r="A2548" s="15" t="s">
        <v>264</v>
      </c>
      <c r="B2548" s="15" t="s">
        <v>265</v>
      </c>
      <c r="C2548" s="15" t="s">
        <v>920</v>
      </c>
      <c r="D2548" s="15" t="s">
        <v>927</v>
      </c>
      <c r="E2548" s="15"/>
      <c r="F2548" s="15" t="s">
        <v>828</v>
      </c>
      <c r="G2548" s="15" t="s">
        <v>293</v>
      </c>
      <c r="H2548" s="15"/>
    </row>
    <row r="2549" customFormat="false" ht="26.25" hidden="false" customHeight="true" outlineLevel="0" collapsed="false">
      <c r="A2549" s="15" t="s">
        <v>264</v>
      </c>
      <c r="B2549" s="15" t="s">
        <v>265</v>
      </c>
      <c r="C2549" s="15" t="s">
        <v>923</v>
      </c>
      <c r="D2549" s="15" t="s">
        <v>928</v>
      </c>
      <c r="E2549" s="15"/>
      <c r="F2549" s="15" t="s">
        <v>828</v>
      </c>
      <c r="G2549" s="15" t="s">
        <v>112</v>
      </c>
      <c r="H2549" s="15"/>
    </row>
    <row r="2550" customFormat="false" ht="26.25" hidden="false" customHeight="true" outlineLevel="0" collapsed="false">
      <c r="A2550" s="15" t="s">
        <v>264</v>
      </c>
      <c r="B2550" s="15" t="s">
        <v>265</v>
      </c>
      <c r="C2550" s="15" t="s">
        <v>925</v>
      </c>
      <c r="D2550" s="15" t="s">
        <v>929</v>
      </c>
      <c r="E2550" s="15"/>
      <c r="F2550" s="15" t="s">
        <v>832</v>
      </c>
      <c r="G2550" s="15" t="s">
        <v>112</v>
      </c>
      <c r="H2550" s="15"/>
    </row>
    <row r="2551" customFormat="false" ht="15" hidden="false" customHeight="true" outlineLevel="0" collapsed="false">
      <c r="A2551" s="15" t="s">
        <v>282</v>
      </c>
      <c r="B2551" s="15" t="s">
        <v>283</v>
      </c>
      <c r="C2551" s="15" t="s">
        <v>85</v>
      </c>
      <c r="D2551" s="15" t="n">
        <v>218</v>
      </c>
      <c r="E2551" s="15" t="s">
        <v>725</v>
      </c>
      <c r="F2551" s="15" t="s">
        <v>825</v>
      </c>
      <c r="G2551" s="15" t="s">
        <v>112</v>
      </c>
      <c r="H2551" s="15"/>
    </row>
    <row r="2552" customFormat="false" ht="26.25" hidden="false" customHeight="true" outlineLevel="0" collapsed="false">
      <c r="A2552" s="15" t="s">
        <v>282</v>
      </c>
      <c r="B2552" s="15" t="s">
        <v>283</v>
      </c>
      <c r="C2552" s="15" t="s">
        <v>920</v>
      </c>
      <c r="D2552" s="15" t="s">
        <v>927</v>
      </c>
      <c r="E2552" s="15"/>
      <c r="F2552" s="15" t="s">
        <v>828</v>
      </c>
      <c r="G2552" s="15" t="s">
        <v>293</v>
      </c>
      <c r="H2552" s="15"/>
    </row>
    <row r="2553" customFormat="false" ht="26.25" hidden="false" customHeight="true" outlineLevel="0" collapsed="false">
      <c r="A2553" s="15" t="s">
        <v>282</v>
      </c>
      <c r="B2553" s="15" t="s">
        <v>283</v>
      </c>
      <c r="C2553" s="15" t="s">
        <v>923</v>
      </c>
      <c r="D2553" s="15" t="s">
        <v>928</v>
      </c>
      <c r="E2553" s="15"/>
      <c r="F2553" s="15" t="s">
        <v>828</v>
      </c>
      <c r="G2553" s="15" t="s">
        <v>112</v>
      </c>
      <c r="H2553" s="15"/>
    </row>
    <row r="2554" customFormat="false" ht="26.25" hidden="false" customHeight="true" outlineLevel="0" collapsed="false">
      <c r="A2554" s="15" t="s">
        <v>282</v>
      </c>
      <c r="B2554" s="15" t="s">
        <v>283</v>
      </c>
      <c r="C2554" s="15" t="s">
        <v>925</v>
      </c>
      <c r="D2554" s="15" t="s">
        <v>929</v>
      </c>
      <c r="E2554" s="15"/>
      <c r="F2554" s="15" t="s">
        <v>832</v>
      </c>
      <c r="G2554" s="15" t="s">
        <v>112</v>
      </c>
      <c r="H2554" s="15"/>
    </row>
    <row r="2555" customFormat="false" ht="26.25" hidden="false" customHeight="true" outlineLevel="0" collapsed="false">
      <c r="A2555" s="15" t="s">
        <v>268</v>
      </c>
      <c r="B2555" s="15" t="s">
        <v>269</v>
      </c>
      <c r="C2555" s="15" t="s">
        <v>85</v>
      </c>
      <c r="D2555" s="15" t="n">
        <v>218</v>
      </c>
      <c r="E2555" s="15" t="s">
        <v>725</v>
      </c>
      <c r="F2555" s="15" t="s">
        <v>825</v>
      </c>
      <c r="G2555" s="15" t="s">
        <v>112</v>
      </c>
      <c r="H2555" s="15"/>
    </row>
    <row r="2556" customFormat="false" ht="26.25" hidden="false" customHeight="true" outlineLevel="0" collapsed="false">
      <c r="A2556" s="15" t="s">
        <v>268</v>
      </c>
      <c r="B2556" s="15" t="s">
        <v>269</v>
      </c>
      <c r="C2556" s="15" t="s">
        <v>920</v>
      </c>
      <c r="D2556" s="15" t="s">
        <v>927</v>
      </c>
      <c r="E2556" s="15"/>
      <c r="F2556" s="15" t="s">
        <v>828</v>
      </c>
      <c r="G2556" s="15" t="s">
        <v>293</v>
      </c>
      <c r="H2556" s="15"/>
    </row>
    <row r="2557" customFormat="false" ht="26.25" hidden="false" customHeight="true" outlineLevel="0" collapsed="false">
      <c r="A2557" s="15" t="s">
        <v>268</v>
      </c>
      <c r="B2557" s="15" t="s">
        <v>269</v>
      </c>
      <c r="C2557" s="15" t="s">
        <v>923</v>
      </c>
      <c r="D2557" s="15" t="s">
        <v>928</v>
      </c>
      <c r="E2557" s="15"/>
      <c r="F2557" s="15" t="s">
        <v>828</v>
      </c>
      <c r="G2557" s="15" t="s">
        <v>112</v>
      </c>
      <c r="H2557" s="15"/>
    </row>
    <row r="2558" customFormat="false" ht="26.25" hidden="false" customHeight="true" outlineLevel="0" collapsed="false">
      <c r="A2558" s="15" t="s">
        <v>268</v>
      </c>
      <c r="B2558" s="15" t="s">
        <v>269</v>
      </c>
      <c r="C2558" s="15" t="s">
        <v>925</v>
      </c>
      <c r="D2558" s="15" t="s">
        <v>929</v>
      </c>
      <c r="E2558" s="15"/>
      <c r="F2558" s="15" t="s">
        <v>832</v>
      </c>
      <c r="G2558" s="15" t="s">
        <v>112</v>
      </c>
      <c r="H2558" s="15"/>
    </row>
    <row r="2559" customFormat="false" ht="26.25" hidden="false" customHeight="true" outlineLevel="0" collapsed="false">
      <c r="A2559" s="15" t="s">
        <v>296</v>
      </c>
      <c r="B2559" s="15" t="s">
        <v>297</v>
      </c>
      <c r="C2559" s="15" t="s">
        <v>85</v>
      </c>
      <c r="D2559" s="15" t="n">
        <v>218</v>
      </c>
      <c r="E2559" s="15" t="s">
        <v>725</v>
      </c>
      <c r="F2559" s="15" t="s">
        <v>825</v>
      </c>
      <c r="G2559" s="15" t="s">
        <v>112</v>
      </c>
      <c r="H2559" s="15"/>
    </row>
    <row r="2560" customFormat="false" ht="26.25" hidden="false" customHeight="true" outlineLevel="0" collapsed="false">
      <c r="A2560" s="15" t="s">
        <v>296</v>
      </c>
      <c r="B2560" s="15" t="s">
        <v>297</v>
      </c>
      <c r="C2560" s="15" t="s">
        <v>920</v>
      </c>
      <c r="D2560" s="15" t="s">
        <v>927</v>
      </c>
      <c r="E2560" s="15"/>
      <c r="F2560" s="15" t="s">
        <v>828</v>
      </c>
      <c r="G2560" s="15" t="s">
        <v>293</v>
      </c>
      <c r="H2560" s="15"/>
    </row>
    <row r="2561" customFormat="false" ht="26.25" hidden="false" customHeight="true" outlineLevel="0" collapsed="false">
      <c r="A2561" s="15" t="s">
        <v>296</v>
      </c>
      <c r="B2561" s="15" t="s">
        <v>297</v>
      </c>
      <c r="C2561" s="15" t="s">
        <v>923</v>
      </c>
      <c r="D2561" s="15" t="s">
        <v>928</v>
      </c>
      <c r="E2561" s="15"/>
      <c r="F2561" s="15" t="s">
        <v>828</v>
      </c>
      <c r="G2561" s="15" t="s">
        <v>112</v>
      </c>
      <c r="H2561" s="15"/>
    </row>
    <row r="2562" customFormat="false" ht="26.25" hidden="false" customHeight="true" outlineLevel="0" collapsed="false">
      <c r="A2562" s="15" t="s">
        <v>296</v>
      </c>
      <c r="B2562" s="15" t="s">
        <v>297</v>
      </c>
      <c r="C2562" s="15" t="s">
        <v>925</v>
      </c>
      <c r="D2562" s="15" t="s">
        <v>929</v>
      </c>
      <c r="E2562" s="15"/>
      <c r="F2562" s="15" t="s">
        <v>832</v>
      </c>
      <c r="G2562" s="15" t="s">
        <v>112</v>
      </c>
      <c r="H2562" s="15"/>
    </row>
    <row r="2563" customFormat="false" ht="15" hidden="false" customHeight="true" outlineLevel="0" collapsed="false">
      <c r="A2563" s="15" t="s">
        <v>275</v>
      </c>
      <c r="B2563" s="15" t="s">
        <v>276</v>
      </c>
      <c r="C2563" s="15" t="s">
        <v>85</v>
      </c>
      <c r="D2563" s="15" t="n">
        <v>218</v>
      </c>
      <c r="E2563" s="15" t="s">
        <v>725</v>
      </c>
      <c r="F2563" s="15" t="s">
        <v>825</v>
      </c>
      <c r="G2563" s="15" t="s">
        <v>112</v>
      </c>
      <c r="H2563" s="15"/>
    </row>
    <row r="2564" customFormat="false" ht="26.25" hidden="false" customHeight="true" outlineLevel="0" collapsed="false">
      <c r="A2564" s="15" t="s">
        <v>275</v>
      </c>
      <c r="B2564" s="15" t="s">
        <v>276</v>
      </c>
      <c r="C2564" s="15" t="s">
        <v>920</v>
      </c>
      <c r="D2564" s="15" t="s">
        <v>927</v>
      </c>
      <c r="E2564" s="15"/>
      <c r="F2564" s="15" t="s">
        <v>828</v>
      </c>
      <c r="G2564" s="15" t="s">
        <v>293</v>
      </c>
      <c r="H2564" s="15"/>
    </row>
    <row r="2565" customFormat="false" ht="26.25" hidden="false" customHeight="true" outlineLevel="0" collapsed="false">
      <c r="A2565" s="15" t="s">
        <v>275</v>
      </c>
      <c r="B2565" s="15" t="s">
        <v>276</v>
      </c>
      <c r="C2565" s="15" t="s">
        <v>923</v>
      </c>
      <c r="D2565" s="15" t="s">
        <v>928</v>
      </c>
      <c r="E2565" s="15"/>
      <c r="F2565" s="15" t="s">
        <v>828</v>
      </c>
      <c r="G2565" s="15" t="s">
        <v>112</v>
      </c>
      <c r="H2565" s="15"/>
    </row>
    <row r="2566" customFormat="false" ht="26.25" hidden="false" customHeight="true" outlineLevel="0" collapsed="false">
      <c r="A2566" s="15" t="s">
        <v>275</v>
      </c>
      <c r="B2566" s="15" t="s">
        <v>276</v>
      </c>
      <c r="C2566" s="15" t="s">
        <v>925</v>
      </c>
      <c r="D2566" s="15" t="s">
        <v>929</v>
      </c>
      <c r="E2566" s="15"/>
      <c r="F2566" s="15" t="s">
        <v>832</v>
      </c>
      <c r="G2566" s="15" t="s">
        <v>112</v>
      </c>
      <c r="H2566" s="15"/>
    </row>
    <row r="2567" customFormat="false" ht="26.25" hidden="false" customHeight="true" outlineLevel="0" collapsed="false">
      <c r="A2567" s="15" t="s">
        <v>289</v>
      </c>
      <c r="B2567" s="15" t="s">
        <v>249</v>
      </c>
      <c r="C2567" s="15" t="s">
        <v>85</v>
      </c>
      <c r="D2567" s="15" t="n">
        <v>218</v>
      </c>
      <c r="E2567" s="15" t="s">
        <v>725</v>
      </c>
      <c r="F2567" s="15" t="s">
        <v>825</v>
      </c>
      <c r="G2567" s="15" t="s">
        <v>112</v>
      </c>
      <c r="H2567" s="15"/>
    </row>
    <row r="2568" customFormat="false" ht="26.25" hidden="false" customHeight="true" outlineLevel="0" collapsed="false">
      <c r="A2568" s="15" t="s">
        <v>289</v>
      </c>
      <c r="B2568" s="15" t="s">
        <v>249</v>
      </c>
      <c r="C2568" s="15" t="s">
        <v>920</v>
      </c>
      <c r="D2568" s="15" t="s">
        <v>927</v>
      </c>
      <c r="E2568" s="15"/>
      <c r="F2568" s="15" t="s">
        <v>828</v>
      </c>
      <c r="G2568" s="15" t="s">
        <v>293</v>
      </c>
      <c r="H2568" s="15"/>
    </row>
    <row r="2569" customFormat="false" ht="26.25" hidden="false" customHeight="true" outlineLevel="0" collapsed="false">
      <c r="A2569" s="15" t="s">
        <v>289</v>
      </c>
      <c r="B2569" s="15" t="s">
        <v>249</v>
      </c>
      <c r="C2569" s="15" t="s">
        <v>923</v>
      </c>
      <c r="D2569" s="15" t="s">
        <v>928</v>
      </c>
      <c r="E2569" s="15"/>
      <c r="F2569" s="15" t="s">
        <v>828</v>
      </c>
      <c r="G2569" s="15" t="s">
        <v>112</v>
      </c>
      <c r="H2569" s="15"/>
    </row>
    <row r="2570" customFormat="false" ht="26.25" hidden="false" customHeight="true" outlineLevel="0" collapsed="false">
      <c r="A2570" s="15" t="s">
        <v>289</v>
      </c>
      <c r="B2570" s="15" t="s">
        <v>249</v>
      </c>
      <c r="C2570" s="15" t="s">
        <v>925</v>
      </c>
      <c r="D2570" s="15" t="s">
        <v>929</v>
      </c>
      <c r="E2570" s="15"/>
      <c r="F2570" s="15" t="s">
        <v>832</v>
      </c>
      <c r="G2570" s="15" t="s">
        <v>112</v>
      </c>
      <c r="H2570" s="15"/>
    </row>
    <row r="2571" customFormat="false" ht="15" hidden="false" customHeight="true" outlineLevel="0" collapsed="false">
      <c r="A2571" s="15" t="s">
        <v>271</v>
      </c>
      <c r="B2571" s="15" t="s">
        <v>272</v>
      </c>
      <c r="C2571" s="15" t="s">
        <v>85</v>
      </c>
      <c r="D2571" s="15" t="n">
        <v>218</v>
      </c>
      <c r="E2571" s="15" t="s">
        <v>725</v>
      </c>
      <c r="F2571" s="15" t="s">
        <v>825</v>
      </c>
      <c r="G2571" s="15" t="s">
        <v>112</v>
      </c>
      <c r="H2571" s="15"/>
    </row>
    <row r="2572" customFormat="false" ht="26.25" hidden="false" customHeight="true" outlineLevel="0" collapsed="false">
      <c r="A2572" s="15" t="s">
        <v>271</v>
      </c>
      <c r="B2572" s="15" t="s">
        <v>272</v>
      </c>
      <c r="C2572" s="15" t="s">
        <v>920</v>
      </c>
      <c r="D2572" s="15" t="s">
        <v>927</v>
      </c>
      <c r="E2572" s="15"/>
      <c r="F2572" s="15" t="s">
        <v>828</v>
      </c>
      <c r="G2572" s="15" t="s">
        <v>293</v>
      </c>
      <c r="H2572" s="15"/>
    </row>
    <row r="2573" customFormat="false" ht="26.25" hidden="false" customHeight="true" outlineLevel="0" collapsed="false">
      <c r="A2573" s="15" t="s">
        <v>271</v>
      </c>
      <c r="B2573" s="15" t="s">
        <v>272</v>
      </c>
      <c r="C2573" s="15" t="s">
        <v>923</v>
      </c>
      <c r="D2573" s="15" t="s">
        <v>928</v>
      </c>
      <c r="E2573" s="15"/>
      <c r="F2573" s="15" t="s">
        <v>828</v>
      </c>
      <c r="G2573" s="15" t="s">
        <v>112</v>
      </c>
      <c r="H2573" s="15"/>
    </row>
    <row r="2574" customFormat="false" ht="26.25" hidden="false" customHeight="true" outlineLevel="0" collapsed="false">
      <c r="A2574" s="15" t="s">
        <v>271</v>
      </c>
      <c r="B2574" s="15" t="s">
        <v>272</v>
      </c>
      <c r="C2574" s="15" t="s">
        <v>925</v>
      </c>
      <c r="D2574" s="15" t="s">
        <v>929</v>
      </c>
      <c r="E2574" s="15"/>
      <c r="F2574" s="15" t="s">
        <v>832</v>
      </c>
      <c r="G2574" s="15" t="s">
        <v>112</v>
      </c>
      <c r="H2574" s="15"/>
    </row>
    <row r="2575" customFormat="false" ht="15" hidden="false" customHeight="true" outlineLevel="0" collapsed="false">
      <c r="A2575" s="15" t="s">
        <v>285</v>
      </c>
      <c r="B2575" s="15" t="s">
        <v>286</v>
      </c>
      <c r="C2575" s="15" t="s">
        <v>85</v>
      </c>
      <c r="D2575" s="15" t="n">
        <v>218</v>
      </c>
      <c r="E2575" s="15" t="s">
        <v>725</v>
      </c>
      <c r="F2575" s="15" t="s">
        <v>825</v>
      </c>
      <c r="G2575" s="15" t="s">
        <v>112</v>
      </c>
      <c r="H2575" s="15"/>
    </row>
    <row r="2576" customFormat="false" ht="26.25" hidden="false" customHeight="true" outlineLevel="0" collapsed="false">
      <c r="A2576" s="15" t="s">
        <v>285</v>
      </c>
      <c r="B2576" s="15" t="s">
        <v>286</v>
      </c>
      <c r="C2576" s="15" t="s">
        <v>920</v>
      </c>
      <c r="D2576" s="15" t="s">
        <v>927</v>
      </c>
      <c r="E2576" s="15"/>
      <c r="F2576" s="15" t="s">
        <v>828</v>
      </c>
      <c r="G2576" s="15" t="s">
        <v>293</v>
      </c>
      <c r="H2576" s="15"/>
    </row>
    <row r="2577" customFormat="false" ht="26.25" hidden="false" customHeight="true" outlineLevel="0" collapsed="false">
      <c r="A2577" s="15" t="s">
        <v>285</v>
      </c>
      <c r="B2577" s="15" t="s">
        <v>286</v>
      </c>
      <c r="C2577" s="15" t="s">
        <v>923</v>
      </c>
      <c r="D2577" s="15" t="s">
        <v>928</v>
      </c>
      <c r="E2577" s="15"/>
      <c r="F2577" s="15" t="s">
        <v>828</v>
      </c>
      <c r="G2577" s="15" t="s">
        <v>112</v>
      </c>
      <c r="H2577" s="15"/>
    </row>
    <row r="2578" customFormat="false" ht="26.25" hidden="false" customHeight="true" outlineLevel="0" collapsed="false">
      <c r="A2578" s="15" t="s">
        <v>285</v>
      </c>
      <c r="B2578" s="15" t="s">
        <v>286</v>
      </c>
      <c r="C2578" s="15" t="s">
        <v>925</v>
      </c>
      <c r="D2578" s="15" t="s">
        <v>929</v>
      </c>
      <c r="E2578" s="15"/>
      <c r="F2578" s="15" t="s">
        <v>832</v>
      </c>
      <c r="G2578" s="15" t="s">
        <v>112</v>
      </c>
      <c r="H2578" s="15"/>
    </row>
    <row r="2579" customFormat="false" ht="15" hidden="false" customHeight="true" outlineLevel="0" collapsed="false">
      <c r="A2579" s="15" t="s">
        <v>195</v>
      </c>
      <c r="B2579" s="15" t="s">
        <v>197</v>
      </c>
      <c r="C2579" s="15" t="s">
        <v>85</v>
      </c>
      <c r="D2579" s="15" t="n">
        <v>222</v>
      </c>
      <c r="E2579" s="15" t="s">
        <v>725</v>
      </c>
      <c r="F2579" s="15" t="s">
        <v>876</v>
      </c>
      <c r="G2579" s="15" t="s">
        <v>112</v>
      </c>
      <c r="H2579" s="15"/>
    </row>
    <row r="2580" customFormat="false" ht="26.25" hidden="false" customHeight="true" outlineLevel="0" collapsed="false">
      <c r="A2580" s="15" t="s">
        <v>195</v>
      </c>
      <c r="B2580" s="15" t="s">
        <v>197</v>
      </c>
      <c r="C2580" s="15" t="s">
        <v>920</v>
      </c>
      <c r="D2580" s="15" t="s">
        <v>927</v>
      </c>
      <c r="E2580" s="15"/>
      <c r="F2580" s="15" t="s">
        <v>879</v>
      </c>
      <c r="G2580" s="15" t="s">
        <v>293</v>
      </c>
      <c r="H2580" s="15"/>
    </row>
    <row r="2581" customFormat="false" ht="26.25" hidden="false" customHeight="true" outlineLevel="0" collapsed="false">
      <c r="A2581" s="15" t="s">
        <v>195</v>
      </c>
      <c r="B2581" s="15" t="s">
        <v>197</v>
      </c>
      <c r="C2581" s="15" t="s">
        <v>923</v>
      </c>
      <c r="D2581" s="15" t="s">
        <v>928</v>
      </c>
      <c r="E2581" s="15"/>
      <c r="F2581" s="15" t="s">
        <v>879</v>
      </c>
      <c r="G2581" s="15" t="s">
        <v>112</v>
      </c>
      <c r="H2581" s="15"/>
    </row>
    <row r="2582" customFormat="false" ht="26.25" hidden="false" customHeight="true" outlineLevel="0" collapsed="false">
      <c r="A2582" s="15" t="s">
        <v>195</v>
      </c>
      <c r="B2582" s="15" t="s">
        <v>197</v>
      </c>
      <c r="C2582" s="15" t="s">
        <v>925</v>
      </c>
      <c r="D2582" s="15" t="s">
        <v>929</v>
      </c>
      <c r="E2582" s="15"/>
      <c r="F2582" s="15" t="s">
        <v>883</v>
      </c>
      <c r="G2582" s="15" t="s">
        <v>112</v>
      </c>
      <c r="H2582" s="15"/>
    </row>
    <row r="2583" customFormat="false" ht="26.25" hidden="false" customHeight="true" outlineLevel="0" collapsed="false">
      <c r="A2583" s="15" t="s">
        <v>234</v>
      </c>
      <c r="B2583" s="15" t="s">
        <v>235</v>
      </c>
      <c r="C2583" s="15" t="s">
        <v>85</v>
      </c>
      <c r="D2583" s="15" t="n">
        <v>222</v>
      </c>
      <c r="E2583" s="15" t="s">
        <v>725</v>
      </c>
      <c r="F2583" s="15" t="s">
        <v>876</v>
      </c>
      <c r="G2583" s="15" t="s">
        <v>112</v>
      </c>
      <c r="H2583" s="15"/>
    </row>
    <row r="2584" customFormat="false" ht="26.25" hidden="false" customHeight="true" outlineLevel="0" collapsed="false">
      <c r="A2584" s="15" t="s">
        <v>234</v>
      </c>
      <c r="B2584" s="15" t="s">
        <v>235</v>
      </c>
      <c r="C2584" s="15" t="s">
        <v>920</v>
      </c>
      <c r="D2584" s="15" t="s">
        <v>927</v>
      </c>
      <c r="E2584" s="15"/>
      <c r="F2584" s="15" t="s">
        <v>879</v>
      </c>
      <c r="G2584" s="15" t="s">
        <v>293</v>
      </c>
      <c r="H2584" s="15"/>
    </row>
    <row r="2585" customFormat="false" ht="26.25" hidden="false" customHeight="true" outlineLevel="0" collapsed="false">
      <c r="A2585" s="15" t="s">
        <v>234</v>
      </c>
      <c r="B2585" s="15" t="s">
        <v>235</v>
      </c>
      <c r="C2585" s="15" t="s">
        <v>923</v>
      </c>
      <c r="D2585" s="15" t="s">
        <v>928</v>
      </c>
      <c r="E2585" s="15"/>
      <c r="F2585" s="15" t="s">
        <v>879</v>
      </c>
      <c r="G2585" s="15" t="s">
        <v>112</v>
      </c>
      <c r="H2585" s="15"/>
    </row>
    <row r="2586" customFormat="false" ht="26.25" hidden="false" customHeight="true" outlineLevel="0" collapsed="false">
      <c r="A2586" s="15" t="s">
        <v>234</v>
      </c>
      <c r="B2586" s="15" t="s">
        <v>235</v>
      </c>
      <c r="C2586" s="15" t="s">
        <v>925</v>
      </c>
      <c r="D2586" s="15" t="s">
        <v>929</v>
      </c>
      <c r="E2586" s="15"/>
      <c r="F2586" s="15" t="s">
        <v>883</v>
      </c>
      <c r="G2586" s="15" t="s">
        <v>112</v>
      </c>
      <c r="H2586" s="15"/>
    </row>
    <row r="2587" customFormat="false" ht="15" hidden="false" customHeight="true" outlineLevel="0" collapsed="false">
      <c r="A2587" s="15" t="s">
        <v>204</v>
      </c>
      <c r="B2587" s="15" t="s">
        <v>205</v>
      </c>
      <c r="C2587" s="15" t="s">
        <v>85</v>
      </c>
      <c r="D2587" s="15" t="n">
        <v>222</v>
      </c>
      <c r="E2587" s="15" t="s">
        <v>725</v>
      </c>
      <c r="F2587" s="15" t="s">
        <v>876</v>
      </c>
      <c r="G2587" s="15" t="s">
        <v>112</v>
      </c>
      <c r="H2587" s="15"/>
    </row>
    <row r="2588" customFormat="false" ht="26.25" hidden="false" customHeight="true" outlineLevel="0" collapsed="false">
      <c r="A2588" s="15" t="s">
        <v>204</v>
      </c>
      <c r="B2588" s="15" t="s">
        <v>205</v>
      </c>
      <c r="C2588" s="15" t="s">
        <v>920</v>
      </c>
      <c r="D2588" s="15" t="s">
        <v>927</v>
      </c>
      <c r="E2588" s="15"/>
      <c r="F2588" s="15" t="s">
        <v>879</v>
      </c>
      <c r="G2588" s="15" t="s">
        <v>293</v>
      </c>
      <c r="H2588" s="15"/>
    </row>
    <row r="2589" customFormat="false" ht="26.25" hidden="false" customHeight="true" outlineLevel="0" collapsed="false">
      <c r="A2589" s="15" t="s">
        <v>204</v>
      </c>
      <c r="B2589" s="15" t="s">
        <v>205</v>
      </c>
      <c r="C2589" s="15" t="s">
        <v>923</v>
      </c>
      <c r="D2589" s="15" t="s">
        <v>928</v>
      </c>
      <c r="E2589" s="15"/>
      <c r="F2589" s="15" t="s">
        <v>879</v>
      </c>
      <c r="G2589" s="15" t="s">
        <v>112</v>
      </c>
      <c r="H2589" s="15"/>
    </row>
    <row r="2590" customFormat="false" ht="26.25" hidden="false" customHeight="true" outlineLevel="0" collapsed="false">
      <c r="A2590" s="15" t="s">
        <v>204</v>
      </c>
      <c r="B2590" s="15" t="s">
        <v>205</v>
      </c>
      <c r="C2590" s="15" t="s">
        <v>925</v>
      </c>
      <c r="D2590" s="15" t="s">
        <v>929</v>
      </c>
      <c r="E2590" s="15"/>
      <c r="F2590" s="15" t="s">
        <v>883</v>
      </c>
      <c r="G2590" s="15" t="s">
        <v>112</v>
      </c>
      <c r="H2590" s="15"/>
    </row>
    <row r="2591" customFormat="false" ht="26.25" hidden="false" customHeight="true" outlineLevel="0" collapsed="false">
      <c r="A2591" s="15" t="s">
        <v>238</v>
      </c>
      <c r="B2591" s="15" t="s">
        <v>239</v>
      </c>
      <c r="C2591" s="15" t="s">
        <v>85</v>
      </c>
      <c r="D2591" s="15" t="n">
        <v>222</v>
      </c>
      <c r="E2591" s="15" t="s">
        <v>725</v>
      </c>
      <c r="F2591" s="15" t="s">
        <v>876</v>
      </c>
      <c r="G2591" s="15" t="s">
        <v>112</v>
      </c>
      <c r="H2591" s="15"/>
    </row>
    <row r="2592" customFormat="false" ht="26.25" hidden="false" customHeight="true" outlineLevel="0" collapsed="false">
      <c r="A2592" s="15" t="s">
        <v>238</v>
      </c>
      <c r="B2592" s="15" t="s">
        <v>239</v>
      </c>
      <c r="C2592" s="15" t="s">
        <v>920</v>
      </c>
      <c r="D2592" s="15" t="s">
        <v>927</v>
      </c>
      <c r="E2592" s="15"/>
      <c r="F2592" s="15" t="s">
        <v>879</v>
      </c>
      <c r="G2592" s="15" t="s">
        <v>293</v>
      </c>
      <c r="H2592" s="15"/>
    </row>
    <row r="2593" customFormat="false" ht="26.25" hidden="false" customHeight="true" outlineLevel="0" collapsed="false">
      <c r="A2593" s="15" t="s">
        <v>238</v>
      </c>
      <c r="B2593" s="15" t="s">
        <v>239</v>
      </c>
      <c r="C2593" s="15" t="s">
        <v>923</v>
      </c>
      <c r="D2593" s="15" t="s">
        <v>928</v>
      </c>
      <c r="E2593" s="15"/>
      <c r="F2593" s="15" t="s">
        <v>879</v>
      </c>
      <c r="G2593" s="15" t="s">
        <v>112</v>
      </c>
      <c r="H2593" s="15"/>
    </row>
    <row r="2594" customFormat="false" ht="26.25" hidden="false" customHeight="true" outlineLevel="0" collapsed="false">
      <c r="A2594" s="15" t="s">
        <v>238</v>
      </c>
      <c r="B2594" s="15" t="s">
        <v>239</v>
      </c>
      <c r="C2594" s="15" t="s">
        <v>925</v>
      </c>
      <c r="D2594" s="15" t="s">
        <v>929</v>
      </c>
      <c r="E2594" s="15"/>
      <c r="F2594" s="15" t="s">
        <v>883</v>
      </c>
      <c r="G2594" s="15" t="s">
        <v>112</v>
      </c>
      <c r="H2594" s="15"/>
    </row>
    <row r="2595" customFormat="false" ht="15" hidden="false" customHeight="true" outlineLevel="0" collapsed="false">
      <c r="A2595" s="15" t="s">
        <v>207</v>
      </c>
      <c r="B2595" s="15" t="s">
        <v>891</v>
      </c>
      <c r="C2595" s="15" t="s">
        <v>85</v>
      </c>
      <c r="D2595" s="15" t="n">
        <v>222</v>
      </c>
      <c r="E2595" s="15" t="s">
        <v>725</v>
      </c>
      <c r="F2595" s="15" t="s">
        <v>876</v>
      </c>
      <c r="G2595" s="15" t="s">
        <v>112</v>
      </c>
      <c r="H2595" s="15"/>
    </row>
    <row r="2596" customFormat="false" ht="26.25" hidden="false" customHeight="true" outlineLevel="0" collapsed="false">
      <c r="A2596" s="15" t="s">
        <v>207</v>
      </c>
      <c r="B2596" s="15" t="s">
        <v>891</v>
      </c>
      <c r="C2596" s="15" t="s">
        <v>920</v>
      </c>
      <c r="D2596" s="15" t="s">
        <v>927</v>
      </c>
      <c r="E2596" s="15"/>
      <c r="F2596" s="15" t="s">
        <v>879</v>
      </c>
      <c r="G2596" s="15" t="s">
        <v>293</v>
      </c>
      <c r="H2596" s="15"/>
    </row>
    <row r="2597" customFormat="false" ht="26.25" hidden="false" customHeight="true" outlineLevel="0" collapsed="false">
      <c r="A2597" s="15" t="s">
        <v>207</v>
      </c>
      <c r="B2597" s="15" t="s">
        <v>891</v>
      </c>
      <c r="C2597" s="15" t="s">
        <v>923</v>
      </c>
      <c r="D2597" s="15" t="s">
        <v>928</v>
      </c>
      <c r="E2597" s="15"/>
      <c r="F2597" s="15" t="s">
        <v>879</v>
      </c>
      <c r="G2597" s="15" t="s">
        <v>112</v>
      </c>
      <c r="H2597" s="15"/>
    </row>
    <row r="2598" customFormat="false" ht="26.25" hidden="false" customHeight="true" outlineLevel="0" collapsed="false">
      <c r="A2598" s="15" t="s">
        <v>207</v>
      </c>
      <c r="B2598" s="15" t="s">
        <v>891</v>
      </c>
      <c r="C2598" s="15" t="s">
        <v>925</v>
      </c>
      <c r="D2598" s="15" t="s">
        <v>929</v>
      </c>
      <c r="E2598" s="15"/>
      <c r="F2598" s="15" t="s">
        <v>883</v>
      </c>
      <c r="G2598" s="15" t="s">
        <v>112</v>
      </c>
      <c r="H2598" s="15"/>
    </row>
    <row r="2599" customFormat="false" ht="26.25" hidden="false" customHeight="true" outlineLevel="0" collapsed="false">
      <c r="A2599" s="15" t="s">
        <v>245</v>
      </c>
      <c r="B2599" s="15" t="s">
        <v>246</v>
      </c>
      <c r="C2599" s="15" t="s">
        <v>85</v>
      </c>
      <c r="D2599" s="15" t="n">
        <v>222</v>
      </c>
      <c r="E2599" s="15" t="s">
        <v>725</v>
      </c>
      <c r="F2599" s="15" t="s">
        <v>876</v>
      </c>
      <c r="G2599" s="15" t="s">
        <v>112</v>
      </c>
      <c r="H2599" s="15"/>
    </row>
    <row r="2600" customFormat="false" ht="26.25" hidden="false" customHeight="true" outlineLevel="0" collapsed="false">
      <c r="A2600" s="15" t="s">
        <v>245</v>
      </c>
      <c r="B2600" s="15" t="s">
        <v>246</v>
      </c>
      <c r="C2600" s="15" t="s">
        <v>920</v>
      </c>
      <c r="D2600" s="15" t="s">
        <v>927</v>
      </c>
      <c r="E2600" s="15"/>
      <c r="F2600" s="15" t="s">
        <v>879</v>
      </c>
      <c r="G2600" s="15" t="s">
        <v>293</v>
      </c>
      <c r="H2600" s="15"/>
    </row>
    <row r="2601" customFormat="false" ht="26.25" hidden="false" customHeight="true" outlineLevel="0" collapsed="false">
      <c r="A2601" s="15" t="s">
        <v>245</v>
      </c>
      <c r="B2601" s="15" t="s">
        <v>246</v>
      </c>
      <c r="C2601" s="15" t="s">
        <v>923</v>
      </c>
      <c r="D2601" s="15" t="s">
        <v>928</v>
      </c>
      <c r="E2601" s="15"/>
      <c r="F2601" s="15" t="s">
        <v>879</v>
      </c>
      <c r="G2601" s="15" t="s">
        <v>112</v>
      </c>
      <c r="H2601" s="15"/>
    </row>
    <row r="2602" customFormat="false" ht="26.25" hidden="false" customHeight="true" outlineLevel="0" collapsed="false">
      <c r="A2602" s="15" t="s">
        <v>245</v>
      </c>
      <c r="B2602" s="15" t="s">
        <v>246</v>
      </c>
      <c r="C2602" s="15" t="s">
        <v>925</v>
      </c>
      <c r="D2602" s="15" t="s">
        <v>929</v>
      </c>
      <c r="E2602" s="15"/>
      <c r="F2602" s="15" t="s">
        <v>883</v>
      </c>
      <c r="G2602" s="15" t="s">
        <v>112</v>
      </c>
      <c r="H2602" s="15"/>
    </row>
    <row r="2603" customFormat="false" ht="15" hidden="false" customHeight="true" outlineLevel="0" collapsed="false">
      <c r="A2603" s="15" t="s">
        <v>215</v>
      </c>
      <c r="B2603" s="15" t="s">
        <v>894</v>
      </c>
      <c r="C2603" s="15" t="s">
        <v>85</v>
      </c>
      <c r="D2603" s="15" t="n">
        <v>222</v>
      </c>
      <c r="E2603" s="15" t="s">
        <v>725</v>
      </c>
      <c r="F2603" s="15" t="s">
        <v>876</v>
      </c>
      <c r="G2603" s="15" t="s">
        <v>112</v>
      </c>
      <c r="H2603" s="15"/>
    </row>
    <row r="2604" customFormat="false" ht="26.25" hidden="false" customHeight="true" outlineLevel="0" collapsed="false">
      <c r="A2604" s="15" t="s">
        <v>215</v>
      </c>
      <c r="B2604" s="15" t="s">
        <v>894</v>
      </c>
      <c r="C2604" s="15" t="s">
        <v>920</v>
      </c>
      <c r="D2604" s="15" t="s">
        <v>927</v>
      </c>
      <c r="E2604" s="15"/>
      <c r="F2604" s="15" t="s">
        <v>879</v>
      </c>
      <c r="G2604" s="15" t="s">
        <v>293</v>
      </c>
      <c r="H2604" s="15"/>
    </row>
    <row r="2605" customFormat="false" ht="26.25" hidden="false" customHeight="true" outlineLevel="0" collapsed="false">
      <c r="A2605" s="15" t="s">
        <v>215</v>
      </c>
      <c r="B2605" s="15" t="s">
        <v>894</v>
      </c>
      <c r="C2605" s="15" t="s">
        <v>923</v>
      </c>
      <c r="D2605" s="15" t="s">
        <v>928</v>
      </c>
      <c r="E2605" s="15"/>
      <c r="F2605" s="15" t="s">
        <v>879</v>
      </c>
      <c r="G2605" s="15" t="s">
        <v>112</v>
      </c>
      <c r="H2605" s="15"/>
    </row>
    <row r="2606" customFormat="false" ht="26.25" hidden="false" customHeight="true" outlineLevel="0" collapsed="false">
      <c r="A2606" s="15" t="s">
        <v>215</v>
      </c>
      <c r="B2606" s="15" t="s">
        <v>894</v>
      </c>
      <c r="C2606" s="15" t="s">
        <v>925</v>
      </c>
      <c r="D2606" s="15" t="s">
        <v>929</v>
      </c>
      <c r="E2606" s="15"/>
      <c r="F2606" s="15" t="s">
        <v>883</v>
      </c>
      <c r="G2606" s="15" t="s">
        <v>112</v>
      </c>
      <c r="H2606" s="15"/>
    </row>
    <row r="2607" customFormat="false" ht="26.25" hidden="false" customHeight="true" outlineLevel="0" collapsed="false">
      <c r="A2607" s="15" t="s">
        <v>241</v>
      </c>
      <c r="B2607" s="15" t="s">
        <v>242</v>
      </c>
      <c r="C2607" s="15" t="s">
        <v>85</v>
      </c>
      <c r="D2607" s="15" t="n">
        <v>222</v>
      </c>
      <c r="E2607" s="15" t="s">
        <v>725</v>
      </c>
      <c r="F2607" s="15" t="s">
        <v>876</v>
      </c>
      <c r="G2607" s="15" t="s">
        <v>112</v>
      </c>
      <c r="H2607" s="15"/>
    </row>
    <row r="2608" customFormat="false" ht="26.25" hidden="false" customHeight="true" outlineLevel="0" collapsed="false">
      <c r="A2608" s="15" t="s">
        <v>241</v>
      </c>
      <c r="B2608" s="15" t="s">
        <v>242</v>
      </c>
      <c r="C2608" s="15" t="s">
        <v>920</v>
      </c>
      <c r="D2608" s="15" t="s">
        <v>927</v>
      </c>
      <c r="E2608" s="15"/>
      <c r="F2608" s="15" t="s">
        <v>879</v>
      </c>
      <c r="G2608" s="15" t="s">
        <v>293</v>
      </c>
      <c r="H2608" s="15"/>
    </row>
    <row r="2609" customFormat="false" ht="26.25" hidden="false" customHeight="true" outlineLevel="0" collapsed="false">
      <c r="A2609" s="15" t="s">
        <v>241</v>
      </c>
      <c r="B2609" s="15" t="s">
        <v>242</v>
      </c>
      <c r="C2609" s="15" t="s">
        <v>923</v>
      </c>
      <c r="D2609" s="15" t="s">
        <v>928</v>
      </c>
      <c r="E2609" s="15"/>
      <c r="F2609" s="15" t="s">
        <v>879</v>
      </c>
      <c r="G2609" s="15" t="s">
        <v>112</v>
      </c>
      <c r="H2609" s="15"/>
    </row>
    <row r="2610" customFormat="false" ht="26.25" hidden="false" customHeight="true" outlineLevel="0" collapsed="false">
      <c r="A2610" s="15" t="s">
        <v>241</v>
      </c>
      <c r="B2610" s="15" t="s">
        <v>242</v>
      </c>
      <c r="C2610" s="15" t="s">
        <v>925</v>
      </c>
      <c r="D2610" s="15" t="s">
        <v>929</v>
      </c>
      <c r="E2610" s="15"/>
      <c r="F2610" s="15" t="s">
        <v>883</v>
      </c>
      <c r="G2610" s="15" t="s">
        <v>112</v>
      </c>
      <c r="H2610" s="15"/>
    </row>
    <row r="2611" customFormat="false" ht="15" hidden="false" customHeight="true" outlineLevel="0" collapsed="false">
      <c r="A2611" s="15" t="s">
        <v>221</v>
      </c>
      <c r="B2611" s="15" t="s">
        <v>276</v>
      </c>
      <c r="C2611" s="15" t="s">
        <v>85</v>
      </c>
      <c r="D2611" s="15" t="n">
        <v>222</v>
      </c>
      <c r="E2611" s="15" t="s">
        <v>725</v>
      </c>
      <c r="F2611" s="15" t="s">
        <v>876</v>
      </c>
      <c r="G2611" s="15" t="s">
        <v>112</v>
      </c>
      <c r="H2611" s="15"/>
    </row>
    <row r="2612" customFormat="false" ht="26.25" hidden="false" customHeight="true" outlineLevel="0" collapsed="false">
      <c r="A2612" s="15" t="s">
        <v>221</v>
      </c>
      <c r="B2612" s="15" t="s">
        <v>276</v>
      </c>
      <c r="C2612" s="15" t="s">
        <v>920</v>
      </c>
      <c r="D2612" s="15" t="s">
        <v>927</v>
      </c>
      <c r="E2612" s="15"/>
      <c r="F2612" s="15" t="s">
        <v>879</v>
      </c>
      <c r="G2612" s="15" t="s">
        <v>293</v>
      </c>
      <c r="H2612" s="15"/>
    </row>
    <row r="2613" customFormat="false" ht="26.25" hidden="false" customHeight="true" outlineLevel="0" collapsed="false">
      <c r="A2613" s="15" t="s">
        <v>221</v>
      </c>
      <c r="B2613" s="15" t="s">
        <v>276</v>
      </c>
      <c r="C2613" s="15" t="s">
        <v>923</v>
      </c>
      <c r="D2613" s="15" t="s">
        <v>928</v>
      </c>
      <c r="E2613" s="15"/>
      <c r="F2613" s="15" t="s">
        <v>879</v>
      </c>
      <c r="G2613" s="15" t="s">
        <v>112</v>
      </c>
      <c r="H2613" s="15"/>
    </row>
    <row r="2614" customFormat="false" ht="26.25" hidden="false" customHeight="true" outlineLevel="0" collapsed="false">
      <c r="A2614" s="15" t="s">
        <v>221</v>
      </c>
      <c r="B2614" s="15" t="s">
        <v>276</v>
      </c>
      <c r="C2614" s="15" t="s">
        <v>925</v>
      </c>
      <c r="D2614" s="15" t="s">
        <v>929</v>
      </c>
      <c r="E2614" s="15"/>
      <c r="F2614" s="15" t="s">
        <v>883</v>
      </c>
      <c r="G2614" s="15" t="s">
        <v>112</v>
      </c>
      <c r="H2614" s="15"/>
    </row>
    <row r="2615" customFormat="false" ht="26.25" hidden="false" customHeight="true" outlineLevel="0" collapsed="false">
      <c r="A2615" s="15" t="s">
        <v>248</v>
      </c>
      <c r="B2615" s="15" t="s">
        <v>249</v>
      </c>
      <c r="C2615" s="15" t="s">
        <v>85</v>
      </c>
      <c r="D2615" s="15" t="n">
        <v>222</v>
      </c>
      <c r="E2615" s="15" t="s">
        <v>725</v>
      </c>
      <c r="F2615" s="15" t="s">
        <v>876</v>
      </c>
      <c r="G2615" s="15" t="s">
        <v>112</v>
      </c>
      <c r="H2615" s="15"/>
    </row>
    <row r="2616" customFormat="false" ht="26.25" hidden="false" customHeight="true" outlineLevel="0" collapsed="false">
      <c r="A2616" s="15" t="s">
        <v>248</v>
      </c>
      <c r="B2616" s="15" t="s">
        <v>249</v>
      </c>
      <c r="C2616" s="15" t="s">
        <v>920</v>
      </c>
      <c r="D2616" s="15" t="s">
        <v>927</v>
      </c>
      <c r="E2616" s="15"/>
      <c r="F2616" s="15" t="s">
        <v>879</v>
      </c>
      <c r="G2616" s="15" t="s">
        <v>293</v>
      </c>
      <c r="H2616" s="15"/>
    </row>
    <row r="2617" customFormat="false" ht="26.25" hidden="false" customHeight="true" outlineLevel="0" collapsed="false">
      <c r="A2617" s="15" t="s">
        <v>248</v>
      </c>
      <c r="B2617" s="15" t="s">
        <v>249</v>
      </c>
      <c r="C2617" s="15" t="s">
        <v>923</v>
      </c>
      <c r="D2617" s="15" t="s">
        <v>928</v>
      </c>
      <c r="E2617" s="15"/>
      <c r="F2617" s="15" t="s">
        <v>879</v>
      </c>
      <c r="G2617" s="15" t="s">
        <v>112</v>
      </c>
      <c r="H2617" s="15"/>
    </row>
    <row r="2618" customFormat="false" ht="26.25" hidden="false" customHeight="true" outlineLevel="0" collapsed="false">
      <c r="A2618" s="15" t="s">
        <v>248</v>
      </c>
      <c r="B2618" s="15" t="s">
        <v>249</v>
      </c>
      <c r="C2618" s="15" t="s">
        <v>925</v>
      </c>
      <c r="D2618" s="15" t="s">
        <v>929</v>
      </c>
      <c r="E2618" s="15"/>
      <c r="F2618" s="15" t="s">
        <v>883</v>
      </c>
      <c r="G2618" s="15" t="s">
        <v>112</v>
      </c>
      <c r="H2618" s="15"/>
    </row>
    <row r="2619" customFormat="false" ht="26.25" hidden="false" customHeight="true" outlineLevel="0" collapsed="false">
      <c r="A2619" s="15" t="s">
        <v>230</v>
      </c>
      <c r="B2619" s="15" t="s">
        <v>896</v>
      </c>
      <c r="C2619" s="15" t="s">
        <v>85</v>
      </c>
      <c r="D2619" s="15" t="n">
        <v>222</v>
      </c>
      <c r="E2619" s="15" t="s">
        <v>725</v>
      </c>
      <c r="F2619" s="15" t="s">
        <v>876</v>
      </c>
      <c r="G2619" s="15" t="s">
        <v>112</v>
      </c>
      <c r="H2619" s="15"/>
    </row>
    <row r="2620" customFormat="false" ht="26.25" hidden="false" customHeight="true" outlineLevel="0" collapsed="false">
      <c r="A2620" s="15" t="s">
        <v>230</v>
      </c>
      <c r="B2620" s="15" t="s">
        <v>896</v>
      </c>
      <c r="C2620" s="15" t="s">
        <v>920</v>
      </c>
      <c r="D2620" s="15" t="s">
        <v>927</v>
      </c>
      <c r="E2620" s="15"/>
      <c r="F2620" s="15" t="s">
        <v>879</v>
      </c>
      <c r="G2620" s="15" t="s">
        <v>293</v>
      </c>
      <c r="H2620" s="15"/>
    </row>
    <row r="2621" customFormat="false" ht="26.25" hidden="false" customHeight="true" outlineLevel="0" collapsed="false">
      <c r="A2621" s="15" t="s">
        <v>230</v>
      </c>
      <c r="B2621" s="15" t="s">
        <v>896</v>
      </c>
      <c r="C2621" s="15" t="s">
        <v>923</v>
      </c>
      <c r="D2621" s="15" t="s">
        <v>928</v>
      </c>
      <c r="E2621" s="15"/>
      <c r="F2621" s="15" t="s">
        <v>879</v>
      </c>
      <c r="G2621" s="15" t="s">
        <v>112</v>
      </c>
      <c r="H2621" s="15"/>
    </row>
    <row r="2622" customFormat="false" ht="26.25" hidden="false" customHeight="true" outlineLevel="0" collapsed="false">
      <c r="A2622" s="15" t="s">
        <v>230</v>
      </c>
      <c r="B2622" s="15" t="s">
        <v>896</v>
      </c>
      <c r="C2622" s="15" t="s">
        <v>925</v>
      </c>
      <c r="D2622" s="15" t="s">
        <v>929</v>
      </c>
      <c r="E2622" s="15"/>
      <c r="F2622" s="15" t="s">
        <v>883</v>
      </c>
      <c r="G2622" s="15" t="s">
        <v>112</v>
      </c>
      <c r="H2622" s="15"/>
    </row>
    <row r="2623" customFormat="false" ht="26.25" hidden="false" customHeight="true" outlineLevel="0" collapsed="false">
      <c r="A2623" s="15" t="s">
        <v>251</v>
      </c>
      <c r="B2623" s="15" t="s">
        <v>252</v>
      </c>
      <c r="C2623" s="15" t="s">
        <v>85</v>
      </c>
      <c r="D2623" s="15" t="n">
        <v>222</v>
      </c>
      <c r="E2623" s="15" t="s">
        <v>725</v>
      </c>
      <c r="F2623" s="15" t="s">
        <v>876</v>
      </c>
      <c r="G2623" s="15" t="s">
        <v>112</v>
      </c>
      <c r="H2623" s="15"/>
    </row>
    <row r="2624" customFormat="false" ht="26.25" hidden="false" customHeight="true" outlineLevel="0" collapsed="false">
      <c r="A2624" s="15" t="s">
        <v>251</v>
      </c>
      <c r="B2624" s="15" t="s">
        <v>252</v>
      </c>
      <c r="C2624" s="15" t="s">
        <v>920</v>
      </c>
      <c r="D2624" s="15" t="s">
        <v>927</v>
      </c>
      <c r="E2624" s="15"/>
      <c r="F2624" s="15" t="s">
        <v>879</v>
      </c>
      <c r="G2624" s="15" t="s">
        <v>293</v>
      </c>
      <c r="H2624" s="15"/>
    </row>
    <row r="2625" customFormat="false" ht="26.25" hidden="false" customHeight="true" outlineLevel="0" collapsed="false">
      <c r="A2625" s="15" t="s">
        <v>251</v>
      </c>
      <c r="B2625" s="15" t="s">
        <v>252</v>
      </c>
      <c r="C2625" s="15" t="s">
        <v>923</v>
      </c>
      <c r="D2625" s="15" t="s">
        <v>928</v>
      </c>
      <c r="E2625" s="15"/>
      <c r="F2625" s="15" t="s">
        <v>879</v>
      </c>
      <c r="G2625" s="15" t="s">
        <v>112</v>
      </c>
      <c r="H2625" s="15"/>
    </row>
    <row r="2626" customFormat="false" ht="26.25" hidden="false" customHeight="true" outlineLevel="0" collapsed="false">
      <c r="A2626" s="15" t="s">
        <v>251</v>
      </c>
      <c r="B2626" s="15" t="s">
        <v>252</v>
      </c>
      <c r="C2626" s="15" t="s">
        <v>925</v>
      </c>
      <c r="D2626" s="15" t="s">
        <v>929</v>
      </c>
      <c r="E2626" s="15"/>
      <c r="F2626" s="15" t="s">
        <v>883</v>
      </c>
      <c r="G2626" s="15" t="s">
        <v>112</v>
      </c>
      <c r="H2626" s="15"/>
    </row>
    <row r="2627" customFormat="false" ht="15" hidden="false" customHeight="true" outlineLevel="0" collapsed="false">
      <c r="A2627" s="15" t="s">
        <v>299</v>
      </c>
      <c r="B2627" s="15" t="s">
        <v>301</v>
      </c>
      <c r="C2627" s="15" t="s">
        <v>85</v>
      </c>
      <c r="D2627" s="15" t="s">
        <v>157</v>
      </c>
      <c r="E2627" s="15"/>
      <c r="F2627" s="15" t="s">
        <v>897</v>
      </c>
      <c r="G2627" s="15" t="s">
        <v>293</v>
      </c>
      <c r="H2627" s="15"/>
    </row>
    <row r="2628" customFormat="false" ht="15" hidden="false" customHeight="true" outlineLevel="0" collapsed="false">
      <c r="A2628" s="15" t="s">
        <v>299</v>
      </c>
      <c r="B2628" s="15" t="s">
        <v>301</v>
      </c>
      <c r="C2628" s="15" t="s">
        <v>920</v>
      </c>
      <c r="D2628" s="15" t="s">
        <v>930</v>
      </c>
      <c r="E2628" s="15"/>
      <c r="F2628" s="15" t="s">
        <v>901</v>
      </c>
      <c r="G2628" s="15" t="s">
        <v>293</v>
      </c>
      <c r="H2628" s="15" t="s">
        <v>931</v>
      </c>
    </row>
    <row r="2629" customFormat="false" ht="39" hidden="false" customHeight="true" outlineLevel="0" collapsed="false">
      <c r="A2629" s="15" t="s">
        <v>299</v>
      </c>
      <c r="B2629" s="15" t="s">
        <v>301</v>
      </c>
      <c r="C2629" s="15" t="s">
        <v>923</v>
      </c>
      <c r="D2629" s="15" t="s">
        <v>932</v>
      </c>
      <c r="E2629" s="15"/>
      <c r="F2629" s="15" t="s">
        <v>901</v>
      </c>
      <c r="G2629" s="15" t="s">
        <v>112</v>
      </c>
      <c r="H2629" s="15"/>
    </row>
    <row r="2630" customFormat="false" ht="26.25" hidden="false" customHeight="true" outlineLevel="0" collapsed="false">
      <c r="A2630" s="15" t="s">
        <v>299</v>
      </c>
      <c r="B2630" s="15" t="s">
        <v>301</v>
      </c>
      <c r="C2630" s="15" t="s">
        <v>925</v>
      </c>
      <c r="D2630" s="15" t="s">
        <v>933</v>
      </c>
      <c r="E2630" s="15"/>
      <c r="F2630" s="15"/>
      <c r="G2630" s="15" t="s">
        <v>293</v>
      </c>
      <c r="H2630" s="15"/>
    </row>
    <row r="2631" customFormat="false" ht="15" hidden="false" customHeight="true" outlineLevel="0" collapsed="false">
      <c r="A2631" s="15" t="s">
        <v>307</v>
      </c>
      <c r="B2631" s="15" t="s">
        <v>308</v>
      </c>
      <c r="C2631" s="15" t="s">
        <v>85</v>
      </c>
      <c r="D2631" s="15" t="s">
        <v>157</v>
      </c>
      <c r="E2631" s="15"/>
      <c r="F2631" s="15" t="s">
        <v>897</v>
      </c>
      <c r="G2631" s="15" t="s">
        <v>293</v>
      </c>
      <c r="H2631" s="15"/>
    </row>
    <row r="2632" customFormat="false" ht="15" hidden="false" customHeight="true" outlineLevel="0" collapsed="false">
      <c r="A2632" s="15" t="s">
        <v>307</v>
      </c>
      <c r="B2632" s="15" t="s">
        <v>308</v>
      </c>
      <c r="C2632" s="15" t="s">
        <v>920</v>
      </c>
      <c r="D2632" s="15" t="s">
        <v>930</v>
      </c>
      <c r="E2632" s="15"/>
      <c r="F2632" s="15" t="s">
        <v>901</v>
      </c>
      <c r="G2632" s="15" t="s">
        <v>293</v>
      </c>
      <c r="H2632" s="15" t="s">
        <v>931</v>
      </c>
    </row>
    <row r="2633" customFormat="false" ht="39" hidden="false" customHeight="true" outlineLevel="0" collapsed="false">
      <c r="A2633" s="15" t="s">
        <v>307</v>
      </c>
      <c r="B2633" s="15" t="s">
        <v>308</v>
      </c>
      <c r="C2633" s="15" t="s">
        <v>923</v>
      </c>
      <c r="D2633" s="15" t="s">
        <v>932</v>
      </c>
      <c r="E2633" s="15"/>
      <c r="F2633" s="15" t="s">
        <v>901</v>
      </c>
      <c r="G2633" s="15" t="s">
        <v>112</v>
      </c>
      <c r="H2633" s="15"/>
    </row>
    <row r="2634" customFormat="false" ht="26.25" hidden="false" customHeight="true" outlineLevel="0" collapsed="false">
      <c r="A2634" s="15" t="s">
        <v>307</v>
      </c>
      <c r="B2634" s="15" t="s">
        <v>308</v>
      </c>
      <c r="C2634" s="15" t="s">
        <v>925</v>
      </c>
      <c r="D2634" s="15" t="s">
        <v>933</v>
      </c>
      <c r="E2634" s="15"/>
      <c r="F2634" s="15"/>
      <c r="G2634" s="15" t="s">
        <v>293</v>
      </c>
      <c r="H2634" s="15"/>
    </row>
    <row r="2635" customFormat="false" ht="15" hidden="false" customHeight="true" outlineLevel="0" collapsed="false">
      <c r="A2635" s="15" t="s">
        <v>211</v>
      </c>
      <c r="B2635" s="15" t="s">
        <v>891</v>
      </c>
      <c r="C2635" s="15" t="s">
        <v>85</v>
      </c>
      <c r="D2635" s="15" t="n">
        <v>222</v>
      </c>
      <c r="E2635" s="15" t="s">
        <v>725</v>
      </c>
      <c r="F2635" s="15" t="s">
        <v>876</v>
      </c>
      <c r="G2635" s="15" t="s">
        <v>112</v>
      </c>
      <c r="H2635" s="15"/>
    </row>
    <row r="2636" customFormat="false" ht="26.25" hidden="false" customHeight="true" outlineLevel="0" collapsed="false">
      <c r="A2636" s="15" t="s">
        <v>211</v>
      </c>
      <c r="B2636" s="15" t="s">
        <v>891</v>
      </c>
      <c r="C2636" s="15" t="s">
        <v>920</v>
      </c>
      <c r="D2636" s="15" t="s">
        <v>927</v>
      </c>
      <c r="E2636" s="15"/>
      <c r="F2636" s="15" t="s">
        <v>879</v>
      </c>
      <c r="G2636" s="15" t="s">
        <v>293</v>
      </c>
      <c r="H2636" s="15"/>
    </row>
    <row r="2637" customFormat="false" ht="26.25" hidden="false" customHeight="true" outlineLevel="0" collapsed="false">
      <c r="A2637" s="15" t="s">
        <v>211</v>
      </c>
      <c r="B2637" s="15" t="s">
        <v>891</v>
      </c>
      <c r="C2637" s="15" t="s">
        <v>923</v>
      </c>
      <c r="D2637" s="15" t="s">
        <v>928</v>
      </c>
      <c r="E2637" s="15"/>
      <c r="F2637" s="15" t="s">
        <v>879</v>
      </c>
      <c r="G2637" s="15" t="s">
        <v>112</v>
      </c>
      <c r="H2637" s="15"/>
    </row>
    <row r="2638" customFormat="false" ht="26.25" hidden="false" customHeight="true" outlineLevel="0" collapsed="false">
      <c r="A2638" s="15" t="s">
        <v>211</v>
      </c>
      <c r="B2638" s="15" t="s">
        <v>891</v>
      </c>
      <c r="C2638" s="15" t="s">
        <v>925</v>
      </c>
      <c r="D2638" s="15" t="s">
        <v>929</v>
      </c>
      <c r="E2638" s="15"/>
      <c r="F2638" s="15" t="s">
        <v>883</v>
      </c>
      <c r="G2638" s="15" t="s">
        <v>112</v>
      </c>
      <c r="H2638" s="15"/>
    </row>
    <row r="2639" customFormat="false" ht="15" hidden="false" customHeight="true" outlineLevel="0" collapsed="false">
      <c r="A2639" s="15" t="s">
        <v>218</v>
      </c>
      <c r="B2639" s="15" t="s">
        <v>894</v>
      </c>
      <c r="C2639" s="15" t="s">
        <v>85</v>
      </c>
      <c r="D2639" s="15" t="n">
        <v>222</v>
      </c>
      <c r="E2639" s="15" t="s">
        <v>725</v>
      </c>
      <c r="F2639" s="15" t="s">
        <v>876</v>
      </c>
      <c r="G2639" s="15" t="s">
        <v>112</v>
      </c>
      <c r="H2639" s="15"/>
    </row>
    <row r="2640" customFormat="false" ht="26.25" hidden="false" customHeight="true" outlineLevel="0" collapsed="false">
      <c r="A2640" s="15" t="s">
        <v>218</v>
      </c>
      <c r="B2640" s="15" t="s">
        <v>894</v>
      </c>
      <c r="C2640" s="15" t="s">
        <v>920</v>
      </c>
      <c r="D2640" s="15" t="s">
        <v>927</v>
      </c>
      <c r="E2640" s="15"/>
      <c r="F2640" s="15" t="s">
        <v>879</v>
      </c>
      <c r="G2640" s="15" t="s">
        <v>293</v>
      </c>
      <c r="H2640" s="15"/>
    </row>
    <row r="2641" customFormat="false" ht="26.25" hidden="false" customHeight="true" outlineLevel="0" collapsed="false">
      <c r="A2641" s="15" t="s">
        <v>218</v>
      </c>
      <c r="B2641" s="15" t="s">
        <v>894</v>
      </c>
      <c r="C2641" s="15" t="s">
        <v>923</v>
      </c>
      <c r="D2641" s="15" t="s">
        <v>928</v>
      </c>
      <c r="E2641" s="15"/>
      <c r="F2641" s="15" t="s">
        <v>879</v>
      </c>
      <c r="G2641" s="15" t="s">
        <v>112</v>
      </c>
      <c r="H2641" s="15"/>
    </row>
    <row r="2642" customFormat="false" ht="26.25" hidden="false" customHeight="true" outlineLevel="0" collapsed="false">
      <c r="A2642" s="15" t="s">
        <v>218</v>
      </c>
      <c r="B2642" s="15" t="s">
        <v>894</v>
      </c>
      <c r="C2642" s="15" t="s">
        <v>925</v>
      </c>
      <c r="D2642" s="15" t="s">
        <v>929</v>
      </c>
      <c r="E2642" s="15"/>
      <c r="F2642" s="15" t="s">
        <v>883</v>
      </c>
      <c r="G2642" s="15" t="s">
        <v>112</v>
      </c>
      <c r="H2642" s="15"/>
    </row>
    <row r="2643" customFormat="false" ht="15" hidden="false" customHeight="true" outlineLevel="0" collapsed="false">
      <c r="A2643" s="15" t="s">
        <v>224</v>
      </c>
      <c r="B2643" s="15" t="s">
        <v>276</v>
      </c>
      <c r="C2643" s="15" t="s">
        <v>85</v>
      </c>
      <c r="D2643" s="15" t="n">
        <v>222</v>
      </c>
      <c r="E2643" s="15" t="s">
        <v>725</v>
      </c>
      <c r="F2643" s="15" t="s">
        <v>876</v>
      </c>
      <c r="G2643" s="15" t="s">
        <v>112</v>
      </c>
      <c r="H2643" s="15"/>
    </row>
    <row r="2644" customFormat="false" ht="26.25" hidden="false" customHeight="true" outlineLevel="0" collapsed="false">
      <c r="A2644" s="15" t="s">
        <v>224</v>
      </c>
      <c r="B2644" s="15" t="s">
        <v>276</v>
      </c>
      <c r="C2644" s="15" t="s">
        <v>920</v>
      </c>
      <c r="D2644" s="15" t="s">
        <v>927</v>
      </c>
      <c r="E2644" s="15"/>
      <c r="F2644" s="15" t="s">
        <v>879</v>
      </c>
      <c r="G2644" s="15" t="s">
        <v>293</v>
      </c>
      <c r="H2644" s="15"/>
    </row>
    <row r="2645" customFormat="false" ht="26.25" hidden="false" customHeight="true" outlineLevel="0" collapsed="false">
      <c r="A2645" s="15" t="s">
        <v>224</v>
      </c>
      <c r="B2645" s="15" t="s">
        <v>276</v>
      </c>
      <c r="C2645" s="15" t="s">
        <v>923</v>
      </c>
      <c r="D2645" s="15" t="s">
        <v>928</v>
      </c>
      <c r="E2645" s="15"/>
      <c r="F2645" s="15" t="s">
        <v>879</v>
      </c>
      <c r="G2645" s="15" t="s">
        <v>112</v>
      </c>
      <c r="H2645" s="15"/>
    </row>
    <row r="2646" customFormat="false" ht="26.25" hidden="false" customHeight="true" outlineLevel="0" collapsed="false">
      <c r="A2646" s="15" t="s">
        <v>224</v>
      </c>
      <c r="B2646" s="15" t="s">
        <v>276</v>
      </c>
      <c r="C2646" s="15" t="s">
        <v>925</v>
      </c>
      <c r="D2646" s="15" t="s">
        <v>929</v>
      </c>
      <c r="E2646" s="15"/>
      <c r="F2646" s="15" t="s">
        <v>883</v>
      </c>
      <c r="G2646" s="15" t="s">
        <v>112</v>
      </c>
      <c r="H2646" s="15"/>
    </row>
    <row r="2647" customFormat="false" ht="26.25" hidden="false" customHeight="true" outlineLevel="0" collapsed="false">
      <c r="A2647" s="15" t="s">
        <v>227</v>
      </c>
      <c r="B2647" s="15" t="s">
        <v>896</v>
      </c>
      <c r="C2647" s="15" t="s">
        <v>85</v>
      </c>
      <c r="D2647" s="15" t="n">
        <v>222</v>
      </c>
      <c r="E2647" s="15" t="s">
        <v>725</v>
      </c>
      <c r="F2647" s="15" t="s">
        <v>876</v>
      </c>
      <c r="G2647" s="15" t="s">
        <v>112</v>
      </c>
      <c r="H2647" s="15"/>
    </row>
    <row r="2648" customFormat="false" ht="26.25" hidden="false" customHeight="true" outlineLevel="0" collapsed="false">
      <c r="A2648" s="15" t="s">
        <v>227</v>
      </c>
      <c r="B2648" s="15" t="s">
        <v>896</v>
      </c>
      <c r="C2648" s="15" t="s">
        <v>920</v>
      </c>
      <c r="D2648" s="15" t="s">
        <v>927</v>
      </c>
      <c r="E2648" s="15"/>
      <c r="F2648" s="15" t="s">
        <v>879</v>
      </c>
      <c r="G2648" s="15" t="s">
        <v>293</v>
      </c>
      <c r="H2648" s="15"/>
    </row>
    <row r="2649" customFormat="false" ht="26.25" hidden="false" customHeight="true" outlineLevel="0" collapsed="false">
      <c r="A2649" s="15" t="s">
        <v>227</v>
      </c>
      <c r="B2649" s="15" t="s">
        <v>896</v>
      </c>
      <c r="C2649" s="15" t="s">
        <v>923</v>
      </c>
      <c r="D2649" s="15" t="s">
        <v>928</v>
      </c>
      <c r="E2649" s="15"/>
      <c r="F2649" s="15" t="s">
        <v>879</v>
      </c>
      <c r="G2649" s="15" t="s">
        <v>112</v>
      </c>
      <c r="H2649" s="15"/>
    </row>
    <row r="2650" customFormat="false" ht="26.25" hidden="false" customHeight="true" outlineLevel="0" collapsed="false">
      <c r="A2650" s="15" t="s">
        <v>227</v>
      </c>
      <c r="B2650" s="15" t="s">
        <v>896</v>
      </c>
      <c r="C2650" s="15" t="s">
        <v>925</v>
      </c>
      <c r="D2650" s="15" t="s">
        <v>929</v>
      </c>
      <c r="E2650" s="15"/>
      <c r="F2650" s="15" t="s">
        <v>883</v>
      </c>
      <c r="G2650" s="15" t="s">
        <v>112</v>
      </c>
      <c r="H2650" s="15"/>
    </row>
    <row r="2651" customFormat="false" ht="15" hidden="false" customHeight="true" outlineLevel="0" collapsed="false">
      <c r="A2651" s="15" t="s">
        <v>352</v>
      </c>
      <c r="B2651" s="15" t="s">
        <v>354</v>
      </c>
      <c r="C2651" s="15" t="s">
        <v>769</v>
      </c>
      <c r="D2651" s="15" t="n">
        <v>5</v>
      </c>
      <c r="E2651" s="15" t="s">
        <v>721</v>
      </c>
      <c r="F2651" s="15" t="s">
        <v>934</v>
      </c>
      <c r="G2651" s="15" t="s">
        <v>112</v>
      </c>
      <c r="H2651" s="15"/>
    </row>
    <row r="2652" customFormat="false" ht="15" hidden="false" customHeight="true" outlineLevel="0" collapsed="false">
      <c r="A2652" s="15" t="s">
        <v>352</v>
      </c>
      <c r="B2652" s="15" t="s">
        <v>354</v>
      </c>
      <c r="C2652" s="15" t="s">
        <v>714</v>
      </c>
      <c r="D2652" s="15" t="n">
        <v>215</v>
      </c>
      <c r="E2652" s="15" t="s">
        <v>715</v>
      </c>
      <c r="F2652" s="15" t="s">
        <v>934</v>
      </c>
      <c r="G2652" s="15" t="s">
        <v>112</v>
      </c>
      <c r="H2652" s="15"/>
    </row>
    <row r="2653" customFormat="false" ht="15" hidden="false" customHeight="true" outlineLevel="0" collapsed="false">
      <c r="A2653" s="15" t="s">
        <v>352</v>
      </c>
      <c r="B2653" s="15" t="s">
        <v>354</v>
      </c>
      <c r="C2653" s="15" t="s">
        <v>718</v>
      </c>
      <c r="D2653" s="15" t="s">
        <v>302</v>
      </c>
      <c r="E2653" s="15"/>
      <c r="F2653" s="15" t="s">
        <v>934</v>
      </c>
      <c r="G2653" s="15" t="s">
        <v>112</v>
      </c>
      <c r="H2653" s="15"/>
    </row>
    <row r="2654" customFormat="false" ht="15" hidden="false" customHeight="true" outlineLevel="0" collapsed="false">
      <c r="A2654" s="15" t="s">
        <v>352</v>
      </c>
      <c r="B2654" s="15" t="s">
        <v>354</v>
      </c>
      <c r="C2654" s="15" t="s">
        <v>935</v>
      </c>
      <c r="D2654" s="15" t="s">
        <v>936</v>
      </c>
      <c r="E2654" s="15"/>
      <c r="F2654" s="15" t="s">
        <v>934</v>
      </c>
      <c r="G2654" s="15" t="s">
        <v>112</v>
      </c>
      <c r="H2654" s="15"/>
    </row>
    <row r="2655" customFormat="false" ht="15" hidden="false" customHeight="true" outlineLevel="0" collapsed="false">
      <c r="A2655" s="15" t="s">
        <v>352</v>
      </c>
      <c r="B2655" s="15" t="s">
        <v>354</v>
      </c>
      <c r="C2655" s="15" t="s">
        <v>722</v>
      </c>
      <c r="D2655" s="15" t="n">
        <v>350</v>
      </c>
      <c r="E2655" s="15" t="s">
        <v>723</v>
      </c>
      <c r="F2655" s="15" t="s">
        <v>934</v>
      </c>
      <c r="G2655" s="15" t="s">
        <v>112</v>
      </c>
      <c r="H2655" s="15"/>
    </row>
    <row r="2656" customFormat="false" ht="15" hidden="false" customHeight="true" outlineLevel="0" collapsed="false">
      <c r="A2656" s="15" t="s">
        <v>352</v>
      </c>
      <c r="B2656" s="15" t="s">
        <v>354</v>
      </c>
      <c r="C2656" s="15" t="s">
        <v>726</v>
      </c>
      <c r="D2656" s="15" t="n">
        <v>3995</v>
      </c>
      <c r="E2656" s="15" t="s">
        <v>725</v>
      </c>
      <c r="F2656" s="15" t="s">
        <v>934</v>
      </c>
      <c r="G2656" s="15" t="s">
        <v>112</v>
      </c>
      <c r="H2656" s="15"/>
    </row>
    <row r="2657" customFormat="false" ht="15" hidden="false" customHeight="true" outlineLevel="0" collapsed="false">
      <c r="A2657" s="15" t="s">
        <v>352</v>
      </c>
      <c r="B2657" s="15" t="s">
        <v>354</v>
      </c>
      <c r="C2657" s="15" t="s">
        <v>727</v>
      </c>
      <c r="D2657" s="15" t="n">
        <v>1802</v>
      </c>
      <c r="E2657" s="15" t="s">
        <v>725</v>
      </c>
      <c r="F2657" s="15" t="s">
        <v>934</v>
      </c>
      <c r="G2657" s="15" t="s">
        <v>112</v>
      </c>
      <c r="H2657" s="15"/>
    </row>
    <row r="2658" customFormat="false" ht="15" hidden="false" customHeight="true" outlineLevel="0" collapsed="false">
      <c r="A2658" s="15" t="s">
        <v>352</v>
      </c>
      <c r="B2658" s="15" t="s">
        <v>354</v>
      </c>
      <c r="C2658" s="15" t="s">
        <v>728</v>
      </c>
      <c r="D2658" s="15" t="n">
        <v>1625</v>
      </c>
      <c r="E2658" s="15" t="s">
        <v>725</v>
      </c>
      <c r="F2658" s="15" t="s">
        <v>934</v>
      </c>
      <c r="G2658" s="15" t="s">
        <v>112</v>
      </c>
      <c r="H2658" s="15"/>
    </row>
    <row r="2659" customFormat="false" ht="15" hidden="false" customHeight="true" outlineLevel="0" collapsed="false">
      <c r="A2659" s="15" t="s">
        <v>352</v>
      </c>
      <c r="B2659" s="15" t="s">
        <v>354</v>
      </c>
      <c r="C2659" s="15" t="s">
        <v>729</v>
      </c>
      <c r="D2659" s="15" t="n">
        <v>2498</v>
      </c>
      <c r="E2659" s="15" t="s">
        <v>725</v>
      </c>
      <c r="F2659" s="15" t="s">
        <v>934</v>
      </c>
      <c r="G2659" s="15" t="s">
        <v>112</v>
      </c>
      <c r="H2659" s="15"/>
    </row>
    <row r="2660" customFormat="false" ht="15" hidden="false" customHeight="true" outlineLevel="0" collapsed="false">
      <c r="A2660" s="15" t="s">
        <v>352</v>
      </c>
      <c r="B2660" s="15" t="s">
        <v>354</v>
      </c>
      <c r="C2660" s="15" t="s">
        <v>776</v>
      </c>
      <c r="D2660" s="15" t="s">
        <v>937</v>
      </c>
      <c r="E2660" s="15"/>
      <c r="F2660" s="15" t="s">
        <v>934</v>
      </c>
      <c r="G2660" s="15" t="s">
        <v>112</v>
      </c>
      <c r="H2660" s="15"/>
    </row>
    <row r="2661" customFormat="false" ht="15" hidden="false" customHeight="true" outlineLevel="0" collapsed="false">
      <c r="A2661" s="15" t="s">
        <v>352</v>
      </c>
      <c r="B2661" s="15" t="s">
        <v>354</v>
      </c>
      <c r="C2661" s="15" t="s">
        <v>789</v>
      </c>
      <c r="D2661" s="15" t="s">
        <v>790</v>
      </c>
      <c r="E2661" s="15"/>
      <c r="F2661" s="15" t="s">
        <v>934</v>
      </c>
      <c r="G2661" s="15" t="s">
        <v>112</v>
      </c>
      <c r="H2661" s="15"/>
    </row>
    <row r="2662" customFormat="false" ht="15" hidden="false" customHeight="true" outlineLevel="0" collapsed="false">
      <c r="A2662" s="15" t="s">
        <v>352</v>
      </c>
      <c r="B2662" s="15" t="s">
        <v>354</v>
      </c>
      <c r="C2662" s="15" t="s">
        <v>835</v>
      </c>
      <c r="D2662" s="15" t="s">
        <v>836</v>
      </c>
      <c r="E2662" s="15"/>
      <c r="F2662" s="15" t="s">
        <v>934</v>
      </c>
      <c r="G2662" s="15" t="s">
        <v>112</v>
      </c>
      <c r="H2662" s="15"/>
    </row>
    <row r="2663" customFormat="false" ht="15" hidden="false" customHeight="true" outlineLevel="0" collapsed="false">
      <c r="A2663" s="15" t="s">
        <v>352</v>
      </c>
      <c r="B2663" s="15" t="s">
        <v>354</v>
      </c>
      <c r="C2663" s="15" t="s">
        <v>833</v>
      </c>
      <c r="D2663" s="15" t="s">
        <v>938</v>
      </c>
      <c r="E2663" s="15"/>
      <c r="F2663" s="15" t="s">
        <v>934</v>
      </c>
      <c r="G2663" s="15" t="s">
        <v>112</v>
      </c>
      <c r="H2663" s="15"/>
    </row>
    <row r="2664" customFormat="false" ht="15" hidden="false" customHeight="true" outlineLevel="0" collapsed="false">
      <c r="A2664" s="15" t="s">
        <v>352</v>
      </c>
      <c r="B2664" s="15" t="s">
        <v>354</v>
      </c>
      <c r="C2664" s="15" t="s">
        <v>86</v>
      </c>
      <c r="D2664" s="15" t="n">
        <v>6</v>
      </c>
      <c r="E2664" s="15" t="s">
        <v>721</v>
      </c>
      <c r="F2664" s="15" t="s">
        <v>934</v>
      </c>
      <c r="G2664" s="15" t="s">
        <v>112</v>
      </c>
      <c r="H2664" s="15"/>
    </row>
    <row r="2665" customFormat="false" ht="15" hidden="false" customHeight="true" outlineLevel="0" collapsed="false">
      <c r="A2665" s="15" t="s">
        <v>352</v>
      </c>
      <c r="B2665" s="15" t="s">
        <v>354</v>
      </c>
      <c r="C2665" s="15" t="s">
        <v>737</v>
      </c>
      <c r="D2665" s="15" t="n">
        <v>95</v>
      </c>
      <c r="E2665" s="15" t="s">
        <v>738</v>
      </c>
      <c r="F2665" s="15" t="s">
        <v>934</v>
      </c>
      <c r="G2665" s="15" t="s">
        <v>112</v>
      </c>
      <c r="H2665" s="15"/>
    </row>
    <row r="2666" customFormat="false" ht="15" hidden="false" customHeight="true" outlineLevel="0" collapsed="false">
      <c r="A2666" s="15" t="s">
        <v>352</v>
      </c>
      <c r="B2666" s="15" t="s">
        <v>354</v>
      </c>
      <c r="C2666" s="15" t="s">
        <v>739</v>
      </c>
      <c r="D2666" s="15" t="n">
        <v>50</v>
      </c>
      <c r="E2666" s="15" t="s">
        <v>738</v>
      </c>
      <c r="F2666" s="15" t="s">
        <v>934</v>
      </c>
      <c r="G2666" s="15" t="s">
        <v>112</v>
      </c>
      <c r="H2666" s="15"/>
    </row>
    <row r="2667" customFormat="false" ht="15" hidden="false" customHeight="true" outlineLevel="0" collapsed="false">
      <c r="A2667" s="15" t="s">
        <v>352</v>
      </c>
      <c r="B2667" s="15" t="s">
        <v>354</v>
      </c>
      <c r="C2667" s="15" t="s">
        <v>939</v>
      </c>
      <c r="D2667" s="15" t="n">
        <v>56</v>
      </c>
      <c r="E2667" s="15"/>
      <c r="F2667" s="15" t="s">
        <v>934</v>
      </c>
      <c r="G2667" s="15" t="s">
        <v>112</v>
      </c>
      <c r="H2667" s="15"/>
    </row>
    <row r="2668" customFormat="false" ht="26.25" hidden="false" customHeight="true" outlineLevel="0" collapsed="false">
      <c r="A2668" s="15" t="s">
        <v>352</v>
      </c>
      <c r="B2668" s="15" t="s">
        <v>354</v>
      </c>
      <c r="C2668" s="15" t="s">
        <v>940</v>
      </c>
      <c r="D2668" s="15" t="n">
        <v>4.3</v>
      </c>
      <c r="E2668" s="15"/>
      <c r="F2668" s="15" t="s">
        <v>934</v>
      </c>
      <c r="G2668" s="15" t="s">
        <v>112</v>
      </c>
      <c r="H2668" s="15"/>
    </row>
    <row r="2669" customFormat="false" ht="15" hidden="false" customHeight="true" outlineLevel="0" collapsed="false">
      <c r="A2669" s="15" t="s">
        <v>352</v>
      </c>
      <c r="B2669" s="15" t="s">
        <v>354</v>
      </c>
      <c r="C2669" s="15" t="s">
        <v>733</v>
      </c>
      <c r="D2669" s="15" t="s">
        <v>941</v>
      </c>
      <c r="E2669" s="15"/>
      <c r="F2669" s="15" t="s">
        <v>934</v>
      </c>
      <c r="G2669" s="15" t="s">
        <v>112</v>
      </c>
      <c r="H2669" s="15"/>
    </row>
    <row r="2670" customFormat="false" ht="15" hidden="false" customHeight="true" outlineLevel="0" collapsed="false">
      <c r="A2670" s="15" t="s">
        <v>352</v>
      </c>
      <c r="B2670" s="15" t="s">
        <v>354</v>
      </c>
      <c r="C2670" s="15" t="s">
        <v>84</v>
      </c>
      <c r="D2670" s="15" t="n">
        <v>205</v>
      </c>
      <c r="E2670" s="15" t="s">
        <v>725</v>
      </c>
      <c r="F2670" s="15" t="s">
        <v>934</v>
      </c>
      <c r="G2670" s="15" t="s">
        <v>112</v>
      </c>
      <c r="H2670" s="15"/>
    </row>
    <row r="2671" customFormat="false" ht="15" hidden="false" customHeight="true" outlineLevel="0" collapsed="false">
      <c r="A2671" s="15" t="s">
        <v>352</v>
      </c>
      <c r="B2671" s="15" t="s">
        <v>354</v>
      </c>
      <c r="C2671" s="15" t="s">
        <v>98</v>
      </c>
      <c r="D2671" s="15" t="s">
        <v>836</v>
      </c>
      <c r="E2671" s="15"/>
      <c r="F2671" s="15" t="s">
        <v>934</v>
      </c>
      <c r="G2671" s="15" t="s">
        <v>112</v>
      </c>
      <c r="H2671" s="15"/>
    </row>
    <row r="2672" customFormat="false" ht="15" hidden="false" customHeight="true" outlineLevel="0" collapsed="false">
      <c r="A2672" s="15" t="s">
        <v>352</v>
      </c>
      <c r="B2672" s="15" t="s">
        <v>354</v>
      </c>
      <c r="C2672" s="15" t="s">
        <v>942</v>
      </c>
      <c r="D2672" s="15" t="s">
        <v>943</v>
      </c>
      <c r="E2672" s="15"/>
      <c r="F2672" s="15" t="s">
        <v>934</v>
      </c>
      <c r="G2672" s="15" t="s">
        <v>112</v>
      </c>
      <c r="H2672" s="15"/>
    </row>
    <row r="2673" customFormat="false" ht="15" hidden="false" customHeight="true" outlineLevel="0" collapsed="false">
      <c r="A2673" s="15" t="s">
        <v>352</v>
      </c>
      <c r="B2673" s="15" t="s">
        <v>354</v>
      </c>
      <c r="C2673" s="15" t="s">
        <v>749</v>
      </c>
      <c r="D2673" s="15" t="s">
        <v>120</v>
      </c>
      <c r="E2673" s="15"/>
      <c r="F2673" s="15" t="s">
        <v>934</v>
      </c>
      <c r="G2673" s="15" t="s">
        <v>112</v>
      </c>
      <c r="H2673" s="15"/>
    </row>
    <row r="2674" customFormat="false" ht="15" hidden="false" customHeight="true" outlineLevel="0" collapsed="false">
      <c r="A2674" s="15" t="s">
        <v>352</v>
      </c>
      <c r="B2674" s="15" t="s">
        <v>354</v>
      </c>
      <c r="C2674" s="15" t="s">
        <v>752</v>
      </c>
      <c r="D2674" s="15" t="s">
        <v>753</v>
      </c>
      <c r="E2674" s="15"/>
      <c r="F2674" s="15" t="s">
        <v>934</v>
      </c>
      <c r="G2674" s="15" t="s">
        <v>112</v>
      </c>
      <c r="H2674" s="15"/>
    </row>
    <row r="2675" customFormat="false" ht="15" hidden="false" customHeight="true" outlineLevel="0" collapsed="false">
      <c r="A2675" s="15" t="s">
        <v>352</v>
      </c>
      <c r="B2675" s="15" t="s">
        <v>354</v>
      </c>
      <c r="C2675" s="15" t="s">
        <v>90</v>
      </c>
      <c r="D2675" s="15" t="s">
        <v>120</v>
      </c>
      <c r="E2675" s="15"/>
      <c r="F2675" s="15" t="s">
        <v>934</v>
      </c>
      <c r="G2675" s="15" t="s">
        <v>112</v>
      </c>
      <c r="H2675" s="15"/>
    </row>
    <row r="2676" customFormat="false" ht="15" hidden="false" customHeight="true" outlineLevel="0" collapsed="false">
      <c r="A2676" s="15" t="s">
        <v>352</v>
      </c>
      <c r="B2676" s="15" t="s">
        <v>354</v>
      </c>
      <c r="C2676" s="15" t="s">
        <v>754</v>
      </c>
      <c r="D2676" s="15" t="s">
        <v>755</v>
      </c>
      <c r="E2676" s="15"/>
      <c r="F2676" s="15" t="s">
        <v>934</v>
      </c>
      <c r="G2676" s="15" t="s">
        <v>112</v>
      </c>
      <c r="H2676" s="15"/>
    </row>
    <row r="2677" customFormat="false" ht="15" hidden="false" customHeight="true" outlineLevel="0" collapsed="false">
      <c r="A2677" s="15" t="s">
        <v>352</v>
      </c>
      <c r="B2677" s="15" t="s">
        <v>354</v>
      </c>
      <c r="C2677" s="15" t="s">
        <v>759</v>
      </c>
      <c r="D2677" s="15" t="s">
        <v>944</v>
      </c>
      <c r="E2677" s="15"/>
      <c r="F2677" s="15" t="s">
        <v>934</v>
      </c>
      <c r="G2677" s="15" t="s">
        <v>112</v>
      </c>
      <c r="H2677" s="15"/>
    </row>
    <row r="2678" customFormat="false" ht="15" hidden="false" customHeight="true" outlineLevel="0" collapsed="false">
      <c r="A2678" s="15" t="s">
        <v>352</v>
      </c>
      <c r="B2678" s="15" t="s">
        <v>354</v>
      </c>
      <c r="C2678" s="15" t="s">
        <v>743</v>
      </c>
      <c r="D2678" s="15" t="s">
        <v>945</v>
      </c>
      <c r="E2678" s="15"/>
      <c r="F2678" s="15" t="s">
        <v>934</v>
      </c>
      <c r="G2678" s="15" t="s">
        <v>112</v>
      </c>
      <c r="H2678" s="15"/>
    </row>
    <row r="2679" customFormat="false" ht="15" hidden="false" customHeight="true" outlineLevel="0" collapsed="false">
      <c r="A2679" s="15" t="s">
        <v>352</v>
      </c>
      <c r="B2679" s="15" t="s">
        <v>354</v>
      </c>
      <c r="C2679" s="15" t="s">
        <v>946</v>
      </c>
      <c r="D2679" s="15" t="s">
        <v>755</v>
      </c>
      <c r="E2679" s="15"/>
      <c r="F2679" s="15" t="s">
        <v>934</v>
      </c>
      <c r="G2679" s="15" t="s">
        <v>112</v>
      </c>
      <c r="H2679" s="15"/>
    </row>
    <row r="2680" customFormat="false" ht="15" hidden="false" customHeight="true" outlineLevel="0" collapsed="false">
      <c r="A2680" s="15" t="s">
        <v>359</v>
      </c>
      <c r="B2680" s="15" t="s">
        <v>360</v>
      </c>
      <c r="C2680" s="15" t="s">
        <v>769</v>
      </c>
      <c r="D2680" s="15" t="n">
        <v>5</v>
      </c>
      <c r="E2680" s="15" t="s">
        <v>721</v>
      </c>
      <c r="F2680" s="15" t="s">
        <v>934</v>
      </c>
      <c r="G2680" s="15" t="s">
        <v>112</v>
      </c>
      <c r="H2680" s="15"/>
    </row>
    <row r="2681" customFormat="false" ht="15" hidden="false" customHeight="true" outlineLevel="0" collapsed="false">
      <c r="A2681" s="15" t="s">
        <v>359</v>
      </c>
      <c r="B2681" s="15" t="s">
        <v>360</v>
      </c>
      <c r="C2681" s="15" t="s">
        <v>714</v>
      </c>
      <c r="D2681" s="15" t="n">
        <v>215</v>
      </c>
      <c r="E2681" s="15" t="s">
        <v>715</v>
      </c>
      <c r="F2681" s="15" t="s">
        <v>934</v>
      </c>
      <c r="G2681" s="15" t="s">
        <v>112</v>
      </c>
      <c r="H2681" s="15"/>
    </row>
    <row r="2682" customFormat="false" ht="15" hidden="false" customHeight="true" outlineLevel="0" collapsed="false">
      <c r="A2682" s="15" t="s">
        <v>359</v>
      </c>
      <c r="B2682" s="15" t="s">
        <v>360</v>
      </c>
      <c r="C2682" s="15" t="s">
        <v>718</v>
      </c>
      <c r="D2682" s="15" t="s">
        <v>302</v>
      </c>
      <c r="E2682" s="15"/>
      <c r="F2682" s="15" t="s">
        <v>934</v>
      </c>
      <c r="G2682" s="15" t="s">
        <v>112</v>
      </c>
      <c r="H2682" s="15"/>
    </row>
    <row r="2683" customFormat="false" ht="15" hidden="false" customHeight="true" outlineLevel="0" collapsed="false">
      <c r="A2683" s="15" t="s">
        <v>359</v>
      </c>
      <c r="B2683" s="15" t="s">
        <v>360</v>
      </c>
      <c r="C2683" s="15" t="s">
        <v>935</v>
      </c>
      <c r="D2683" s="15" t="s">
        <v>936</v>
      </c>
      <c r="E2683" s="15"/>
      <c r="F2683" s="15" t="s">
        <v>934</v>
      </c>
      <c r="G2683" s="15" t="s">
        <v>112</v>
      </c>
      <c r="H2683" s="15"/>
    </row>
    <row r="2684" customFormat="false" ht="15" hidden="false" customHeight="true" outlineLevel="0" collapsed="false">
      <c r="A2684" s="15" t="s">
        <v>359</v>
      </c>
      <c r="B2684" s="15" t="s">
        <v>360</v>
      </c>
      <c r="C2684" s="15" t="s">
        <v>722</v>
      </c>
      <c r="D2684" s="15" t="n">
        <v>350</v>
      </c>
      <c r="E2684" s="15" t="s">
        <v>723</v>
      </c>
      <c r="F2684" s="15" t="s">
        <v>934</v>
      </c>
      <c r="G2684" s="15" t="s">
        <v>112</v>
      </c>
      <c r="H2684" s="15"/>
    </row>
    <row r="2685" customFormat="false" ht="15" hidden="false" customHeight="true" outlineLevel="0" collapsed="false">
      <c r="A2685" s="15" t="s">
        <v>359</v>
      </c>
      <c r="B2685" s="15" t="s">
        <v>360</v>
      </c>
      <c r="C2685" s="15" t="s">
        <v>726</v>
      </c>
      <c r="D2685" s="15" t="n">
        <v>3995</v>
      </c>
      <c r="E2685" s="15" t="s">
        <v>725</v>
      </c>
      <c r="F2685" s="15" t="s">
        <v>934</v>
      </c>
      <c r="G2685" s="15" t="s">
        <v>112</v>
      </c>
      <c r="H2685" s="15"/>
    </row>
    <row r="2686" customFormat="false" ht="15" hidden="false" customHeight="true" outlineLevel="0" collapsed="false">
      <c r="A2686" s="15" t="s">
        <v>359</v>
      </c>
      <c r="B2686" s="15" t="s">
        <v>360</v>
      </c>
      <c r="C2686" s="15" t="s">
        <v>727</v>
      </c>
      <c r="D2686" s="15" t="n">
        <v>1802</v>
      </c>
      <c r="E2686" s="15" t="s">
        <v>725</v>
      </c>
      <c r="F2686" s="15" t="s">
        <v>934</v>
      </c>
      <c r="G2686" s="15" t="s">
        <v>112</v>
      </c>
      <c r="H2686" s="15"/>
    </row>
    <row r="2687" customFormat="false" ht="15" hidden="false" customHeight="true" outlineLevel="0" collapsed="false">
      <c r="A2687" s="15" t="s">
        <v>359</v>
      </c>
      <c r="B2687" s="15" t="s">
        <v>360</v>
      </c>
      <c r="C2687" s="15" t="s">
        <v>728</v>
      </c>
      <c r="D2687" s="15" t="n">
        <v>1625</v>
      </c>
      <c r="E2687" s="15" t="s">
        <v>725</v>
      </c>
      <c r="F2687" s="15" t="s">
        <v>934</v>
      </c>
      <c r="G2687" s="15" t="s">
        <v>112</v>
      </c>
      <c r="H2687" s="15"/>
    </row>
    <row r="2688" customFormat="false" ht="15" hidden="false" customHeight="true" outlineLevel="0" collapsed="false">
      <c r="A2688" s="15" t="s">
        <v>359</v>
      </c>
      <c r="B2688" s="15" t="s">
        <v>360</v>
      </c>
      <c r="C2688" s="15" t="s">
        <v>729</v>
      </c>
      <c r="D2688" s="15" t="n">
        <v>2498</v>
      </c>
      <c r="E2688" s="15" t="s">
        <v>725</v>
      </c>
      <c r="F2688" s="15" t="s">
        <v>934</v>
      </c>
      <c r="G2688" s="15" t="s">
        <v>112</v>
      </c>
      <c r="H2688" s="15"/>
    </row>
    <row r="2689" customFormat="false" ht="15" hidden="false" customHeight="true" outlineLevel="0" collapsed="false">
      <c r="A2689" s="15" t="s">
        <v>359</v>
      </c>
      <c r="B2689" s="15" t="s">
        <v>360</v>
      </c>
      <c r="C2689" s="15" t="s">
        <v>776</v>
      </c>
      <c r="D2689" s="15" t="s">
        <v>937</v>
      </c>
      <c r="E2689" s="15"/>
      <c r="F2689" s="15" t="s">
        <v>934</v>
      </c>
      <c r="G2689" s="15" t="s">
        <v>112</v>
      </c>
      <c r="H2689" s="15"/>
    </row>
    <row r="2690" customFormat="false" ht="15" hidden="false" customHeight="true" outlineLevel="0" collapsed="false">
      <c r="A2690" s="15" t="s">
        <v>359</v>
      </c>
      <c r="B2690" s="15" t="s">
        <v>360</v>
      </c>
      <c r="C2690" s="15" t="s">
        <v>789</v>
      </c>
      <c r="D2690" s="15" t="s">
        <v>790</v>
      </c>
      <c r="E2690" s="15"/>
      <c r="F2690" s="15" t="s">
        <v>934</v>
      </c>
      <c r="G2690" s="15" t="s">
        <v>112</v>
      </c>
      <c r="H2690" s="15"/>
    </row>
    <row r="2691" customFormat="false" ht="15" hidden="false" customHeight="true" outlineLevel="0" collapsed="false">
      <c r="A2691" s="15" t="s">
        <v>359</v>
      </c>
      <c r="B2691" s="15" t="s">
        <v>360</v>
      </c>
      <c r="C2691" s="15" t="s">
        <v>835</v>
      </c>
      <c r="D2691" s="15" t="s">
        <v>836</v>
      </c>
      <c r="E2691" s="15"/>
      <c r="F2691" s="15" t="s">
        <v>934</v>
      </c>
      <c r="G2691" s="15" t="s">
        <v>112</v>
      </c>
      <c r="H2691" s="15"/>
    </row>
    <row r="2692" customFormat="false" ht="15" hidden="false" customHeight="true" outlineLevel="0" collapsed="false">
      <c r="A2692" s="15" t="s">
        <v>359</v>
      </c>
      <c r="B2692" s="15" t="s">
        <v>360</v>
      </c>
      <c r="C2692" s="15" t="s">
        <v>833</v>
      </c>
      <c r="D2692" s="15" t="s">
        <v>938</v>
      </c>
      <c r="E2692" s="15"/>
      <c r="F2692" s="15" t="s">
        <v>934</v>
      </c>
      <c r="G2692" s="15" t="s">
        <v>112</v>
      </c>
      <c r="H2692" s="15"/>
    </row>
    <row r="2693" customFormat="false" ht="15" hidden="false" customHeight="true" outlineLevel="0" collapsed="false">
      <c r="A2693" s="15" t="s">
        <v>359</v>
      </c>
      <c r="B2693" s="15" t="s">
        <v>360</v>
      </c>
      <c r="C2693" s="15" t="s">
        <v>86</v>
      </c>
      <c r="D2693" s="15" t="n">
        <v>6</v>
      </c>
      <c r="E2693" s="15" t="s">
        <v>721</v>
      </c>
      <c r="F2693" s="15" t="s">
        <v>934</v>
      </c>
      <c r="G2693" s="15" t="s">
        <v>112</v>
      </c>
      <c r="H2693" s="15"/>
    </row>
    <row r="2694" customFormat="false" ht="15" hidden="false" customHeight="true" outlineLevel="0" collapsed="false">
      <c r="A2694" s="15" t="s">
        <v>359</v>
      </c>
      <c r="B2694" s="15" t="s">
        <v>360</v>
      </c>
      <c r="C2694" s="15" t="s">
        <v>737</v>
      </c>
      <c r="D2694" s="15" t="n">
        <v>95</v>
      </c>
      <c r="E2694" s="15" t="s">
        <v>738</v>
      </c>
      <c r="F2694" s="15" t="s">
        <v>934</v>
      </c>
      <c r="G2694" s="15" t="s">
        <v>112</v>
      </c>
      <c r="H2694" s="15"/>
    </row>
    <row r="2695" customFormat="false" ht="15" hidden="false" customHeight="true" outlineLevel="0" collapsed="false">
      <c r="A2695" s="15" t="s">
        <v>359</v>
      </c>
      <c r="B2695" s="15" t="s">
        <v>360</v>
      </c>
      <c r="C2695" s="15" t="s">
        <v>739</v>
      </c>
      <c r="D2695" s="15" t="n">
        <v>50</v>
      </c>
      <c r="E2695" s="15" t="s">
        <v>738</v>
      </c>
      <c r="F2695" s="15" t="s">
        <v>934</v>
      </c>
      <c r="G2695" s="15" t="s">
        <v>112</v>
      </c>
      <c r="H2695" s="15"/>
    </row>
    <row r="2696" customFormat="false" ht="15" hidden="false" customHeight="true" outlineLevel="0" collapsed="false">
      <c r="A2696" s="15" t="s">
        <v>359</v>
      </c>
      <c r="B2696" s="15" t="s">
        <v>360</v>
      </c>
      <c r="C2696" s="15" t="s">
        <v>939</v>
      </c>
      <c r="D2696" s="15" t="n">
        <v>56</v>
      </c>
      <c r="E2696" s="15"/>
      <c r="F2696" s="15" t="s">
        <v>934</v>
      </c>
      <c r="G2696" s="15" t="s">
        <v>112</v>
      </c>
      <c r="H2696" s="15"/>
    </row>
    <row r="2697" customFormat="false" ht="26.25" hidden="false" customHeight="true" outlineLevel="0" collapsed="false">
      <c r="A2697" s="15" t="s">
        <v>359</v>
      </c>
      <c r="B2697" s="15" t="s">
        <v>360</v>
      </c>
      <c r="C2697" s="15" t="s">
        <v>940</v>
      </c>
      <c r="D2697" s="15" t="n">
        <v>4.3</v>
      </c>
      <c r="E2697" s="15"/>
      <c r="F2697" s="15" t="s">
        <v>934</v>
      </c>
      <c r="G2697" s="15" t="s">
        <v>112</v>
      </c>
      <c r="H2697" s="15"/>
    </row>
    <row r="2698" customFormat="false" ht="15" hidden="false" customHeight="true" outlineLevel="0" collapsed="false">
      <c r="A2698" s="15" t="s">
        <v>359</v>
      </c>
      <c r="B2698" s="15" t="s">
        <v>360</v>
      </c>
      <c r="C2698" s="15" t="s">
        <v>733</v>
      </c>
      <c r="D2698" s="15" t="s">
        <v>941</v>
      </c>
      <c r="E2698" s="15"/>
      <c r="F2698" s="15" t="s">
        <v>934</v>
      </c>
      <c r="G2698" s="15" t="s">
        <v>112</v>
      </c>
      <c r="H2698" s="15"/>
    </row>
    <row r="2699" customFormat="false" ht="15" hidden="false" customHeight="true" outlineLevel="0" collapsed="false">
      <c r="A2699" s="15" t="s">
        <v>359</v>
      </c>
      <c r="B2699" s="15" t="s">
        <v>360</v>
      </c>
      <c r="C2699" s="15" t="s">
        <v>84</v>
      </c>
      <c r="D2699" s="15" t="n">
        <v>205</v>
      </c>
      <c r="E2699" s="15" t="s">
        <v>725</v>
      </c>
      <c r="F2699" s="15" t="s">
        <v>934</v>
      </c>
      <c r="G2699" s="15" t="s">
        <v>112</v>
      </c>
      <c r="H2699" s="15"/>
    </row>
    <row r="2700" customFormat="false" ht="15" hidden="false" customHeight="true" outlineLevel="0" collapsed="false">
      <c r="A2700" s="15" t="s">
        <v>359</v>
      </c>
      <c r="B2700" s="15" t="s">
        <v>360</v>
      </c>
      <c r="C2700" s="15" t="s">
        <v>98</v>
      </c>
      <c r="D2700" s="15" t="s">
        <v>836</v>
      </c>
      <c r="E2700" s="15"/>
      <c r="F2700" s="15" t="s">
        <v>934</v>
      </c>
      <c r="G2700" s="15" t="s">
        <v>112</v>
      </c>
      <c r="H2700" s="15"/>
    </row>
    <row r="2701" customFormat="false" ht="15" hidden="false" customHeight="true" outlineLevel="0" collapsed="false">
      <c r="A2701" s="15" t="s">
        <v>359</v>
      </c>
      <c r="B2701" s="15" t="s">
        <v>360</v>
      </c>
      <c r="C2701" s="15" t="s">
        <v>942</v>
      </c>
      <c r="D2701" s="15" t="s">
        <v>943</v>
      </c>
      <c r="E2701" s="15"/>
      <c r="F2701" s="15" t="s">
        <v>934</v>
      </c>
      <c r="G2701" s="15" t="s">
        <v>112</v>
      </c>
      <c r="H2701" s="15"/>
    </row>
    <row r="2702" customFormat="false" ht="15" hidden="false" customHeight="true" outlineLevel="0" collapsed="false">
      <c r="A2702" s="15" t="s">
        <v>359</v>
      </c>
      <c r="B2702" s="15" t="s">
        <v>360</v>
      </c>
      <c r="C2702" s="15" t="s">
        <v>749</v>
      </c>
      <c r="D2702" s="15" t="s">
        <v>120</v>
      </c>
      <c r="E2702" s="15"/>
      <c r="F2702" s="15" t="s">
        <v>934</v>
      </c>
      <c r="G2702" s="15" t="s">
        <v>112</v>
      </c>
      <c r="H2702" s="15"/>
    </row>
    <row r="2703" customFormat="false" ht="15" hidden="false" customHeight="true" outlineLevel="0" collapsed="false">
      <c r="A2703" s="15" t="s">
        <v>359</v>
      </c>
      <c r="B2703" s="15" t="s">
        <v>360</v>
      </c>
      <c r="C2703" s="15" t="s">
        <v>752</v>
      </c>
      <c r="D2703" s="15" t="s">
        <v>753</v>
      </c>
      <c r="E2703" s="15"/>
      <c r="F2703" s="15" t="s">
        <v>934</v>
      </c>
      <c r="G2703" s="15" t="s">
        <v>112</v>
      </c>
      <c r="H2703" s="15"/>
    </row>
    <row r="2704" customFormat="false" ht="15" hidden="false" customHeight="true" outlineLevel="0" collapsed="false">
      <c r="A2704" s="15" t="s">
        <v>359</v>
      </c>
      <c r="B2704" s="15" t="s">
        <v>360</v>
      </c>
      <c r="C2704" s="15" t="s">
        <v>90</v>
      </c>
      <c r="D2704" s="15" t="s">
        <v>120</v>
      </c>
      <c r="E2704" s="15"/>
      <c r="F2704" s="15" t="s">
        <v>934</v>
      </c>
      <c r="G2704" s="15" t="s">
        <v>112</v>
      </c>
      <c r="H2704" s="15"/>
    </row>
    <row r="2705" customFormat="false" ht="15" hidden="false" customHeight="true" outlineLevel="0" collapsed="false">
      <c r="A2705" s="15" t="s">
        <v>359</v>
      </c>
      <c r="B2705" s="15" t="s">
        <v>360</v>
      </c>
      <c r="C2705" s="15" t="s">
        <v>754</v>
      </c>
      <c r="D2705" s="15" t="s">
        <v>755</v>
      </c>
      <c r="E2705" s="15"/>
      <c r="F2705" s="15" t="s">
        <v>934</v>
      </c>
      <c r="G2705" s="15" t="s">
        <v>112</v>
      </c>
      <c r="H2705" s="15"/>
    </row>
    <row r="2706" customFormat="false" ht="15" hidden="false" customHeight="true" outlineLevel="0" collapsed="false">
      <c r="A2706" s="15" t="s">
        <v>359</v>
      </c>
      <c r="B2706" s="15" t="s">
        <v>360</v>
      </c>
      <c r="C2706" s="15" t="s">
        <v>759</v>
      </c>
      <c r="D2706" s="15" t="s">
        <v>947</v>
      </c>
      <c r="E2706" s="15"/>
      <c r="F2706" s="15" t="s">
        <v>934</v>
      </c>
      <c r="G2706" s="15" t="s">
        <v>112</v>
      </c>
      <c r="H2706" s="15"/>
    </row>
    <row r="2707" customFormat="false" ht="15" hidden="false" customHeight="true" outlineLevel="0" collapsed="false">
      <c r="A2707" s="15" t="s">
        <v>359</v>
      </c>
      <c r="B2707" s="15" t="s">
        <v>360</v>
      </c>
      <c r="C2707" s="15" t="s">
        <v>743</v>
      </c>
      <c r="D2707" s="15" t="s">
        <v>948</v>
      </c>
      <c r="E2707" s="15"/>
      <c r="F2707" s="15" t="s">
        <v>934</v>
      </c>
      <c r="G2707" s="15" t="s">
        <v>112</v>
      </c>
      <c r="H2707" s="15"/>
    </row>
    <row r="2708" customFormat="false" ht="15" hidden="false" customHeight="true" outlineLevel="0" collapsed="false">
      <c r="A2708" s="15" t="s">
        <v>359</v>
      </c>
      <c r="B2708" s="15" t="s">
        <v>360</v>
      </c>
      <c r="C2708" s="15" t="s">
        <v>946</v>
      </c>
      <c r="D2708" s="15" t="s">
        <v>755</v>
      </c>
      <c r="E2708" s="15"/>
      <c r="F2708" s="15" t="s">
        <v>934</v>
      </c>
      <c r="G2708" s="15" t="s">
        <v>112</v>
      </c>
      <c r="H2708" s="15"/>
    </row>
    <row r="2709" customFormat="false" ht="15" hidden="false" customHeight="true" outlineLevel="0" collapsed="false">
      <c r="A2709" s="15" t="s">
        <v>362</v>
      </c>
      <c r="B2709" s="15" t="s">
        <v>363</v>
      </c>
      <c r="C2709" s="15" t="s">
        <v>769</v>
      </c>
      <c r="D2709" s="15" t="n">
        <v>5</v>
      </c>
      <c r="E2709" s="15" t="s">
        <v>721</v>
      </c>
      <c r="F2709" s="15" t="s">
        <v>934</v>
      </c>
      <c r="G2709" s="15" t="s">
        <v>112</v>
      </c>
      <c r="H2709" s="15"/>
    </row>
    <row r="2710" customFormat="false" ht="15" hidden="false" customHeight="true" outlineLevel="0" collapsed="false">
      <c r="A2710" s="15" t="s">
        <v>362</v>
      </c>
      <c r="B2710" s="15" t="s">
        <v>363</v>
      </c>
      <c r="C2710" s="15" t="s">
        <v>714</v>
      </c>
      <c r="D2710" s="15" t="n">
        <v>215</v>
      </c>
      <c r="E2710" s="15" t="s">
        <v>715</v>
      </c>
      <c r="F2710" s="15" t="s">
        <v>934</v>
      </c>
      <c r="G2710" s="15" t="s">
        <v>112</v>
      </c>
      <c r="H2710" s="15"/>
    </row>
    <row r="2711" customFormat="false" ht="15" hidden="false" customHeight="true" outlineLevel="0" collapsed="false">
      <c r="A2711" s="15" t="s">
        <v>362</v>
      </c>
      <c r="B2711" s="15" t="s">
        <v>363</v>
      </c>
      <c r="C2711" s="15" t="s">
        <v>718</v>
      </c>
      <c r="D2711" s="15" t="s">
        <v>302</v>
      </c>
      <c r="E2711" s="15"/>
      <c r="F2711" s="15" t="s">
        <v>934</v>
      </c>
      <c r="G2711" s="15" t="s">
        <v>112</v>
      </c>
      <c r="H2711" s="15"/>
    </row>
    <row r="2712" customFormat="false" ht="15" hidden="false" customHeight="true" outlineLevel="0" collapsed="false">
      <c r="A2712" s="15" t="s">
        <v>362</v>
      </c>
      <c r="B2712" s="15" t="s">
        <v>363</v>
      </c>
      <c r="C2712" s="15" t="s">
        <v>935</v>
      </c>
      <c r="D2712" s="15" t="s">
        <v>936</v>
      </c>
      <c r="E2712" s="15"/>
      <c r="F2712" s="15" t="s">
        <v>934</v>
      </c>
      <c r="G2712" s="15" t="s">
        <v>112</v>
      </c>
      <c r="H2712" s="15"/>
    </row>
    <row r="2713" customFormat="false" ht="15" hidden="false" customHeight="true" outlineLevel="0" collapsed="false">
      <c r="A2713" s="15" t="s">
        <v>362</v>
      </c>
      <c r="B2713" s="15" t="s">
        <v>363</v>
      </c>
      <c r="C2713" s="15" t="s">
        <v>722</v>
      </c>
      <c r="D2713" s="15" t="n">
        <v>350</v>
      </c>
      <c r="E2713" s="15" t="s">
        <v>723</v>
      </c>
      <c r="F2713" s="15" t="s">
        <v>934</v>
      </c>
      <c r="G2713" s="15" t="s">
        <v>112</v>
      </c>
      <c r="H2713" s="15"/>
    </row>
    <row r="2714" customFormat="false" ht="15" hidden="false" customHeight="true" outlineLevel="0" collapsed="false">
      <c r="A2714" s="15" t="s">
        <v>362</v>
      </c>
      <c r="B2714" s="15" t="s">
        <v>363</v>
      </c>
      <c r="C2714" s="15" t="s">
        <v>726</v>
      </c>
      <c r="D2714" s="15" t="n">
        <v>3995</v>
      </c>
      <c r="E2714" s="15" t="s">
        <v>725</v>
      </c>
      <c r="F2714" s="15" t="s">
        <v>934</v>
      </c>
      <c r="G2714" s="15" t="s">
        <v>112</v>
      </c>
      <c r="H2714" s="15"/>
    </row>
    <row r="2715" customFormat="false" ht="15" hidden="false" customHeight="true" outlineLevel="0" collapsed="false">
      <c r="A2715" s="15" t="s">
        <v>362</v>
      </c>
      <c r="B2715" s="15" t="s">
        <v>363</v>
      </c>
      <c r="C2715" s="15" t="s">
        <v>727</v>
      </c>
      <c r="D2715" s="15" t="n">
        <v>1802</v>
      </c>
      <c r="E2715" s="15" t="s">
        <v>725</v>
      </c>
      <c r="F2715" s="15" t="s">
        <v>934</v>
      </c>
      <c r="G2715" s="15" t="s">
        <v>112</v>
      </c>
      <c r="H2715" s="15"/>
    </row>
    <row r="2716" customFormat="false" ht="15" hidden="false" customHeight="true" outlineLevel="0" collapsed="false">
      <c r="A2716" s="15" t="s">
        <v>362</v>
      </c>
      <c r="B2716" s="15" t="s">
        <v>363</v>
      </c>
      <c r="C2716" s="15" t="s">
        <v>728</v>
      </c>
      <c r="D2716" s="15" t="n">
        <v>1625</v>
      </c>
      <c r="E2716" s="15" t="s">
        <v>725</v>
      </c>
      <c r="F2716" s="15" t="s">
        <v>934</v>
      </c>
      <c r="G2716" s="15" t="s">
        <v>112</v>
      </c>
      <c r="H2716" s="15"/>
    </row>
    <row r="2717" customFormat="false" ht="15" hidden="false" customHeight="true" outlineLevel="0" collapsed="false">
      <c r="A2717" s="15" t="s">
        <v>362</v>
      </c>
      <c r="B2717" s="15" t="s">
        <v>363</v>
      </c>
      <c r="C2717" s="15" t="s">
        <v>729</v>
      </c>
      <c r="D2717" s="15" t="n">
        <v>2498</v>
      </c>
      <c r="E2717" s="15" t="s">
        <v>725</v>
      </c>
      <c r="F2717" s="15" t="s">
        <v>934</v>
      </c>
      <c r="G2717" s="15" t="s">
        <v>112</v>
      </c>
      <c r="H2717" s="15"/>
    </row>
    <row r="2718" customFormat="false" ht="15" hidden="false" customHeight="true" outlineLevel="0" collapsed="false">
      <c r="A2718" s="15" t="s">
        <v>362</v>
      </c>
      <c r="B2718" s="15" t="s">
        <v>363</v>
      </c>
      <c r="C2718" s="15" t="s">
        <v>776</v>
      </c>
      <c r="D2718" s="15" t="s">
        <v>937</v>
      </c>
      <c r="E2718" s="15"/>
      <c r="F2718" s="15" t="s">
        <v>934</v>
      </c>
      <c r="G2718" s="15" t="s">
        <v>112</v>
      </c>
      <c r="H2718" s="15"/>
    </row>
    <row r="2719" customFormat="false" ht="15" hidden="false" customHeight="true" outlineLevel="0" collapsed="false">
      <c r="A2719" s="15" t="s">
        <v>362</v>
      </c>
      <c r="B2719" s="15" t="s">
        <v>363</v>
      </c>
      <c r="C2719" s="15" t="s">
        <v>789</v>
      </c>
      <c r="D2719" s="15" t="s">
        <v>790</v>
      </c>
      <c r="E2719" s="15"/>
      <c r="F2719" s="15" t="s">
        <v>934</v>
      </c>
      <c r="G2719" s="15" t="s">
        <v>112</v>
      </c>
      <c r="H2719" s="15"/>
    </row>
    <row r="2720" customFormat="false" ht="15" hidden="false" customHeight="true" outlineLevel="0" collapsed="false">
      <c r="A2720" s="15" t="s">
        <v>362</v>
      </c>
      <c r="B2720" s="15" t="s">
        <v>363</v>
      </c>
      <c r="C2720" s="15" t="s">
        <v>835</v>
      </c>
      <c r="D2720" s="15" t="s">
        <v>836</v>
      </c>
      <c r="E2720" s="15"/>
      <c r="F2720" s="15" t="s">
        <v>934</v>
      </c>
      <c r="G2720" s="15" t="s">
        <v>112</v>
      </c>
      <c r="H2720" s="15"/>
    </row>
    <row r="2721" customFormat="false" ht="15" hidden="false" customHeight="true" outlineLevel="0" collapsed="false">
      <c r="A2721" s="15" t="s">
        <v>362</v>
      </c>
      <c r="B2721" s="15" t="s">
        <v>363</v>
      </c>
      <c r="C2721" s="15" t="s">
        <v>833</v>
      </c>
      <c r="D2721" s="15" t="s">
        <v>938</v>
      </c>
      <c r="E2721" s="15"/>
      <c r="F2721" s="15" t="s">
        <v>934</v>
      </c>
      <c r="G2721" s="15" t="s">
        <v>112</v>
      </c>
      <c r="H2721" s="15"/>
    </row>
    <row r="2722" customFormat="false" ht="15" hidden="false" customHeight="true" outlineLevel="0" collapsed="false">
      <c r="A2722" s="15" t="s">
        <v>362</v>
      </c>
      <c r="B2722" s="15" t="s">
        <v>363</v>
      </c>
      <c r="C2722" s="15" t="s">
        <v>86</v>
      </c>
      <c r="D2722" s="15" t="n">
        <v>6</v>
      </c>
      <c r="E2722" s="15" t="s">
        <v>721</v>
      </c>
      <c r="F2722" s="15" t="s">
        <v>934</v>
      </c>
      <c r="G2722" s="15" t="s">
        <v>112</v>
      </c>
      <c r="H2722" s="15"/>
    </row>
    <row r="2723" customFormat="false" ht="15" hidden="false" customHeight="true" outlineLevel="0" collapsed="false">
      <c r="A2723" s="15" t="s">
        <v>362</v>
      </c>
      <c r="B2723" s="15" t="s">
        <v>363</v>
      </c>
      <c r="C2723" s="15" t="s">
        <v>737</v>
      </c>
      <c r="D2723" s="15" t="n">
        <v>106</v>
      </c>
      <c r="E2723" s="15" t="s">
        <v>738</v>
      </c>
      <c r="F2723" s="15" t="s">
        <v>934</v>
      </c>
      <c r="G2723" s="15" t="s">
        <v>112</v>
      </c>
      <c r="H2723" s="15"/>
    </row>
    <row r="2724" customFormat="false" ht="15" hidden="false" customHeight="true" outlineLevel="0" collapsed="false">
      <c r="A2724" s="15" t="s">
        <v>362</v>
      </c>
      <c r="B2724" s="15" t="s">
        <v>363</v>
      </c>
      <c r="C2724" s="15" t="s">
        <v>739</v>
      </c>
      <c r="D2724" s="15" t="n">
        <v>60</v>
      </c>
      <c r="E2724" s="15" t="s">
        <v>738</v>
      </c>
      <c r="F2724" s="15" t="s">
        <v>934</v>
      </c>
      <c r="G2724" s="15" t="s">
        <v>112</v>
      </c>
      <c r="H2724" s="15"/>
    </row>
    <row r="2725" customFormat="false" ht="15" hidden="false" customHeight="true" outlineLevel="0" collapsed="false">
      <c r="A2725" s="15" t="s">
        <v>362</v>
      </c>
      <c r="B2725" s="15" t="s">
        <v>363</v>
      </c>
      <c r="C2725" s="15" t="s">
        <v>939</v>
      </c>
      <c r="D2725" s="15" t="n">
        <v>40</v>
      </c>
      <c r="E2725" s="15"/>
      <c r="F2725" s="15" t="s">
        <v>934</v>
      </c>
      <c r="G2725" s="15" t="s">
        <v>112</v>
      </c>
      <c r="H2725" s="15"/>
    </row>
    <row r="2726" customFormat="false" ht="26.25" hidden="false" customHeight="true" outlineLevel="0" collapsed="false">
      <c r="A2726" s="15" t="s">
        <v>362</v>
      </c>
      <c r="B2726" s="15" t="s">
        <v>363</v>
      </c>
      <c r="C2726" s="15" t="s">
        <v>940</v>
      </c>
      <c r="D2726" s="15" t="n">
        <v>6.6</v>
      </c>
      <c r="E2726" s="15"/>
      <c r="F2726" s="15" t="s">
        <v>934</v>
      </c>
      <c r="G2726" s="15" t="s">
        <v>112</v>
      </c>
      <c r="H2726" s="15"/>
    </row>
    <row r="2727" customFormat="false" ht="15" hidden="false" customHeight="true" outlineLevel="0" collapsed="false">
      <c r="A2727" s="15" t="s">
        <v>362</v>
      </c>
      <c r="B2727" s="15" t="s">
        <v>363</v>
      </c>
      <c r="C2727" s="15" t="s">
        <v>733</v>
      </c>
      <c r="D2727" s="15" t="s">
        <v>949</v>
      </c>
      <c r="E2727" s="15"/>
      <c r="F2727" s="15" t="s">
        <v>934</v>
      </c>
      <c r="G2727" s="15" t="s">
        <v>112</v>
      </c>
      <c r="H2727" s="15"/>
    </row>
    <row r="2728" customFormat="false" ht="15" hidden="false" customHeight="true" outlineLevel="0" collapsed="false">
      <c r="A2728" s="15" t="s">
        <v>362</v>
      </c>
      <c r="B2728" s="15" t="s">
        <v>363</v>
      </c>
      <c r="C2728" s="15" t="s">
        <v>84</v>
      </c>
      <c r="D2728" s="15" t="n">
        <v>190</v>
      </c>
      <c r="E2728" s="15" t="s">
        <v>725</v>
      </c>
      <c r="F2728" s="15" t="s">
        <v>934</v>
      </c>
      <c r="G2728" s="15" t="s">
        <v>112</v>
      </c>
      <c r="H2728" s="15"/>
    </row>
    <row r="2729" customFormat="false" ht="39" hidden="false" customHeight="true" outlineLevel="0" collapsed="false">
      <c r="A2729" s="15" t="s">
        <v>362</v>
      </c>
      <c r="B2729" s="15" t="s">
        <v>363</v>
      </c>
      <c r="C2729" s="15" t="s">
        <v>98</v>
      </c>
      <c r="D2729" s="15" t="s">
        <v>950</v>
      </c>
      <c r="E2729" s="15"/>
      <c r="F2729" s="15" t="s">
        <v>934</v>
      </c>
      <c r="G2729" s="15" t="s">
        <v>112</v>
      </c>
      <c r="H2729" s="15"/>
    </row>
    <row r="2730" customFormat="false" ht="15" hidden="false" customHeight="true" outlineLevel="0" collapsed="false">
      <c r="A2730" s="15" t="s">
        <v>362</v>
      </c>
      <c r="B2730" s="15" t="s">
        <v>363</v>
      </c>
      <c r="C2730" s="15" t="s">
        <v>942</v>
      </c>
      <c r="D2730" s="15" t="s">
        <v>951</v>
      </c>
      <c r="E2730" s="15"/>
      <c r="F2730" s="15" t="s">
        <v>934</v>
      </c>
      <c r="G2730" s="15" t="s">
        <v>112</v>
      </c>
      <c r="H2730" s="15"/>
    </row>
    <row r="2731" customFormat="false" ht="15" hidden="false" customHeight="true" outlineLevel="0" collapsed="false">
      <c r="A2731" s="15" t="s">
        <v>362</v>
      </c>
      <c r="B2731" s="15" t="s">
        <v>363</v>
      </c>
      <c r="C2731" s="15" t="s">
        <v>749</v>
      </c>
      <c r="D2731" s="15" t="s">
        <v>120</v>
      </c>
      <c r="E2731" s="15"/>
      <c r="F2731" s="15" t="s">
        <v>934</v>
      </c>
      <c r="G2731" s="15" t="s">
        <v>112</v>
      </c>
      <c r="H2731" s="15"/>
    </row>
    <row r="2732" customFormat="false" ht="15" hidden="false" customHeight="true" outlineLevel="0" collapsed="false">
      <c r="A2732" s="15" t="s">
        <v>362</v>
      </c>
      <c r="B2732" s="15" t="s">
        <v>363</v>
      </c>
      <c r="C2732" s="15" t="s">
        <v>752</v>
      </c>
      <c r="D2732" s="15" t="s">
        <v>753</v>
      </c>
      <c r="E2732" s="15"/>
      <c r="F2732" s="15" t="s">
        <v>934</v>
      </c>
      <c r="G2732" s="15" t="s">
        <v>112</v>
      </c>
      <c r="H2732" s="15"/>
    </row>
    <row r="2733" customFormat="false" ht="15" hidden="false" customHeight="true" outlineLevel="0" collapsed="false">
      <c r="A2733" s="15" t="s">
        <v>362</v>
      </c>
      <c r="B2733" s="15" t="s">
        <v>363</v>
      </c>
      <c r="C2733" s="15" t="s">
        <v>90</v>
      </c>
      <c r="D2733" s="15" t="s">
        <v>120</v>
      </c>
      <c r="E2733" s="15"/>
      <c r="F2733" s="15" t="s">
        <v>934</v>
      </c>
      <c r="G2733" s="15" t="s">
        <v>112</v>
      </c>
      <c r="H2733" s="15"/>
    </row>
    <row r="2734" customFormat="false" ht="15" hidden="false" customHeight="true" outlineLevel="0" collapsed="false">
      <c r="A2734" s="15" t="s">
        <v>362</v>
      </c>
      <c r="B2734" s="15" t="s">
        <v>363</v>
      </c>
      <c r="C2734" s="15" t="s">
        <v>754</v>
      </c>
      <c r="D2734" s="15" t="s">
        <v>755</v>
      </c>
      <c r="E2734" s="15"/>
      <c r="F2734" s="15" t="s">
        <v>934</v>
      </c>
      <c r="G2734" s="15" t="s">
        <v>112</v>
      </c>
      <c r="H2734" s="15"/>
    </row>
    <row r="2735" customFormat="false" ht="15" hidden="false" customHeight="true" outlineLevel="0" collapsed="false">
      <c r="A2735" s="15" t="s">
        <v>362</v>
      </c>
      <c r="B2735" s="15" t="s">
        <v>363</v>
      </c>
      <c r="C2735" s="15" t="s">
        <v>759</v>
      </c>
      <c r="D2735" s="15" t="s">
        <v>944</v>
      </c>
      <c r="E2735" s="15"/>
      <c r="F2735" s="15" t="s">
        <v>934</v>
      </c>
      <c r="G2735" s="15" t="s">
        <v>112</v>
      </c>
      <c r="H2735" s="15"/>
    </row>
    <row r="2736" customFormat="false" ht="15" hidden="false" customHeight="true" outlineLevel="0" collapsed="false">
      <c r="A2736" s="15" t="s">
        <v>362</v>
      </c>
      <c r="B2736" s="15" t="s">
        <v>363</v>
      </c>
      <c r="C2736" s="15" t="s">
        <v>743</v>
      </c>
      <c r="D2736" s="15" t="s">
        <v>945</v>
      </c>
      <c r="E2736" s="15"/>
      <c r="F2736" s="15" t="s">
        <v>934</v>
      </c>
      <c r="G2736" s="15" t="s">
        <v>112</v>
      </c>
      <c r="H2736" s="15"/>
    </row>
    <row r="2737" customFormat="false" ht="15" hidden="false" customHeight="true" outlineLevel="0" collapsed="false">
      <c r="A2737" s="15" t="s">
        <v>362</v>
      </c>
      <c r="B2737" s="15" t="s">
        <v>363</v>
      </c>
      <c r="C2737" s="15" t="s">
        <v>946</v>
      </c>
      <c r="D2737" s="15" t="s">
        <v>755</v>
      </c>
      <c r="E2737" s="15"/>
      <c r="F2737" s="15" t="s">
        <v>934</v>
      </c>
      <c r="G2737" s="15" t="s">
        <v>112</v>
      </c>
      <c r="H2737" s="15"/>
    </row>
    <row r="2738" customFormat="false" ht="15" hidden="false" customHeight="true" outlineLevel="0" collapsed="false">
      <c r="A2738" s="15" t="s">
        <v>365</v>
      </c>
      <c r="B2738" s="15" t="s">
        <v>366</v>
      </c>
      <c r="C2738" s="15" t="s">
        <v>769</v>
      </c>
      <c r="D2738" s="15" t="n">
        <v>5</v>
      </c>
      <c r="E2738" s="15" t="s">
        <v>721</v>
      </c>
      <c r="F2738" s="15" t="s">
        <v>934</v>
      </c>
      <c r="G2738" s="15" t="s">
        <v>112</v>
      </c>
      <c r="H2738" s="15"/>
    </row>
    <row r="2739" customFormat="false" ht="15" hidden="false" customHeight="true" outlineLevel="0" collapsed="false">
      <c r="A2739" s="15" t="s">
        <v>365</v>
      </c>
      <c r="B2739" s="15" t="s">
        <v>366</v>
      </c>
      <c r="C2739" s="15" t="s">
        <v>714</v>
      </c>
      <c r="D2739" s="15" t="n">
        <v>215</v>
      </c>
      <c r="E2739" s="15" t="s">
        <v>715</v>
      </c>
      <c r="F2739" s="15" t="s">
        <v>934</v>
      </c>
      <c r="G2739" s="15" t="s">
        <v>112</v>
      </c>
      <c r="H2739" s="15"/>
    </row>
    <row r="2740" customFormat="false" ht="15" hidden="false" customHeight="true" outlineLevel="0" collapsed="false">
      <c r="A2740" s="15" t="s">
        <v>365</v>
      </c>
      <c r="B2740" s="15" t="s">
        <v>366</v>
      </c>
      <c r="C2740" s="15" t="s">
        <v>718</v>
      </c>
      <c r="D2740" s="15" t="s">
        <v>302</v>
      </c>
      <c r="E2740" s="15"/>
      <c r="F2740" s="15" t="s">
        <v>934</v>
      </c>
      <c r="G2740" s="15" t="s">
        <v>112</v>
      </c>
      <c r="H2740" s="15"/>
    </row>
    <row r="2741" customFormat="false" ht="15" hidden="false" customHeight="true" outlineLevel="0" collapsed="false">
      <c r="A2741" s="15" t="s">
        <v>365</v>
      </c>
      <c r="B2741" s="15" t="s">
        <v>366</v>
      </c>
      <c r="C2741" s="15" t="s">
        <v>935</v>
      </c>
      <c r="D2741" s="15" t="s">
        <v>936</v>
      </c>
      <c r="E2741" s="15"/>
      <c r="F2741" s="15" t="s">
        <v>934</v>
      </c>
      <c r="G2741" s="15" t="s">
        <v>112</v>
      </c>
      <c r="H2741" s="15"/>
    </row>
    <row r="2742" customFormat="false" ht="15" hidden="false" customHeight="true" outlineLevel="0" collapsed="false">
      <c r="A2742" s="15" t="s">
        <v>365</v>
      </c>
      <c r="B2742" s="15" t="s">
        <v>366</v>
      </c>
      <c r="C2742" s="15" t="s">
        <v>722</v>
      </c>
      <c r="D2742" s="15" t="n">
        <v>350</v>
      </c>
      <c r="E2742" s="15" t="s">
        <v>723</v>
      </c>
      <c r="F2742" s="15" t="s">
        <v>934</v>
      </c>
      <c r="G2742" s="15" t="s">
        <v>112</v>
      </c>
      <c r="H2742" s="15"/>
    </row>
    <row r="2743" customFormat="false" ht="15" hidden="false" customHeight="true" outlineLevel="0" collapsed="false">
      <c r="A2743" s="15" t="s">
        <v>365</v>
      </c>
      <c r="B2743" s="15" t="s">
        <v>366</v>
      </c>
      <c r="C2743" s="15" t="s">
        <v>726</v>
      </c>
      <c r="D2743" s="15" t="n">
        <v>3995</v>
      </c>
      <c r="E2743" s="15" t="s">
        <v>725</v>
      </c>
      <c r="F2743" s="15" t="s">
        <v>934</v>
      </c>
      <c r="G2743" s="15" t="s">
        <v>112</v>
      </c>
      <c r="H2743" s="15"/>
    </row>
    <row r="2744" customFormat="false" ht="15" hidden="false" customHeight="true" outlineLevel="0" collapsed="false">
      <c r="A2744" s="15" t="s">
        <v>365</v>
      </c>
      <c r="B2744" s="15" t="s">
        <v>366</v>
      </c>
      <c r="C2744" s="15" t="s">
        <v>727</v>
      </c>
      <c r="D2744" s="15" t="n">
        <v>1802</v>
      </c>
      <c r="E2744" s="15" t="s">
        <v>725</v>
      </c>
      <c r="F2744" s="15" t="s">
        <v>934</v>
      </c>
      <c r="G2744" s="15" t="s">
        <v>112</v>
      </c>
      <c r="H2744" s="15"/>
    </row>
    <row r="2745" customFormat="false" ht="15" hidden="false" customHeight="true" outlineLevel="0" collapsed="false">
      <c r="A2745" s="15" t="s">
        <v>365</v>
      </c>
      <c r="B2745" s="15" t="s">
        <v>366</v>
      </c>
      <c r="C2745" s="15" t="s">
        <v>728</v>
      </c>
      <c r="D2745" s="15" t="n">
        <v>1625</v>
      </c>
      <c r="E2745" s="15" t="s">
        <v>725</v>
      </c>
      <c r="F2745" s="15" t="s">
        <v>934</v>
      </c>
      <c r="G2745" s="15" t="s">
        <v>112</v>
      </c>
      <c r="H2745" s="15"/>
    </row>
    <row r="2746" customFormat="false" ht="15" hidden="false" customHeight="true" outlineLevel="0" collapsed="false">
      <c r="A2746" s="15" t="s">
        <v>365</v>
      </c>
      <c r="B2746" s="15" t="s">
        <v>366</v>
      </c>
      <c r="C2746" s="15" t="s">
        <v>729</v>
      </c>
      <c r="D2746" s="15" t="n">
        <v>2498</v>
      </c>
      <c r="E2746" s="15" t="s">
        <v>725</v>
      </c>
      <c r="F2746" s="15" t="s">
        <v>934</v>
      </c>
      <c r="G2746" s="15" t="s">
        <v>112</v>
      </c>
      <c r="H2746" s="15"/>
    </row>
    <row r="2747" customFormat="false" ht="15" hidden="false" customHeight="true" outlineLevel="0" collapsed="false">
      <c r="A2747" s="15" t="s">
        <v>365</v>
      </c>
      <c r="B2747" s="15" t="s">
        <v>366</v>
      </c>
      <c r="C2747" s="15" t="s">
        <v>776</v>
      </c>
      <c r="D2747" s="15" t="s">
        <v>937</v>
      </c>
      <c r="E2747" s="15"/>
      <c r="F2747" s="15" t="s">
        <v>934</v>
      </c>
      <c r="G2747" s="15" t="s">
        <v>112</v>
      </c>
      <c r="H2747" s="15"/>
    </row>
    <row r="2748" customFormat="false" ht="15" hidden="false" customHeight="true" outlineLevel="0" collapsed="false">
      <c r="A2748" s="15" t="s">
        <v>365</v>
      </c>
      <c r="B2748" s="15" t="s">
        <v>366</v>
      </c>
      <c r="C2748" s="15" t="s">
        <v>789</v>
      </c>
      <c r="D2748" s="15" t="s">
        <v>790</v>
      </c>
      <c r="E2748" s="15"/>
      <c r="F2748" s="15" t="s">
        <v>934</v>
      </c>
      <c r="G2748" s="15" t="s">
        <v>112</v>
      </c>
      <c r="H2748" s="15"/>
    </row>
    <row r="2749" customFormat="false" ht="15" hidden="false" customHeight="true" outlineLevel="0" collapsed="false">
      <c r="A2749" s="15" t="s">
        <v>365</v>
      </c>
      <c r="B2749" s="15" t="s">
        <v>366</v>
      </c>
      <c r="C2749" s="15" t="s">
        <v>835</v>
      </c>
      <c r="D2749" s="15" t="s">
        <v>836</v>
      </c>
      <c r="E2749" s="15"/>
      <c r="F2749" s="15" t="s">
        <v>934</v>
      </c>
      <c r="G2749" s="15" t="s">
        <v>112</v>
      </c>
      <c r="H2749" s="15"/>
    </row>
    <row r="2750" customFormat="false" ht="15" hidden="false" customHeight="true" outlineLevel="0" collapsed="false">
      <c r="A2750" s="15" t="s">
        <v>365</v>
      </c>
      <c r="B2750" s="15" t="s">
        <v>366</v>
      </c>
      <c r="C2750" s="15" t="s">
        <v>833</v>
      </c>
      <c r="D2750" s="15" t="s">
        <v>938</v>
      </c>
      <c r="E2750" s="15"/>
      <c r="F2750" s="15" t="s">
        <v>934</v>
      </c>
      <c r="G2750" s="15" t="s">
        <v>112</v>
      </c>
      <c r="H2750" s="15"/>
    </row>
    <row r="2751" customFormat="false" ht="15" hidden="false" customHeight="true" outlineLevel="0" collapsed="false">
      <c r="A2751" s="15" t="s">
        <v>365</v>
      </c>
      <c r="B2751" s="15" t="s">
        <v>366</v>
      </c>
      <c r="C2751" s="15" t="s">
        <v>86</v>
      </c>
      <c r="D2751" s="15" t="n">
        <v>6</v>
      </c>
      <c r="E2751" s="15" t="s">
        <v>721</v>
      </c>
      <c r="F2751" s="15" t="s">
        <v>934</v>
      </c>
      <c r="G2751" s="15" t="s">
        <v>112</v>
      </c>
      <c r="H2751" s="15"/>
    </row>
    <row r="2752" customFormat="false" ht="15" hidden="false" customHeight="true" outlineLevel="0" collapsed="false">
      <c r="A2752" s="15" t="s">
        <v>365</v>
      </c>
      <c r="B2752" s="15" t="s">
        <v>366</v>
      </c>
      <c r="C2752" s="15" t="s">
        <v>737</v>
      </c>
      <c r="D2752" s="15" t="n">
        <v>106</v>
      </c>
      <c r="E2752" s="15" t="s">
        <v>738</v>
      </c>
      <c r="F2752" s="15" t="s">
        <v>934</v>
      </c>
      <c r="G2752" s="15" t="s">
        <v>112</v>
      </c>
      <c r="H2752" s="15"/>
    </row>
    <row r="2753" customFormat="false" ht="15" hidden="false" customHeight="true" outlineLevel="0" collapsed="false">
      <c r="A2753" s="15" t="s">
        <v>365</v>
      </c>
      <c r="B2753" s="15" t="s">
        <v>366</v>
      </c>
      <c r="C2753" s="15" t="s">
        <v>739</v>
      </c>
      <c r="D2753" s="15" t="n">
        <v>60</v>
      </c>
      <c r="E2753" s="15" t="s">
        <v>738</v>
      </c>
      <c r="F2753" s="15" t="s">
        <v>934</v>
      </c>
      <c r="G2753" s="15" t="s">
        <v>112</v>
      </c>
      <c r="H2753" s="15"/>
    </row>
    <row r="2754" customFormat="false" ht="15" hidden="false" customHeight="true" outlineLevel="0" collapsed="false">
      <c r="A2754" s="15" t="s">
        <v>365</v>
      </c>
      <c r="B2754" s="15" t="s">
        <v>366</v>
      </c>
      <c r="C2754" s="15" t="s">
        <v>939</v>
      </c>
      <c r="D2754" s="15" t="n">
        <v>40</v>
      </c>
      <c r="E2754" s="15"/>
      <c r="F2754" s="15" t="s">
        <v>934</v>
      </c>
      <c r="G2754" s="15" t="s">
        <v>112</v>
      </c>
      <c r="H2754" s="15"/>
    </row>
    <row r="2755" customFormat="false" ht="26.25" hidden="false" customHeight="true" outlineLevel="0" collapsed="false">
      <c r="A2755" s="15" t="s">
        <v>365</v>
      </c>
      <c r="B2755" s="15" t="s">
        <v>366</v>
      </c>
      <c r="C2755" s="15" t="s">
        <v>940</v>
      </c>
      <c r="D2755" s="15" t="n">
        <v>6.6</v>
      </c>
      <c r="E2755" s="15"/>
      <c r="F2755" s="15" t="s">
        <v>934</v>
      </c>
      <c r="G2755" s="15" t="s">
        <v>112</v>
      </c>
      <c r="H2755" s="15"/>
    </row>
    <row r="2756" customFormat="false" ht="15" hidden="false" customHeight="true" outlineLevel="0" collapsed="false">
      <c r="A2756" s="15" t="s">
        <v>365</v>
      </c>
      <c r="B2756" s="15" t="s">
        <v>366</v>
      </c>
      <c r="C2756" s="15" t="s">
        <v>733</v>
      </c>
      <c r="D2756" s="15" t="s">
        <v>949</v>
      </c>
      <c r="E2756" s="15"/>
      <c r="F2756" s="15" t="s">
        <v>934</v>
      </c>
      <c r="G2756" s="15" t="s">
        <v>112</v>
      </c>
      <c r="H2756" s="15"/>
    </row>
    <row r="2757" customFormat="false" ht="15" hidden="false" customHeight="true" outlineLevel="0" collapsed="false">
      <c r="A2757" s="15" t="s">
        <v>365</v>
      </c>
      <c r="B2757" s="15" t="s">
        <v>366</v>
      </c>
      <c r="C2757" s="15" t="s">
        <v>84</v>
      </c>
      <c r="D2757" s="15" t="n">
        <v>190</v>
      </c>
      <c r="E2757" s="15" t="s">
        <v>725</v>
      </c>
      <c r="F2757" s="15" t="s">
        <v>934</v>
      </c>
      <c r="G2757" s="15" t="s">
        <v>112</v>
      </c>
      <c r="H2757" s="15"/>
    </row>
    <row r="2758" customFormat="false" ht="39" hidden="false" customHeight="true" outlineLevel="0" collapsed="false">
      <c r="A2758" s="15" t="s">
        <v>365</v>
      </c>
      <c r="B2758" s="15" t="s">
        <v>366</v>
      </c>
      <c r="C2758" s="15" t="s">
        <v>98</v>
      </c>
      <c r="D2758" s="15" t="s">
        <v>950</v>
      </c>
      <c r="E2758" s="15"/>
      <c r="F2758" s="15" t="s">
        <v>934</v>
      </c>
      <c r="G2758" s="15" t="s">
        <v>112</v>
      </c>
      <c r="H2758" s="15"/>
    </row>
    <row r="2759" customFormat="false" ht="15" hidden="false" customHeight="true" outlineLevel="0" collapsed="false">
      <c r="A2759" s="15" t="s">
        <v>365</v>
      </c>
      <c r="B2759" s="15" t="s">
        <v>366</v>
      </c>
      <c r="C2759" s="15" t="s">
        <v>942</v>
      </c>
      <c r="D2759" s="15" t="s">
        <v>951</v>
      </c>
      <c r="E2759" s="15"/>
      <c r="F2759" s="15" t="s">
        <v>934</v>
      </c>
      <c r="G2759" s="15" t="s">
        <v>112</v>
      </c>
      <c r="H2759" s="15"/>
    </row>
    <row r="2760" customFormat="false" ht="15" hidden="false" customHeight="true" outlineLevel="0" collapsed="false">
      <c r="A2760" s="15" t="s">
        <v>365</v>
      </c>
      <c r="B2760" s="15" t="s">
        <v>366</v>
      </c>
      <c r="C2760" s="15" t="s">
        <v>749</v>
      </c>
      <c r="D2760" s="15" t="s">
        <v>120</v>
      </c>
      <c r="E2760" s="15"/>
      <c r="F2760" s="15" t="s">
        <v>934</v>
      </c>
      <c r="G2760" s="15" t="s">
        <v>112</v>
      </c>
      <c r="H2760" s="15"/>
    </row>
    <row r="2761" customFormat="false" ht="15" hidden="false" customHeight="true" outlineLevel="0" collapsed="false">
      <c r="A2761" s="15" t="s">
        <v>365</v>
      </c>
      <c r="B2761" s="15" t="s">
        <v>366</v>
      </c>
      <c r="C2761" s="15" t="s">
        <v>752</v>
      </c>
      <c r="D2761" s="15" t="s">
        <v>753</v>
      </c>
      <c r="E2761" s="15"/>
      <c r="F2761" s="15" t="s">
        <v>934</v>
      </c>
      <c r="G2761" s="15" t="s">
        <v>112</v>
      </c>
      <c r="H2761" s="15"/>
    </row>
    <row r="2762" customFormat="false" ht="15" hidden="false" customHeight="true" outlineLevel="0" collapsed="false">
      <c r="A2762" s="15" t="s">
        <v>365</v>
      </c>
      <c r="B2762" s="15" t="s">
        <v>366</v>
      </c>
      <c r="C2762" s="15" t="s">
        <v>90</v>
      </c>
      <c r="D2762" s="15" t="s">
        <v>120</v>
      </c>
      <c r="E2762" s="15"/>
      <c r="F2762" s="15" t="s">
        <v>934</v>
      </c>
      <c r="G2762" s="15" t="s">
        <v>112</v>
      </c>
      <c r="H2762" s="15"/>
    </row>
    <row r="2763" customFormat="false" ht="15" hidden="false" customHeight="true" outlineLevel="0" collapsed="false">
      <c r="A2763" s="15" t="s">
        <v>365</v>
      </c>
      <c r="B2763" s="15" t="s">
        <v>366</v>
      </c>
      <c r="C2763" s="15" t="s">
        <v>754</v>
      </c>
      <c r="D2763" s="15" t="s">
        <v>755</v>
      </c>
      <c r="E2763" s="15"/>
      <c r="F2763" s="15" t="s">
        <v>934</v>
      </c>
      <c r="G2763" s="15" t="s">
        <v>112</v>
      </c>
      <c r="H2763" s="15"/>
    </row>
    <row r="2764" customFormat="false" ht="15" hidden="false" customHeight="true" outlineLevel="0" collapsed="false">
      <c r="A2764" s="15" t="s">
        <v>365</v>
      </c>
      <c r="B2764" s="15" t="s">
        <v>366</v>
      </c>
      <c r="C2764" s="15" t="s">
        <v>759</v>
      </c>
      <c r="D2764" s="15" t="s">
        <v>947</v>
      </c>
      <c r="E2764" s="15"/>
      <c r="F2764" s="15" t="s">
        <v>934</v>
      </c>
      <c r="G2764" s="15" t="s">
        <v>112</v>
      </c>
      <c r="H2764" s="15"/>
    </row>
    <row r="2765" customFormat="false" ht="15" hidden="false" customHeight="true" outlineLevel="0" collapsed="false">
      <c r="A2765" s="15" t="s">
        <v>365</v>
      </c>
      <c r="B2765" s="15" t="s">
        <v>366</v>
      </c>
      <c r="C2765" s="15" t="s">
        <v>743</v>
      </c>
      <c r="D2765" s="15" t="s">
        <v>948</v>
      </c>
      <c r="E2765" s="15"/>
      <c r="F2765" s="15" t="s">
        <v>934</v>
      </c>
      <c r="G2765" s="15" t="s">
        <v>112</v>
      </c>
      <c r="H2765" s="15"/>
    </row>
    <row r="2766" customFormat="false" ht="15" hidden="false" customHeight="true" outlineLevel="0" collapsed="false">
      <c r="A2766" s="15" t="s">
        <v>365</v>
      </c>
      <c r="B2766" s="15" t="s">
        <v>366</v>
      </c>
      <c r="C2766" s="15" t="s">
        <v>946</v>
      </c>
      <c r="D2766" s="15" t="s">
        <v>755</v>
      </c>
      <c r="E2766" s="15"/>
      <c r="F2766" s="15" t="s">
        <v>934</v>
      </c>
      <c r="G2766" s="15" t="s">
        <v>112</v>
      </c>
      <c r="H2766" s="15"/>
    </row>
    <row r="2767" customFormat="false" ht="15" hidden="false" customHeight="true" outlineLevel="0" collapsed="false">
      <c r="A2767" s="15" t="s">
        <v>368</v>
      </c>
      <c r="B2767" s="15" t="s">
        <v>369</v>
      </c>
      <c r="C2767" s="15" t="s">
        <v>769</v>
      </c>
      <c r="D2767" s="15" t="n">
        <v>5</v>
      </c>
      <c r="E2767" s="15" t="s">
        <v>721</v>
      </c>
      <c r="F2767" s="15" t="s">
        <v>934</v>
      </c>
      <c r="G2767" s="15" t="s">
        <v>112</v>
      </c>
      <c r="H2767" s="15"/>
    </row>
    <row r="2768" customFormat="false" ht="15" hidden="false" customHeight="true" outlineLevel="0" collapsed="false">
      <c r="A2768" s="15" t="s">
        <v>368</v>
      </c>
      <c r="B2768" s="15" t="s">
        <v>369</v>
      </c>
      <c r="C2768" s="15" t="s">
        <v>714</v>
      </c>
      <c r="D2768" s="15" t="n">
        <v>215</v>
      </c>
      <c r="E2768" s="15" t="s">
        <v>715</v>
      </c>
      <c r="F2768" s="15" t="s">
        <v>934</v>
      </c>
      <c r="G2768" s="15" t="s">
        <v>112</v>
      </c>
      <c r="H2768" s="15"/>
    </row>
    <row r="2769" customFormat="false" ht="15" hidden="false" customHeight="true" outlineLevel="0" collapsed="false">
      <c r="A2769" s="15" t="s">
        <v>368</v>
      </c>
      <c r="B2769" s="15" t="s">
        <v>369</v>
      </c>
      <c r="C2769" s="15" t="s">
        <v>718</v>
      </c>
      <c r="D2769" s="15" t="s">
        <v>302</v>
      </c>
      <c r="E2769" s="15"/>
      <c r="F2769" s="15" t="s">
        <v>934</v>
      </c>
      <c r="G2769" s="15" t="s">
        <v>112</v>
      </c>
      <c r="H2769" s="15"/>
    </row>
    <row r="2770" customFormat="false" ht="15" hidden="false" customHeight="true" outlineLevel="0" collapsed="false">
      <c r="A2770" s="15" t="s">
        <v>368</v>
      </c>
      <c r="B2770" s="15" t="s">
        <v>369</v>
      </c>
      <c r="C2770" s="15" t="s">
        <v>935</v>
      </c>
      <c r="D2770" s="15" t="s">
        <v>936</v>
      </c>
      <c r="E2770" s="15"/>
      <c r="F2770" s="15" t="s">
        <v>934</v>
      </c>
      <c r="G2770" s="15" t="s">
        <v>112</v>
      </c>
      <c r="H2770" s="15"/>
    </row>
    <row r="2771" customFormat="false" ht="15" hidden="false" customHeight="true" outlineLevel="0" collapsed="false">
      <c r="A2771" s="15" t="s">
        <v>368</v>
      </c>
      <c r="B2771" s="15" t="s">
        <v>369</v>
      </c>
      <c r="C2771" s="15" t="s">
        <v>722</v>
      </c>
      <c r="D2771" s="15" t="n">
        <v>350</v>
      </c>
      <c r="E2771" s="15" t="s">
        <v>723</v>
      </c>
      <c r="F2771" s="15" t="s">
        <v>934</v>
      </c>
      <c r="G2771" s="15" t="s">
        <v>112</v>
      </c>
      <c r="H2771" s="15"/>
    </row>
    <row r="2772" customFormat="false" ht="15" hidden="false" customHeight="true" outlineLevel="0" collapsed="false">
      <c r="A2772" s="15" t="s">
        <v>368</v>
      </c>
      <c r="B2772" s="15" t="s">
        <v>369</v>
      </c>
      <c r="C2772" s="15" t="s">
        <v>726</v>
      </c>
      <c r="D2772" s="15" t="n">
        <v>3995</v>
      </c>
      <c r="E2772" s="15" t="s">
        <v>725</v>
      </c>
      <c r="F2772" s="15" t="s">
        <v>934</v>
      </c>
      <c r="G2772" s="15" t="s">
        <v>112</v>
      </c>
      <c r="H2772" s="15"/>
    </row>
    <row r="2773" customFormat="false" ht="15" hidden="false" customHeight="true" outlineLevel="0" collapsed="false">
      <c r="A2773" s="15" t="s">
        <v>368</v>
      </c>
      <c r="B2773" s="15" t="s">
        <v>369</v>
      </c>
      <c r="C2773" s="15" t="s">
        <v>727</v>
      </c>
      <c r="D2773" s="15" t="n">
        <v>1802</v>
      </c>
      <c r="E2773" s="15" t="s">
        <v>725</v>
      </c>
      <c r="F2773" s="15" t="s">
        <v>934</v>
      </c>
      <c r="G2773" s="15" t="s">
        <v>112</v>
      </c>
      <c r="H2773" s="15"/>
    </row>
    <row r="2774" customFormat="false" ht="15" hidden="false" customHeight="true" outlineLevel="0" collapsed="false">
      <c r="A2774" s="15" t="s">
        <v>368</v>
      </c>
      <c r="B2774" s="15" t="s">
        <v>369</v>
      </c>
      <c r="C2774" s="15" t="s">
        <v>728</v>
      </c>
      <c r="D2774" s="15" t="n">
        <v>1625</v>
      </c>
      <c r="E2774" s="15" t="s">
        <v>725</v>
      </c>
      <c r="F2774" s="15" t="s">
        <v>934</v>
      </c>
      <c r="G2774" s="15" t="s">
        <v>112</v>
      </c>
      <c r="H2774" s="15"/>
    </row>
    <row r="2775" customFormat="false" ht="15" hidden="false" customHeight="true" outlineLevel="0" collapsed="false">
      <c r="A2775" s="15" t="s">
        <v>368</v>
      </c>
      <c r="B2775" s="15" t="s">
        <v>369</v>
      </c>
      <c r="C2775" s="15" t="s">
        <v>729</v>
      </c>
      <c r="D2775" s="15" t="n">
        <v>2498</v>
      </c>
      <c r="E2775" s="15" t="s">
        <v>725</v>
      </c>
      <c r="F2775" s="15" t="s">
        <v>934</v>
      </c>
      <c r="G2775" s="15" t="s">
        <v>112</v>
      </c>
      <c r="H2775" s="15"/>
    </row>
    <row r="2776" customFormat="false" ht="15" hidden="false" customHeight="true" outlineLevel="0" collapsed="false">
      <c r="A2776" s="15" t="s">
        <v>368</v>
      </c>
      <c r="B2776" s="15" t="s">
        <v>369</v>
      </c>
      <c r="C2776" s="15" t="s">
        <v>776</v>
      </c>
      <c r="D2776" s="15" t="s">
        <v>937</v>
      </c>
      <c r="E2776" s="15"/>
      <c r="F2776" s="15" t="s">
        <v>934</v>
      </c>
      <c r="G2776" s="15" t="s">
        <v>112</v>
      </c>
      <c r="H2776" s="15"/>
    </row>
    <row r="2777" customFormat="false" ht="15" hidden="false" customHeight="true" outlineLevel="0" collapsed="false">
      <c r="A2777" s="15" t="s">
        <v>368</v>
      </c>
      <c r="B2777" s="15" t="s">
        <v>369</v>
      </c>
      <c r="C2777" s="15" t="s">
        <v>789</v>
      </c>
      <c r="D2777" s="15" t="s">
        <v>790</v>
      </c>
      <c r="E2777" s="15"/>
      <c r="F2777" s="15" t="s">
        <v>934</v>
      </c>
      <c r="G2777" s="15" t="s">
        <v>112</v>
      </c>
      <c r="H2777" s="15"/>
    </row>
    <row r="2778" customFormat="false" ht="15" hidden="false" customHeight="true" outlineLevel="0" collapsed="false">
      <c r="A2778" s="15" t="s">
        <v>368</v>
      </c>
      <c r="B2778" s="15" t="s">
        <v>369</v>
      </c>
      <c r="C2778" s="15" t="s">
        <v>835</v>
      </c>
      <c r="D2778" s="15" t="s">
        <v>836</v>
      </c>
      <c r="E2778" s="15"/>
      <c r="F2778" s="15" t="s">
        <v>934</v>
      </c>
      <c r="G2778" s="15" t="s">
        <v>112</v>
      </c>
      <c r="H2778" s="15"/>
    </row>
    <row r="2779" customFormat="false" ht="15" hidden="false" customHeight="true" outlineLevel="0" collapsed="false">
      <c r="A2779" s="15" t="s">
        <v>368</v>
      </c>
      <c r="B2779" s="15" t="s">
        <v>369</v>
      </c>
      <c r="C2779" s="15" t="s">
        <v>833</v>
      </c>
      <c r="D2779" s="15" t="s">
        <v>938</v>
      </c>
      <c r="E2779" s="15"/>
      <c r="F2779" s="15" t="s">
        <v>934</v>
      </c>
      <c r="G2779" s="15" t="s">
        <v>112</v>
      </c>
      <c r="H2779" s="15"/>
    </row>
    <row r="2780" customFormat="false" ht="15" hidden="false" customHeight="true" outlineLevel="0" collapsed="false">
      <c r="A2780" s="15" t="s">
        <v>368</v>
      </c>
      <c r="B2780" s="15" t="s">
        <v>369</v>
      </c>
      <c r="C2780" s="15" t="s">
        <v>86</v>
      </c>
      <c r="D2780" s="15" t="n">
        <v>6</v>
      </c>
      <c r="E2780" s="15" t="s">
        <v>721</v>
      </c>
      <c r="F2780" s="15" t="s">
        <v>934</v>
      </c>
      <c r="G2780" s="15" t="s">
        <v>112</v>
      </c>
      <c r="H2780" s="15"/>
    </row>
    <row r="2781" customFormat="false" ht="15" hidden="false" customHeight="true" outlineLevel="0" collapsed="false">
      <c r="A2781" s="15" t="s">
        <v>368</v>
      </c>
      <c r="B2781" s="15" t="s">
        <v>369</v>
      </c>
      <c r="C2781" s="15" t="s">
        <v>737</v>
      </c>
      <c r="D2781" s="15" t="n">
        <v>106</v>
      </c>
      <c r="E2781" s="15" t="s">
        <v>738</v>
      </c>
      <c r="F2781" s="15" t="s">
        <v>934</v>
      </c>
      <c r="G2781" s="15" t="s">
        <v>112</v>
      </c>
      <c r="H2781" s="15"/>
    </row>
    <row r="2782" customFormat="false" ht="15" hidden="false" customHeight="true" outlineLevel="0" collapsed="false">
      <c r="A2782" s="15" t="s">
        <v>368</v>
      </c>
      <c r="B2782" s="15" t="s">
        <v>369</v>
      </c>
      <c r="C2782" s="15" t="s">
        <v>739</v>
      </c>
      <c r="D2782" s="15" t="n">
        <v>60</v>
      </c>
      <c r="E2782" s="15" t="s">
        <v>738</v>
      </c>
      <c r="F2782" s="15" t="s">
        <v>934</v>
      </c>
      <c r="G2782" s="15" t="s">
        <v>112</v>
      </c>
      <c r="H2782" s="15"/>
    </row>
    <row r="2783" customFormat="false" ht="15" hidden="false" customHeight="true" outlineLevel="0" collapsed="false">
      <c r="A2783" s="15" t="s">
        <v>368</v>
      </c>
      <c r="B2783" s="15" t="s">
        <v>369</v>
      </c>
      <c r="C2783" s="15" t="s">
        <v>939</v>
      </c>
      <c r="D2783" s="15" t="n">
        <v>40</v>
      </c>
      <c r="E2783" s="15"/>
      <c r="F2783" s="15" t="s">
        <v>934</v>
      </c>
      <c r="G2783" s="15" t="s">
        <v>112</v>
      </c>
      <c r="H2783" s="15"/>
    </row>
    <row r="2784" customFormat="false" ht="26.25" hidden="false" customHeight="true" outlineLevel="0" collapsed="false">
      <c r="A2784" s="15" t="s">
        <v>368</v>
      </c>
      <c r="B2784" s="15" t="s">
        <v>369</v>
      </c>
      <c r="C2784" s="15" t="s">
        <v>940</v>
      </c>
      <c r="D2784" s="15" t="n">
        <v>6.6</v>
      </c>
      <c r="E2784" s="15"/>
      <c r="F2784" s="15" t="s">
        <v>934</v>
      </c>
      <c r="G2784" s="15" t="s">
        <v>112</v>
      </c>
      <c r="H2784" s="15"/>
    </row>
    <row r="2785" customFormat="false" ht="15" hidden="false" customHeight="true" outlineLevel="0" collapsed="false">
      <c r="A2785" s="15" t="s">
        <v>368</v>
      </c>
      <c r="B2785" s="15" t="s">
        <v>369</v>
      </c>
      <c r="C2785" s="15" t="s">
        <v>733</v>
      </c>
      <c r="D2785" s="15" t="s">
        <v>949</v>
      </c>
      <c r="E2785" s="15"/>
      <c r="F2785" s="15" t="s">
        <v>934</v>
      </c>
      <c r="G2785" s="15" t="s">
        <v>112</v>
      </c>
      <c r="H2785" s="15"/>
    </row>
    <row r="2786" customFormat="false" ht="15" hidden="false" customHeight="true" outlineLevel="0" collapsed="false">
      <c r="A2786" s="15" t="s">
        <v>368</v>
      </c>
      <c r="B2786" s="15" t="s">
        <v>369</v>
      </c>
      <c r="C2786" s="15" t="s">
        <v>84</v>
      </c>
      <c r="D2786" s="15" t="n">
        <v>190</v>
      </c>
      <c r="E2786" s="15" t="s">
        <v>725</v>
      </c>
      <c r="F2786" s="15" t="s">
        <v>934</v>
      </c>
      <c r="G2786" s="15" t="s">
        <v>112</v>
      </c>
      <c r="H2786" s="15"/>
    </row>
    <row r="2787" customFormat="false" ht="39" hidden="false" customHeight="true" outlineLevel="0" collapsed="false">
      <c r="A2787" s="15" t="s">
        <v>368</v>
      </c>
      <c r="B2787" s="15" t="s">
        <v>369</v>
      </c>
      <c r="C2787" s="15" t="s">
        <v>98</v>
      </c>
      <c r="D2787" s="15" t="s">
        <v>950</v>
      </c>
      <c r="E2787" s="15"/>
      <c r="F2787" s="15" t="s">
        <v>934</v>
      </c>
      <c r="G2787" s="15" t="s">
        <v>112</v>
      </c>
      <c r="H2787" s="15"/>
    </row>
    <row r="2788" customFormat="false" ht="15" hidden="false" customHeight="true" outlineLevel="0" collapsed="false">
      <c r="A2788" s="15" t="s">
        <v>368</v>
      </c>
      <c r="B2788" s="15" t="s">
        <v>369</v>
      </c>
      <c r="C2788" s="15" t="s">
        <v>942</v>
      </c>
      <c r="D2788" s="15" t="s">
        <v>951</v>
      </c>
      <c r="E2788" s="15"/>
      <c r="F2788" s="15" t="s">
        <v>934</v>
      </c>
      <c r="G2788" s="15" t="s">
        <v>112</v>
      </c>
      <c r="H2788" s="15"/>
    </row>
    <row r="2789" customFormat="false" ht="15" hidden="false" customHeight="true" outlineLevel="0" collapsed="false">
      <c r="A2789" s="15" t="s">
        <v>368</v>
      </c>
      <c r="B2789" s="15" t="s">
        <v>369</v>
      </c>
      <c r="C2789" s="15" t="s">
        <v>749</v>
      </c>
      <c r="D2789" s="15" t="s">
        <v>120</v>
      </c>
      <c r="E2789" s="15"/>
      <c r="F2789" s="15" t="s">
        <v>934</v>
      </c>
      <c r="G2789" s="15" t="s">
        <v>112</v>
      </c>
      <c r="H2789" s="15"/>
    </row>
    <row r="2790" customFormat="false" ht="15" hidden="false" customHeight="true" outlineLevel="0" collapsed="false">
      <c r="A2790" s="15" t="s">
        <v>368</v>
      </c>
      <c r="B2790" s="15" t="s">
        <v>369</v>
      </c>
      <c r="C2790" s="15" t="s">
        <v>752</v>
      </c>
      <c r="D2790" s="15" t="s">
        <v>952</v>
      </c>
      <c r="E2790" s="15"/>
      <c r="F2790" s="15" t="s">
        <v>934</v>
      </c>
      <c r="G2790" s="15" t="s">
        <v>112</v>
      </c>
      <c r="H2790" s="15"/>
    </row>
    <row r="2791" customFormat="false" ht="15" hidden="false" customHeight="true" outlineLevel="0" collapsed="false">
      <c r="A2791" s="15" t="s">
        <v>368</v>
      </c>
      <c r="B2791" s="15" t="s">
        <v>369</v>
      </c>
      <c r="C2791" s="15" t="s">
        <v>90</v>
      </c>
      <c r="D2791" s="15" t="s">
        <v>953</v>
      </c>
      <c r="E2791" s="15"/>
      <c r="F2791" s="15" t="s">
        <v>934</v>
      </c>
      <c r="G2791" s="15" t="s">
        <v>112</v>
      </c>
      <c r="H2791" s="15"/>
    </row>
    <row r="2792" customFormat="false" ht="15" hidden="false" customHeight="true" outlineLevel="0" collapsed="false">
      <c r="A2792" s="15" t="s">
        <v>368</v>
      </c>
      <c r="B2792" s="15" t="s">
        <v>369</v>
      </c>
      <c r="C2792" s="15" t="s">
        <v>754</v>
      </c>
      <c r="D2792" s="15" t="s">
        <v>755</v>
      </c>
      <c r="E2792" s="15"/>
      <c r="F2792" s="15" t="s">
        <v>934</v>
      </c>
      <c r="G2792" s="15" t="s">
        <v>112</v>
      </c>
      <c r="H2792" s="15"/>
    </row>
    <row r="2793" customFormat="false" ht="15" hidden="false" customHeight="true" outlineLevel="0" collapsed="false">
      <c r="A2793" s="15" t="s">
        <v>368</v>
      </c>
      <c r="B2793" s="15" t="s">
        <v>369</v>
      </c>
      <c r="C2793" s="15" t="s">
        <v>759</v>
      </c>
      <c r="D2793" s="15" t="s">
        <v>954</v>
      </c>
      <c r="E2793" s="15"/>
      <c r="F2793" s="15" t="s">
        <v>934</v>
      </c>
      <c r="G2793" s="15" t="s">
        <v>112</v>
      </c>
      <c r="H2793" s="15"/>
    </row>
    <row r="2794" customFormat="false" ht="15" hidden="false" customHeight="true" outlineLevel="0" collapsed="false">
      <c r="A2794" s="15" t="s">
        <v>368</v>
      </c>
      <c r="B2794" s="15" t="s">
        <v>369</v>
      </c>
      <c r="C2794" s="15" t="s">
        <v>743</v>
      </c>
      <c r="D2794" s="15" t="s">
        <v>948</v>
      </c>
      <c r="E2794" s="15"/>
      <c r="F2794" s="15" t="s">
        <v>934</v>
      </c>
      <c r="G2794" s="15" t="s">
        <v>112</v>
      </c>
      <c r="H2794" s="15"/>
    </row>
    <row r="2795" customFormat="false" ht="15" hidden="false" customHeight="true" outlineLevel="0" collapsed="false">
      <c r="A2795" s="15" t="s">
        <v>368</v>
      </c>
      <c r="B2795" s="15" t="s">
        <v>369</v>
      </c>
      <c r="C2795" s="15" t="s">
        <v>946</v>
      </c>
      <c r="D2795" s="15" t="s">
        <v>755</v>
      </c>
      <c r="E2795" s="15"/>
      <c r="F2795" s="15" t="s">
        <v>934</v>
      </c>
      <c r="G2795" s="15" t="s">
        <v>112</v>
      </c>
      <c r="H2795" s="15"/>
    </row>
    <row r="2796" customFormat="false" ht="15" hidden="false" customHeight="true" outlineLevel="0" collapsed="false">
      <c r="A2796" s="15" t="s">
        <v>368</v>
      </c>
      <c r="B2796" s="15" t="s">
        <v>369</v>
      </c>
      <c r="C2796" s="15" t="s">
        <v>848</v>
      </c>
      <c r="D2796" s="15" t="s">
        <v>849</v>
      </c>
      <c r="E2796" s="15"/>
      <c r="F2796" s="15" t="s">
        <v>934</v>
      </c>
      <c r="G2796" s="15" t="s">
        <v>112</v>
      </c>
      <c r="H2796" s="15"/>
    </row>
    <row r="2797" customFormat="false" ht="15" hidden="false" customHeight="true" outlineLevel="0" collapsed="false">
      <c r="A2797" s="15" t="s">
        <v>371</v>
      </c>
      <c r="B2797" s="15" t="s">
        <v>372</v>
      </c>
      <c r="C2797" s="15" t="s">
        <v>769</v>
      </c>
      <c r="D2797" s="15" t="n">
        <v>5</v>
      </c>
      <c r="E2797" s="15" t="s">
        <v>721</v>
      </c>
      <c r="F2797" s="15" t="s">
        <v>934</v>
      </c>
      <c r="G2797" s="15" t="s">
        <v>112</v>
      </c>
      <c r="H2797" s="15"/>
    </row>
    <row r="2798" customFormat="false" ht="15" hidden="false" customHeight="true" outlineLevel="0" collapsed="false">
      <c r="A2798" s="15" t="s">
        <v>371</v>
      </c>
      <c r="B2798" s="15" t="s">
        <v>372</v>
      </c>
      <c r="C2798" s="15" t="s">
        <v>714</v>
      </c>
      <c r="D2798" s="15" t="n">
        <v>215</v>
      </c>
      <c r="E2798" s="15" t="s">
        <v>715</v>
      </c>
      <c r="F2798" s="15" t="s">
        <v>934</v>
      </c>
      <c r="G2798" s="15" t="s">
        <v>112</v>
      </c>
      <c r="H2798" s="15"/>
    </row>
    <row r="2799" customFormat="false" ht="15" hidden="false" customHeight="true" outlineLevel="0" collapsed="false">
      <c r="A2799" s="15" t="s">
        <v>371</v>
      </c>
      <c r="B2799" s="15" t="s">
        <v>372</v>
      </c>
      <c r="C2799" s="15" t="s">
        <v>718</v>
      </c>
      <c r="D2799" s="15" t="s">
        <v>302</v>
      </c>
      <c r="E2799" s="15"/>
      <c r="F2799" s="15" t="s">
        <v>934</v>
      </c>
      <c r="G2799" s="15" t="s">
        <v>112</v>
      </c>
      <c r="H2799" s="15"/>
    </row>
    <row r="2800" customFormat="false" ht="15" hidden="false" customHeight="true" outlineLevel="0" collapsed="false">
      <c r="A2800" s="15" t="s">
        <v>371</v>
      </c>
      <c r="B2800" s="15" t="s">
        <v>372</v>
      </c>
      <c r="C2800" s="15" t="s">
        <v>935</v>
      </c>
      <c r="D2800" s="15" t="s">
        <v>936</v>
      </c>
      <c r="E2800" s="15"/>
      <c r="F2800" s="15" t="s">
        <v>934</v>
      </c>
      <c r="G2800" s="15" t="s">
        <v>112</v>
      </c>
      <c r="H2800" s="15"/>
    </row>
    <row r="2801" customFormat="false" ht="15" hidden="false" customHeight="true" outlineLevel="0" collapsed="false">
      <c r="A2801" s="15" t="s">
        <v>371</v>
      </c>
      <c r="B2801" s="15" t="s">
        <v>372</v>
      </c>
      <c r="C2801" s="15" t="s">
        <v>722</v>
      </c>
      <c r="D2801" s="15" t="n">
        <v>350</v>
      </c>
      <c r="E2801" s="15" t="s">
        <v>723</v>
      </c>
      <c r="F2801" s="15" t="s">
        <v>934</v>
      </c>
      <c r="G2801" s="15" t="s">
        <v>112</v>
      </c>
      <c r="H2801" s="15"/>
    </row>
    <row r="2802" customFormat="false" ht="15" hidden="false" customHeight="true" outlineLevel="0" collapsed="false">
      <c r="A2802" s="15" t="s">
        <v>371</v>
      </c>
      <c r="B2802" s="15" t="s">
        <v>372</v>
      </c>
      <c r="C2802" s="15" t="s">
        <v>726</v>
      </c>
      <c r="D2802" s="15" t="n">
        <v>3995</v>
      </c>
      <c r="E2802" s="15" t="s">
        <v>725</v>
      </c>
      <c r="F2802" s="15" t="s">
        <v>934</v>
      </c>
      <c r="G2802" s="15" t="s">
        <v>112</v>
      </c>
      <c r="H2802" s="15"/>
    </row>
    <row r="2803" customFormat="false" ht="15" hidden="false" customHeight="true" outlineLevel="0" collapsed="false">
      <c r="A2803" s="15" t="s">
        <v>371</v>
      </c>
      <c r="B2803" s="15" t="s">
        <v>372</v>
      </c>
      <c r="C2803" s="15" t="s">
        <v>727</v>
      </c>
      <c r="D2803" s="15" t="n">
        <v>1802</v>
      </c>
      <c r="E2803" s="15" t="s">
        <v>725</v>
      </c>
      <c r="F2803" s="15" t="s">
        <v>934</v>
      </c>
      <c r="G2803" s="15" t="s">
        <v>112</v>
      </c>
      <c r="H2803" s="15"/>
    </row>
    <row r="2804" customFormat="false" ht="15" hidden="false" customHeight="true" outlineLevel="0" collapsed="false">
      <c r="A2804" s="15" t="s">
        <v>371</v>
      </c>
      <c r="B2804" s="15" t="s">
        <v>372</v>
      </c>
      <c r="C2804" s="15" t="s">
        <v>728</v>
      </c>
      <c r="D2804" s="15" t="n">
        <v>1625</v>
      </c>
      <c r="E2804" s="15" t="s">
        <v>725</v>
      </c>
      <c r="F2804" s="15" t="s">
        <v>934</v>
      </c>
      <c r="G2804" s="15" t="s">
        <v>112</v>
      </c>
      <c r="H2804" s="15"/>
    </row>
    <row r="2805" customFormat="false" ht="15" hidden="false" customHeight="true" outlineLevel="0" collapsed="false">
      <c r="A2805" s="15" t="s">
        <v>371</v>
      </c>
      <c r="B2805" s="15" t="s">
        <v>372</v>
      </c>
      <c r="C2805" s="15" t="s">
        <v>729</v>
      </c>
      <c r="D2805" s="15" t="n">
        <v>2498</v>
      </c>
      <c r="E2805" s="15" t="s">
        <v>725</v>
      </c>
      <c r="F2805" s="15" t="s">
        <v>934</v>
      </c>
      <c r="G2805" s="15" t="s">
        <v>112</v>
      </c>
      <c r="H2805" s="15"/>
    </row>
    <row r="2806" customFormat="false" ht="15" hidden="false" customHeight="true" outlineLevel="0" collapsed="false">
      <c r="A2806" s="15" t="s">
        <v>371</v>
      </c>
      <c r="B2806" s="15" t="s">
        <v>372</v>
      </c>
      <c r="C2806" s="15" t="s">
        <v>776</v>
      </c>
      <c r="D2806" s="15" t="s">
        <v>937</v>
      </c>
      <c r="E2806" s="15"/>
      <c r="F2806" s="15" t="s">
        <v>934</v>
      </c>
      <c r="G2806" s="15" t="s">
        <v>112</v>
      </c>
      <c r="H2806" s="15"/>
    </row>
    <row r="2807" customFormat="false" ht="15" hidden="false" customHeight="true" outlineLevel="0" collapsed="false">
      <c r="A2807" s="15" t="s">
        <v>371</v>
      </c>
      <c r="B2807" s="15" t="s">
        <v>372</v>
      </c>
      <c r="C2807" s="15" t="s">
        <v>789</v>
      </c>
      <c r="D2807" s="15" t="s">
        <v>790</v>
      </c>
      <c r="E2807" s="15"/>
      <c r="F2807" s="15" t="s">
        <v>934</v>
      </c>
      <c r="G2807" s="15" t="s">
        <v>112</v>
      </c>
      <c r="H2807" s="15"/>
    </row>
    <row r="2808" customFormat="false" ht="15" hidden="false" customHeight="true" outlineLevel="0" collapsed="false">
      <c r="A2808" s="15" t="s">
        <v>371</v>
      </c>
      <c r="B2808" s="15" t="s">
        <v>372</v>
      </c>
      <c r="C2808" s="15" t="s">
        <v>835</v>
      </c>
      <c r="D2808" s="15" t="s">
        <v>836</v>
      </c>
      <c r="E2808" s="15"/>
      <c r="F2808" s="15" t="s">
        <v>934</v>
      </c>
      <c r="G2808" s="15" t="s">
        <v>112</v>
      </c>
      <c r="H2808" s="15"/>
    </row>
    <row r="2809" customFormat="false" ht="15" hidden="false" customHeight="true" outlineLevel="0" collapsed="false">
      <c r="A2809" s="15" t="s">
        <v>371</v>
      </c>
      <c r="B2809" s="15" t="s">
        <v>372</v>
      </c>
      <c r="C2809" s="15" t="s">
        <v>833</v>
      </c>
      <c r="D2809" s="15" t="s">
        <v>938</v>
      </c>
      <c r="E2809" s="15"/>
      <c r="F2809" s="15" t="s">
        <v>934</v>
      </c>
      <c r="G2809" s="15" t="s">
        <v>112</v>
      </c>
      <c r="H2809" s="15"/>
    </row>
    <row r="2810" customFormat="false" ht="15" hidden="false" customHeight="true" outlineLevel="0" collapsed="false">
      <c r="A2810" s="15" t="s">
        <v>371</v>
      </c>
      <c r="B2810" s="15" t="s">
        <v>372</v>
      </c>
      <c r="C2810" s="15" t="s">
        <v>86</v>
      </c>
      <c r="D2810" s="15" t="n">
        <v>6</v>
      </c>
      <c r="E2810" s="15" t="s">
        <v>721</v>
      </c>
      <c r="F2810" s="15" t="s">
        <v>934</v>
      </c>
      <c r="G2810" s="15" t="s">
        <v>112</v>
      </c>
      <c r="H2810" s="15"/>
    </row>
    <row r="2811" customFormat="false" ht="15" hidden="false" customHeight="true" outlineLevel="0" collapsed="false">
      <c r="A2811" s="15" t="s">
        <v>371</v>
      </c>
      <c r="B2811" s="15" t="s">
        <v>372</v>
      </c>
      <c r="C2811" s="15" t="s">
        <v>737</v>
      </c>
      <c r="D2811" s="15" t="n">
        <v>106</v>
      </c>
      <c r="E2811" s="15" t="s">
        <v>738</v>
      </c>
      <c r="F2811" s="15" t="s">
        <v>934</v>
      </c>
      <c r="G2811" s="15" t="s">
        <v>112</v>
      </c>
      <c r="H2811" s="15"/>
    </row>
    <row r="2812" customFormat="false" ht="15" hidden="false" customHeight="true" outlineLevel="0" collapsed="false">
      <c r="A2812" s="15" t="s">
        <v>371</v>
      </c>
      <c r="B2812" s="15" t="s">
        <v>372</v>
      </c>
      <c r="C2812" s="15" t="s">
        <v>739</v>
      </c>
      <c r="D2812" s="15" t="n">
        <v>60</v>
      </c>
      <c r="E2812" s="15" t="s">
        <v>738</v>
      </c>
      <c r="F2812" s="15" t="s">
        <v>934</v>
      </c>
      <c r="G2812" s="15" t="s">
        <v>112</v>
      </c>
      <c r="H2812" s="15"/>
    </row>
    <row r="2813" customFormat="false" ht="15" hidden="false" customHeight="true" outlineLevel="0" collapsed="false">
      <c r="A2813" s="15" t="s">
        <v>371</v>
      </c>
      <c r="B2813" s="15" t="s">
        <v>372</v>
      </c>
      <c r="C2813" s="15" t="s">
        <v>939</v>
      </c>
      <c r="D2813" s="15" t="n">
        <v>40</v>
      </c>
      <c r="E2813" s="15"/>
      <c r="F2813" s="15" t="s">
        <v>934</v>
      </c>
      <c r="G2813" s="15" t="s">
        <v>112</v>
      </c>
      <c r="H2813" s="15"/>
    </row>
    <row r="2814" customFormat="false" ht="26.25" hidden="false" customHeight="true" outlineLevel="0" collapsed="false">
      <c r="A2814" s="15" t="s">
        <v>371</v>
      </c>
      <c r="B2814" s="15" t="s">
        <v>372</v>
      </c>
      <c r="C2814" s="15" t="s">
        <v>940</v>
      </c>
      <c r="D2814" s="15" t="n">
        <v>6.6</v>
      </c>
      <c r="E2814" s="15"/>
      <c r="F2814" s="15" t="s">
        <v>934</v>
      </c>
      <c r="G2814" s="15" t="s">
        <v>112</v>
      </c>
      <c r="H2814" s="15"/>
    </row>
    <row r="2815" customFormat="false" ht="15" hidden="false" customHeight="true" outlineLevel="0" collapsed="false">
      <c r="A2815" s="15" t="s">
        <v>371</v>
      </c>
      <c r="B2815" s="15" t="s">
        <v>372</v>
      </c>
      <c r="C2815" s="15" t="s">
        <v>733</v>
      </c>
      <c r="D2815" s="15" t="s">
        <v>949</v>
      </c>
      <c r="E2815" s="15"/>
      <c r="F2815" s="15" t="s">
        <v>934</v>
      </c>
      <c r="G2815" s="15" t="s">
        <v>112</v>
      </c>
      <c r="H2815" s="15"/>
    </row>
    <row r="2816" customFormat="false" ht="15" hidden="false" customHeight="true" outlineLevel="0" collapsed="false">
      <c r="A2816" s="15" t="s">
        <v>371</v>
      </c>
      <c r="B2816" s="15" t="s">
        <v>372</v>
      </c>
      <c r="C2816" s="15" t="s">
        <v>84</v>
      </c>
      <c r="D2816" s="15" t="n">
        <v>190</v>
      </c>
      <c r="E2816" s="15" t="s">
        <v>725</v>
      </c>
      <c r="F2816" s="15" t="s">
        <v>934</v>
      </c>
      <c r="G2816" s="15" t="s">
        <v>112</v>
      </c>
      <c r="H2816" s="15"/>
    </row>
    <row r="2817" customFormat="false" ht="39" hidden="false" customHeight="true" outlineLevel="0" collapsed="false">
      <c r="A2817" s="15" t="s">
        <v>371</v>
      </c>
      <c r="B2817" s="15" t="s">
        <v>372</v>
      </c>
      <c r="C2817" s="15" t="s">
        <v>98</v>
      </c>
      <c r="D2817" s="15" t="s">
        <v>950</v>
      </c>
      <c r="E2817" s="15"/>
      <c r="F2817" s="15" t="s">
        <v>934</v>
      </c>
      <c r="G2817" s="15" t="s">
        <v>112</v>
      </c>
      <c r="H2817" s="15"/>
    </row>
    <row r="2818" customFormat="false" ht="15" hidden="false" customHeight="true" outlineLevel="0" collapsed="false">
      <c r="A2818" s="15" t="s">
        <v>371</v>
      </c>
      <c r="B2818" s="15" t="s">
        <v>372</v>
      </c>
      <c r="C2818" s="15" t="s">
        <v>942</v>
      </c>
      <c r="D2818" s="15" t="s">
        <v>951</v>
      </c>
      <c r="E2818" s="15"/>
      <c r="F2818" s="15" t="s">
        <v>934</v>
      </c>
      <c r="G2818" s="15" t="s">
        <v>112</v>
      </c>
      <c r="H2818" s="15"/>
    </row>
    <row r="2819" customFormat="false" ht="15" hidden="false" customHeight="true" outlineLevel="0" collapsed="false">
      <c r="A2819" s="15" t="s">
        <v>371</v>
      </c>
      <c r="B2819" s="15" t="s">
        <v>372</v>
      </c>
      <c r="C2819" s="15" t="s">
        <v>749</v>
      </c>
      <c r="D2819" s="15" t="s">
        <v>955</v>
      </c>
      <c r="E2819" s="15"/>
      <c r="F2819" s="15" t="s">
        <v>934</v>
      </c>
      <c r="G2819" s="15" t="s">
        <v>112</v>
      </c>
      <c r="H2819" s="15"/>
    </row>
    <row r="2820" customFormat="false" ht="15" hidden="false" customHeight="true" outlineLevel="0" collapsed="false">
      <c r="A2820" s="15" t="s">
        <v>371</v>
      </c>
      <c r="B2820" s="15" t="s">
        <v>372</v>
      </c>
      <c r="C2820" s="15" t="s">
        <v>752</v>
      </c>
      <c r="D2820" s="15" t="s">
        <v>952</v>
      </c>
      <c r="E2820" s="15"/>
      <c r="F2820" s="15" t="s">
        <v>934</v>
      </c>
      <c r="G2820" s="15" t="s">
        <v>112</v>
      </c>
      <c r="H2820" s="15"/>
    </row>
    <row r="2821" customFormat="false" ht="15" hidden="false" customHeight="true" outlineLevel="0" collapsed="false">
      <c r="A2821" s="15" t="s">
        <v>371</v>
      </c>
      <c r="B2821" s="15" t="s">
        <v>372</v>
      </c>
      <c r="C2821" s="15" t="s">
        <v>90</v>
      </c>
      <c r="D2821" s="15" t="s">
        <v>134</v>
      </c>
      <c r="E2821" s="15"/>
      <c r="F2821" s="15" t="s">
        <v>934</v>
      </c>
      <c r="G2821" s="15" t="s">
        <v>112</v>
      </c>
      <c r="H2821" s="15"/>
    </row>
    <row r="2822" customFormat="false" ht="15" hidden="false" customHeight="true" outlineLevel="0" collapsed="false">
      <c r="A2822" s="15" t="s">
        <v>371</v>
      </c>
      <c r="B2822" s="15" t="s">
        <v>372</v>
      </c>
      <c r="C2822" s="15" t="s">
        <v>754</v>
      </c>
      <c r="D2822" s="15" t="s">
        <v>803</v>
      </c>
      <c r="E2822" s="15"/>
      <c r="F2822" s="15" t="s">
        <v>934</v>
      </c>
      <c r="G2822" s="15" t="s">
        <v>112</v>
      </c>
      <c r="H2822" s="15"/>
    </row>
    <row r="2823" customFormat="false" ht="15" hidden="false" customHeight="true" outlineLevel="0" collapsed="false">
      <c r="A2823" s="15" t="s">
        <v>371</v>
      </c>
      <c r="B2823" s="15" t="s">
        <v>372</v>
      </c>
      <c r="C2823" s="15" t="s">
        <v>759</v>
      </c>
      <c r="D2823" s="15" t="s">
        <v>956</v>
      </c>
      <c r="E2823" s="15"/>
      <c r="F2823" s="15" t="s">
        <v>934</v>
      </c>
      <c r="G2823" s="15" t="s">
        <v>112</v>
      </c>
      <c r="H2823" s="15"/>
    </row>
    <row r="2824" customFormat="false" ht="15" hidden="false" customHeight="true" outlineLevel="0" collapsed="false">
      <c r="A2824" s="15" t="s">
        <v>371</v>
      </c>
      <c r="B2824" s="15" t="s">
        <v>372</v>
      </c>
      <c r="C2824" s="15" t="s">
        <v>743</v>
      </c>
      <c r="D2824" s="15" t="s">
        <v>957</v>
      </c>
      <c r="E2824" s="15"/>
      <c r="F2824" s="15" t="s">
        <v>934</v>
      </c>
      <c r="G2824" s="15" t="s">
        <v>112</v>
      </c>
      <c r="H2824" s="15"/>
    </row>
    <row r="2825" customFormat="false" ht="15" hidden="false" customHeight="true" outlineLevel="0" collapsed="false">
      <c r="A2825" s="15" t="s">
        <v>371</v>
      </c>
      <c r="B2825" s="15" t="s">
        <v>372</v>
      </c>
      <c r="C2825" s="15" t="s">
        <v>946</v>
      </c>
      <c r="D2825" s="15" t="s">
        <v>958</v>
      </c>
      <c r="E2825" s="15"/>
      <c r="F2825" s="15" t="s">
        <v>934</v>
      </c>
      <c r="G2825" s="15" t="s">
        <v>112</v>
      </c>
      <c r="H2825" s="15"/>
    </row>
    <row r="2826" customFormat="false" ht="15" hidden="false" customHeight="true" outlineLevel="0" collapsed="false">
      <c r="A2826" s="15" t="s">
        <v>371</v>
      </c>
      <c r="B2826" s="15" t="s">
        <v>372</v>
      </c>
      <c r="C2826" s="15" t="s">
        <v>848</v>
      </c>
      <c r="D2826" s="15" t="s">
        <v>849</v>
      </c>
      <c r="E2826" s="15"/>
      <c r="F2826" s="15" t="s">
        <v>934</v>
      </c>
      <c r="G2826" s="15" t="s">
        <v>112</v>
      </c>
      <c r="H2826" s="15"/>
    </row>
    <row r="2827" customFormat="false" ht="15" hidden="false" customHeight="true" outlineLevel="0" collapsed="false">
      <c r="A2827" s="15" t="s">
        <v>371</v>
      </c>
      <c r="B2827" s="15" t="s">
        <v>372</v>
      </c>
      <c r="C2827" s="15" t="s">
        <v>724</v>
      </c>
      <c r="D2827" s="15" t="s">
        <v>959</v>
      </c>
      <c r="E2827" s="15" t="s">
        <v>723</v>
      </c>
      <c r="F2827" s="15" t="s">
        <v>934</v>
      </c>
      <c r="G2827" s="15" t="s">
        <v>112</v>
      </c>
      <c r="H2827" s="15"/>
    </row>
    <row r="2828" customFormat="false" ht="15" hidden="false" customHeight="true" outlineLevel="0" collapsed="false">
      <c r="A2828" s="15" t="s">
        <v>371</v>
      </c>
      <c r="B2828" s="15" t="s">
        <v>372</v>
      </c>
      <c r="C2828" s="15" t="s">
        <v>960</v>
      </c>
      <c r="D2828" s="15" t="n">
        <v>3</v>
      </c>
      <c r="E2828" s="15"/>
      <c r="F2828" s="15" t="s">
        <v>934</v>
      </c>
      <c r="G2828" s="15" t="s">
        <v>112</v>
      </c>
      <c r="H2828" s="15"/>
    </row>
    <row r="2829" customFormat="false" ht="15" hidden="false" customHeight="true" outlineLevel="0" collapsed="false">
      <c r="A2829" s="15" t="s">
        <v>374</v>
      </c>
      <c r="B2829" s="15" t="s">
        <v>376</v>
      </c>
      <c r="C2829" s="15" t="s">
        <v>769</v>
      </c>
      <c r="D2829" s="15" t="n">
        <v>5</v>
      </c>
      <c r="E2829" s="15" t="s">
        <v>721</v>
      </c>
      <c r="F2829" s="15" t="s">
        <v>961</v>
      </c>
      <c r="G2829" s="15" t="s">
        <v>112</v>
      </c>
      <c r="H2829" s="15"/>
    </row>
    <row r="2830" customFormat="false" ht="15" hidden="false" customHeight="true" outlineLevel="0" collapsed="false">
      <c r="A2830" s="15" t="s">
        <v>374</v>
      </c>
      <c r="B2830" s="15" t="s">
        <v>376</v>
      </c>
      <c r="C2830" s="15" t="s">
        <v>714</v>
      </c>
      <c r="D2830" s="15" t="n">
        <v>154</v>
      </c>
      <c r="E2830" s="15" t="s">
        <v>715</v>
      </c>
      <c r="F2830" s="15" t="s">
        <v>961</v>
      </c>
      <c r="G2830" s="15" t="s">
        <v>112</v>
      </c>
      <c r="H2830" s="15"/>
    </row>
    <row r="2831" customFormat="false" ht="15" hidden="false" customHeight="true" outlineLevel="0" collapsed="false">
      <c r="A2831" s="15" t="s">
        <v>374</v>
      </c>
      <c r="B2831" s="15" t="s">
        <v>376</v>
      </c>
      <c r="C2831" s="15" t="s">
        <v>718</v>
      </c>
      <c r="D2831" s="15" t="s">
        <v>302</v>
      </c>
      <c r="E2831" s="15"/>
      <c r="F2831" s="15" t="s">
        <v>961</v>
      </c>
      <c r="G2831" s="15" t="s">
        <v>112</v>
      </c>
      <c r="H2831" s="15"/>
    </row>
    <row r="2832" customFormat="false" ht="15" hidden="false" customHeight="true" outlineLevel="0" collapsed="false">
      <c r="A2832" s="15" t="s">
        <v>374</v>
      </c>
      <c r="B2832" s="15" t="s">
        <v>376</v>
      </c>
      <c r="C2832" s="15" t="s">
        <v>935</v>
      </c>
      <c r="D2832" s="15" t="s">
        <v>936</v>
      </c>
      <c r="E2832" s="15"/>
      <c r="F2832" s="15" t="s">
        <v>961</v>
      </c>
      <c r="G2832" s="15" t="s">
        <v>112</v>
      </c>
      <c r="H2832" s="15"/>
    </row>
    <row r="2833" customFormat="false" ht="15" hidden="false" customHeight="true" outlineLevel="0" collapsed="false">
      <c r="A2833" s="15" t="s">
        <v>374</v>
      </c>
      <c r="B2833" s="15" t="s">
        <v>376</v>
      </c>
      <c r="C2833" s="15" t="s">
        <v>84</v>
      </c>
      <c r="D2833" s="15" t="n">
        <v>195</v>
      </c>
      <c r="E2833" s="15" t="s">
        <v>725</v>
      </c>
      <c r="F2833" s="15" t="s">
        <v>961</v>
      </c>
      <c r="G2833" s="15" t="s">
        <v>112</v>
      </c>
      <c r="H2833" s="15"/>
    </row>
    <row r="2834" customFormat="false" ht="15" hidden="false" customHeight="true" outlineLevel="0" collapsed="false">
      <c r="A2834" s="15" t="s">
        <v>374</v>
      </c>
      <c r="B2834" s="15" t="s">
        <v>376</v>
      </c>
      <c r="C2834" s="15" t="s">
        <v>722</v>
      </c>
      <c r="D2834" s="15" t="n">
        <v>366</v>
      </c>
      <c r="E2834" s="15" t="s">
        <v>723</v>
      </c>
      <c r="F2834" s="15" t="s">
        <v>961</v>
      </c>
      <c r="G2834" s="15" t="s">
        <v>112</v>
      </c>
      <c r="H2834" s="15"/>
    </row>
    <row r="2835" customFormat="false" ht="15" hidden="false" customHeight="true" outlineLevel="0" collapsed="false">
      <c r="A2835" s="15" t="s">
        <v>374</v>
      </c>
      <c r="B2835" s="15" t="s">
        <v>376</v>
      </c>
      <c r="C2835" s="15" t="s">
        <v>726</v>
      </c>
      <c r="D2835" s="15" t="n">
        <v>3880</v>
      </c>
      <c r="E2835" s="15" t="s">
        <v>725</v>
      </c>
      <c r="F2835" s="15" t="s">
        <v>961</v>
      </c>
      <c r="G2835" s="15" t="s">
        <v>112</v>
      </c>
      <c r="H2835" s="15"/>
    </row>
    <row r="2836" customFormat="false" ht="15" hidden="false" customHeight="true" outlineLevel="0" collapsed="false">
      <c r="A2836" s="15" t="s">
        <v>374</v>
      </c>
      <c r="B2836" s="15" t="s">
        <v>376</v>
      </c>
      <c r="C2836" s="15" t="s">
        <v>727</v>
      </c>
      <c r="D2836" s="15" t="n">
        <v>1742</v>
      </c>
      <c r="E2836" s="15" t="s">
        <v>725</v>
      </c>
      <c r="F2836" s="15" t="s">
        <v>961</v>
      </c>
      <c r="G2836" s="15" t="s">
        <v>112</v>
      </c>
      <c r="H2836" s="15"/>
    </row>
    <row r="2837" customFormat="false" ht="15" hidden="false" customHeight="true" outlineLevel="0" collapsed="false">
      <c r="A2837" s="15" t="s">
        <v>374</v>
      </c>
      <c r="B2837" s="15" t="s">
        <v>376</v>
      </c>
      <c r="C2837" s="15" t="s">
        <v>728</v>
      </c>
      <c r="D2837" s="15" t="n">
        <v>1622</v>
      </c>
      <c r="E2837" s="15" t="s">
        <v>725</v>
      </c>
      <c r="F2837" s="15" t="s">
        <v>961</v>
      </c>
      <c r="G2837" s="15" t="s">
        <v>112</v>
      </c>
      <c r="H2837" s="15"/>
    </row>
    <row r="2838" customFormat="false" ht="15" hidden="false" customHeight="true" outlineLevel="0" collapsed="false">
      <c r="A2838" s="15" t="s">
        <v>374</v>
      </c>
      <c r="B2838" s="15" t="s">
        <v>376</v>
      </c>
      <c r="C2838" s="15" t="s">
        <v>729</v>
      </c>
      <c r="D2838" s="15" t="n">
        <v>2445</v>
      </c>
      <c r="E2838" s="15" t="s">
        <v>725</v>
      </c>
      <c r="F2838" s="15" t="s">
        <v>961</v>
      </c>
      <c r="G2838" s="15" t="s">
        <v>112</v>
      </c>
      <c r="H2838" s="15"/>
    </row>
    <row r="2839" customFormat="false" ht="15" hidden="false" customHeight="true" outlineLevel="0" collapsed="false">
      <c r="A2839" s="15" t="s">
        <v>374</v>
      </c>
      <c r="B2839" s="15" t="s">
        <v>376</v>
      </c>
      <c r="C2839" s="15" t="s">
        <v>739</v>
      </c>
      <c r="D2839" s="15" t="s">
        <v>962</v>
      </c>
      <c r="E2839" s="15" t="s">
        <v>738</v>
      </c>
      <c r="F2839" s="15" t="s">
        <v>961</v>
      </c>
      <c r="G2839" s="15" t="s">
        <v>112</v>
      </c>
      <c r="H2839" s="15"/>
    </row>
    <row r="2840" customFormat="false" ht="15" hidden="false" customHeight="true" outlineLevel="0" collapsed="false">
      <c r="A2840" s="15" t="s">
        <v>374</v>
      </c>
      <c r="B2840" s="15" t="s">
        <v>376</v>
      </c>
      <c r="C2840" s="15" t="s">
        <v>939</v>
      </c>
      <c r="D2840" s="15" t="n">
        <v>30</v>
      </c>
      <c r="E2840" s="15"/>
      <c r="F2840" s="15" t="s">
        <v>961</v>
      </c>
      <c r="G2840" s="15" t="s">
        <v>112</v>
      </c>
      <c r="H2840" s="15"/>
    </row>
    <row r="2841" customFormat="false" ht="15" hidden="false" customHeight="true" outlineLevel="0" collapsed="false">
      <c r="A2841" s="15" t="s">
        <v>374</v>
      </c>
      <c r="B2841" s="15" t="s">
        <v>376</v>
      </c>
      <c r="C2841" s="15" t="s">
        <v>789</v>
      </c>
      <c r="D2841" s="15" t="s">
        <v>790</v>
      </c>
      <c r="E2841" s="15"/>
      <c r="F2841" s="15" t="s">
        <v>961</v>
      </c>
      <c r="G2841" s="15" t="s">
        <v>112</v>
      </c>
      <c r="H2841" s="15"/>
    </row>
    <row r="2842" customFormat="false" ht="15" hidden="false" customHeight="true" outlineLevel="0" collapsed="false">
      <c r="A2842" s="15" t="s">
        <v>374</v>
      </c>
      <c r="B2842" s="15" t="s">
        <v>376</v>
      </c>
      <c r="C2842" s="15" t="s">
        <v>875</v>
      </c>
      <c r="D2842" s="15" t="s">
        <v>963</v>
      </c>
      <c r="E2842" s="15"/>
      <c r="F2842" s="15" t="s">
        <v>961</v>
      </c>
      <c r="G2842" s="15" t="s">
        <v>112</v>
      </c>
      <c r="H2842" s="15"/>
    </row>
    <row r="2843" customFormat="false" ht="15" hidden="false" customHeight="true" outlineLevel="0" collapsed="false">
      <c r="A2843" s="15" t="s">
        <v>374</v>
      </c>
      <c r="B2843" s="15" t="s">
        <v>376</v>
      </c>
      <c r="C2843" s="15" t="s">
        <v>835</v>
      </c>
      <c r="D2843" s="15" t="s">
        <v>836</v>
      </c>
      <c r="E2843" s="15"/>
      <c r="F2843" s="15" t="s">
        <v>961</v>
      </c>
      <c r="G2843" s="15" t="s">
        <v>112</v>
      </c>
      <c r="H2843" s="15"/>
    </row>
    <row r="2844" customFormat="false" ht="15" hidden="false" customHeight="true" outlineLevel="0" collapsed="false">
      <c r="A2844" s="15" t="s">
        <v>374</v>
      </c>
      <c r="B2844" s="15" t="s">
        <v>376</v>
      </c>
      <c r="C2844" s="15" t="s">
        <v>833</v>
      </c>
      <c r="D2844" s="15" t="s">
        <v>938</v>
      </c>
      <c r="E2844" s="15"/>
      <c r="F2844" s="15" t="s">
        <v>961</v>
      </c>
      <c r="G2844" s="15" t="s">
        <v>112</v>
      </c>
      <c r="H2844" s="15"/>
    </row>
    <row r="2845" customFormat="false" ht="15" hidden="false" customHeight="true" outlineLevel="0" collapsed="false">
      <c r="A2845" s="15" t="s">
        <v>374</v>
      </c>
      <c r="B2845" s="15" t="s">
        <v>376</v>
      </c>
      <c r="C2845" s="15" t="s">
        <v>86</v>
      </c>
      <c r="D2845" s="15" t="n">
        <v>6</v>
      </c>
      <c r="E2845" s="15" t="s">
        <v>721</v>
      </c>
      <c r="F2845" s="15" t="s">
        <v>961</v>
      </c>
      <c r="G2845" s="15" t="s">
        <v>112</v>
      </c>
      <c r="H2845" s="15"/>
    </row>
    <row r="2846" customFormat="false" ht="15" hidden="false" customHeight="true" outlineLevel="0" collapsed="false">
      <c r="A2846" s="15" t="s">
        <v>374</v>
      </c>
      <c r="B2846" s="15" t="s">
        <v>376</v>
      </c>
      <c r="C2846" s="15" t="s">
        <v>737</v>
      </c>
      <c r="D2846" s="15" t="n">
        <v>65</v>
      </c>
      <c r="E2846" s="15" t="s">
        <v>738</v>
      </c>
      <c r="F2846" s="15" t="s">
        <v>961</v>
      </c>
      <c r="G2846" s="15" t="s">
        <v>112</v>
      </c>
      <c r="H2846" s="15"/>
    </row>
    <row r="2847" customFormat="false" ht="15" hidden="false" customHeight="true" outlineLevel="0" collapsed="false">
      <c r="A2847" s="15" t="s">
        <v>374</v>
      </c>
      <c r="B2847" s="15" t="s">
        <v>376</v>
      </c>
      <c r="C2847" s="15" t="s">
        <v>811</v>
      </c>
      <c r="D2847" s="15" t="n">
        <v>13.5</v>
      </c>
      <c r="E2847" s="15" t="s">
        <v>812</v>
      </c>
      <c r="F2847" s="15" t="s">
        <v>961</v>
      </c>
      <c r="G2847" s="15" t="s">
        <v>112</v>
      </c>
      <c r="H2847" s="15"/>
    </row>
    <row r="2848" customFormat="false" ht="15" hidden="false" customHeight="true" outlineLevel="0" collapsed="false">
      <c r="A2848" s="15" t="s">
        <v>374</v>
      </c>
      <c r="B2848" s="15" t="s">
        <v>376</v>
      </c>
      <c r="C2848" s="15" t="s">
        <v>733</v>
      </c>
      <c r="D2848" s="15" t="s">
        <v>964</v>
      </c>
      <c r="E2848" s="15"/>
      <c r="F2848" s="15" t="s">
        <v>961</v>
      </c>
      <c r="G2848" s="15" t="s">
        <v>112</v>
      </c>
      <c r="H2848" s="15"/>
    </row>
    <row r="2849" customFormat="false" ht="15" hidden="false" customHeight="true" outlineLevel="0" collapsed="false">
      <c r="A2849" s="15" t="s">
        <v>374</v>
      </c>
      <c r="B2849" s="15" t="s">
        <v>376</v>
      </c>
      <c r="C2849" s="15" t="s">
        <v>776</v>
      </c>
      <c r="D2849" s="15" t="s">
        <v>965</v>
      </c>
      <c r="E2849" s="15"/>
      <c r="F2849" s="15" t="s">
        <v>961</v>
      </c>
      <c r="G2849" s="15" t="s">
        <v>112</v>
      </c>
      <c r="H2849" s="15"/>
    </row>
    <row r="2850" customFormat="false" ht="15" hidden="false" customHeight="true" outlineLevel="0" collapsed="false">
      <c r="A2850" s="15" t="s">
        <v>374</v>
      </c>
      <c r="B2850" s="15" t="s">
        <v>376</v>
      </c>
      <c r="C2850" s="15" t="s">
        <v>98</v>
      </c>
      <c r="D2850" s="15" t="s">
        <v>836</v>
      </c>
      <c r="E2850" s="15"/>
      <c r="F2850" s="15" t="s">
        <v>961</v>
      </c>
      <c r="G2850" s="15" t="s">
        <v>112</v>
      </c>
      <c r="H2850" s="15"/>
    </row>
    <row r="2851" customFormat="false" ht="15" hidden="false" customHeight="true" outlineLevel="0" collapsed="false">
      <c r="A2851" s="15" t="s">
        <v>374</v>
      </c>
      <c r="B2851" s="15" t="s">
        <v>376</v>
      </c>
      <c r="C2851" s="15" t="s">
        <v>966</v>
      </c>
      <c r="D2851" s="15" t="s">
        <v>967</v>
      </c>
      <c r="E2851" s="15"/>
      <c r="F2851" s="15" t="s">
        <v>961</v>
      </c>
      <c r="G2851" s="15" t="s">
        <v>112</v>
      </c>
      <c r="H2851" s="15" t="s">
        <v>968</v>
      </c>
    </row>
    <row r="2852" customFormat="false" ht="26.25" hidden="false" customHeight="true" outlineLevel="0" collapsed="false">
      <c r="A2852" s="15" t="s">
        <v>374</v>
      </c>
      <c r="B2852" s="15" t="s">
        <v>376</v>
      </c>
      <c r="C2852" s="15" t="s">
        <v>940</v>
      </c>
      <c r="D2852" s="15" t="n">
        <v>4.5</v>
      </c>
      <c r="E2852" s="15"/>
      <c r="F2852" s="15" t="s">
        <v>961</v>
      </c>
      <c r="G2852" s="15" t="s">
        <v>112</v>
      </c>
      <c r="H2852" s="15"/>
    </row>
    <row r="2853" customFormat="false" ht="15" hidden="false" customHeight="true" outlineLevel="0" collapsed="false">
      <c r="A2853" s="15" t="s">
        <v>374</v>
      </c>
      <c r="B2853" s="15" t="s">
        <v>376</v>
      </c>
      <c r="C2853" s="15" t="s">
        <v>749</v>
      </c>
      <c r="D2853" s="15" t="s">
        <v>120</v>
      </c>
      <c r="E2853" s="15"/>
      <c r="F2853" s="15" t="s">
        <v>961</v>
      </c>
      <c r="G2853" s="15" t="s">
        <v>112</v>
      </c>
      <c r="H2853" s="15"/>
    </row>
    <row r="2854" customFormat="false" ht="15" hidden="false" customHeight="true" outlineLevel="0" collapsed="false">
      <c r="A2854" s="15" t="s">
        <v>374</v>
      </c>
      <c r="B2854" s="15" t="s">
        <v>376</v>
      </c>
      <c r="C2854" s="15" t="s">
        <v>752</v>
      </c>
      <c r="D2854" s="15" t="s">
        <v>969</v>
      </c>
      <c r="E2854" s="15"/>
      <c r="F2854" s="15" t="s">
        <v>961</v>
      </c>
      <c r="G2854" s="15" t="s">
        <v>112</v>
      </c>
      <c r="H2854" s="15"/>
    </row>
    <row r="2855" customFormat="false" ht="15" hidden="false" customHeight="true" outlineLevel="0" collapsed="false">
      <c r="A2855" s="15" t="s">
        <v>374</v>
      </c>
      <c r="B2855" s="15" t="s">
        <v>376</v>
      </c>
      <c r="C2855" s="15" t="s">
        <v>90</v>
      </c>
      <c r="D2855" s="15" t="s">
        <v>120</v>
      </c>
      <c r="E2855" s="15"/>
      <c r="F2855" s="15" t="s">
        <v>961</v>
      </c>
      <c r="G2855" s="15" t="s">
        <v>112</v>
      </c>
      <c r="H2855" s="15"/>
    </row>
    <row r="2856" customFormat="false" ht="15" hidden="false" customHeight="true" outlineLevel="0" collapsed="false">
      <c r="A2856" s="15" t="s">
        <v>374</v>
      </c>
      <c r="B2856" s="15" t="s">
        <v>376</v>
      </c>
      <c r="C2856" s="15" t="s">
        <v>754</v>
      </c>
      <c r="D2856" s="15" t="s">
        <v>755</v>
      </c>
      <c r="E2856" s="15"/>
      <c r="F2856" s="15" t="s">
        <v>961</v>
      </c>
      <c r="G2856" s="15" t="s">
        <v>112</v>
      </c>
      <c r="H2856" s="15"/>
    </row>
    <row r="2857" customFormat="false" ht="15" hidden="false" customHeight="true" outlineLevel="0" collapsed="false">
      <c r="A2857" s="15" t="s">
        <v>374</v>
      </c>
      <c r="B2857" s="15" t="s">
        <v>376</v>
      </c>
      <c r="C2857" s="15" t="s">
        <v>743</v>
      </c>
      <c r="D2857" s="15" t="s">
        <v>970</v>
      </c>
      <c r="E2857" s="15"/>
      <c r="F2857" s="15" t="s">
        <v>961</v>
      </c>
      <c r="G2857" s="15" t="s">
        <v>112</v>
      </c>
      <c r="H2857" s="15"/>
    </row>
    <row r="2858" customFormat="false" ht="15" hidden="false" customHeight="true" outlineLevel="0" collapsed="false">
      <c r="A2858" s="15" t="s">
        <v>374</v>
      </c>
      <c r="B2858" s="15" t="s">
        <v>376</v>
      </c>
      <c r="C2858" s="15" t="s">
        <v>759</v>
      </c>
      <c r="D2858" s="15" t="s">
        <v>750</v>
      </c>
      <c r="E2858" s="15"/>
      <c r="F2858" s="15" t="s">
        <v>961</v>
      </c>
      <c r="G2858" s="15" t="s">
        <v>112</v>
      </c>
      <c r="H2858" s="15"/>
    </row>
    <row r="2859" customFormat="false" ht="15" hidden="false" customHeight="true" outlineLevel="0" collapsed="false">
      <c r="A2859" s="15" t="s">
        <v>374</v>
      </c>
      <c r="B2859" s="15" t="s">
        <v>376</v>
      </c>
      <c r="C2859" s="15" t="s">
        <v>946</v>
      </c>
      <c r="D2859" s="15" t="s">
        <v>755</v>
      </c>
      <c r="E2859" s="15"/>
      <c r="F2859" s="15" t="s">
        <v>961</v>
      </c>
      <c r="G2859" s="15" t="s">
        <v>112</v>
      </c>
      <c r="H2859" s="15"/>
    </row>
    <row r="2860" customFormat="false" ht="15" hidden="false" customHeight="true" outlineLevel="0" collapsed="false">
      <c r="A2860" s="15" t="s">
        <v>374</v>
      </c>
      <c r="B2860" s="15" t="s">
        <v>376</v>
      </c>
      <c r="C2860" s="15" t="s">
        <v>920</v>
      </c>
      <c r="D2860" s="15" t="s">
        <v>755</v>
      </c>
      <c r="E2860" s="15"/>
      <c r="F2860" s="15" t="s">
        <v>961</v>
      </c>
      <c r="G2860" s="15" t="s">
        <v>112</v>
      </c>
      <c r="H2860" s="15"/>
    </row>
    <row r="2861" customFormat="false" ht="15" hidden="false" customHeight="true" outlineLevel="0" collapsed="false">
      <c r="A2861" s="15" t="s">
        <v>374</v>
      </c>
      <c r="B2861" s="15" t="s">
        <v>376</v>
      </c>
      <c r="C2861" s="15" t="s">
        <v>87</v>
      </c>
      <c r="D2861" s="15" t="s">
        <v>803</v>
      </c>
      <c r="E2861" s="15"/>
      <c r="F2861" s="15" t="s">
        <v>971</v>
      </c>
      <c r="G2861" s="15" t="s">
        <v>112</v>
      </c>
      <c r="H2861" s="15" t="s">
        <v>972</v>
      </c>
    </row>
    <row r="2862" customFormat="false" ht="15" hidden="false" customHeight="true" outlineLevel="0" collapsed="false">
      <c r="A2862" s="15" t="s">
        <v>374</v>
      </c>
      <c r="B2862" s="15" t="s">
        <v>376</v>
      </c>
      <c r="C2862" s="15" t="s">
        <v>973</v>
      </c>
      <c r="D2862" s="15" t="s">
        <v>803</v>
      </c>
      <c r="E2862" s="15"/>
      <c r="F2862" s="15" t="s">
        <v>971</v>
      </c>
      <c r="G2862" s="15" t="s">
        <v>112</v>
      </c>
      <c r="H2862" s="15" t="s">
        <v>972</v>
      </c>
    </row>
    <row r="2863" customFormat="false" ht="15" hidden="false" customHeight="true" outlineLevel="0" collapsed="false">
      <c r="A2863" s="15" t="s">
        <v>382</v>
      </c>
      <c r="B2863" s="15" t="s">
        <v>383</v>
      </c>
      <c r="C2863" s="15" t="s">
        <v>769</v>
      </c>
      <c r="D2863" s="15" t="n">
        <v>5</v>
      </c>
      <c r="E2863" s="15" t="s">
        <v>721</v>
      </c>
      <c r="F2863" s="15" t="s">
        <v>961</v>
      </c>
      <c r="G2863" s="15" t="s">
        <v>112</v>
      </c>
      <c r="H2863" s="15"/>
    </row>
    <row r="2864" customFormat="false" ht="15" hidden="false" customHeight="true" outlineLevel="0" collapsed="false">
      <c r="A2864" s="15" t="s">
        <v>382</v>
      </c>
      <c r="B2864" s="15" t="s">
        <v>383</v>
      </c>
      <c r="C2864" s="15" t="s">
        <v>714</v>
      </c>
      <c r="D2864" s="15" t="n">
        <v>154</v>
      </c>
      <c r="E2864" s="15" t="s">
        <v>715</v>
      </c>
      <c r="F2864" s="15" t="s">
        <v>961</v>
      </c>
      <c r="G2864" s="15" t="s">
        <v>112</v>
      </c>
      <c r="H2864" s="15"/>
    </row>
    <row r="2865" customFormat="false" ht="15" hidden="false" customHeight="true" outlineLevel="0" collapsed="false">
      <c r="A2865" s="15" t="s">
        <v>382</v>
      </c>
      <c r="B2865" s="15" t="s">
        <v>383</v>
      </c>
      <c r="C2865" s="15" t="s">
        <v>718</v>
      </c>
      <c r="D2865" s="15" t="s">
        <v>302</v>
      </c>
      <c r="E2865" s="15"/>
      <c r="F2865" s="15" t="s">
        <v>961</v>
      </c>
      <c r="G2865" s="15" t="s">
        <v>112</v>
      </c>
      <c r="H2865" s="15"/>
    </row>
    <row r="2866" customFormat="false" ht="15" hidden="false" customHeight="true" outlineLevel="0" collapsed="false">
      <c r="A2866" s="15" t="s">
        <v>382</v>
      </c>
      <c r="B2866" s="15" t="s">
        <v>383</v>
      </c>
      <c r="C2866" s="15" t="s">
        <v>935</v>
      </c>
      <c r="D2866" s="15" t="s">
        <v>936</v>
      </c>
      <c r="E2866" s="15"/>
      <c r="F2866" s="15" t="s">
        <v>961</v>
      </c>
      <c r="G2866" s="15" t="s">
        <v>112</v>
      </c>
      <c r="H2866" s="15"/>
    </row>
    <row r="2867" customFormat="false" ht="15" hidden="false" customHeight="true" outlineLevel="0" collapsed="false">
      <c r="A2867" s="15" t="s">
        <v>382</v>
      </c>
      <c r="B2867" s="15" t="s">
        <v>383</v>
      </c>
      <c r="C2867" s="15" t="s">
        <v>84</v>
      </c>
      <c r="D2867" s="15" t="n">
        <v>195</v>
      </c>
      <c r="E2867" s="15" t="s">
        <v>725</v>
      </c>
      <c r="F2867" s="15" t="s">
        <v>961</v>
      </c>
      <c r="G2867" s="15" t="s">
        <v>112</v>
      </c>
      <c r="H2867" s="15"/>
    </row>
    <row r="2868" customFormat="false" ht="15" hidden="false" customHeight="true" outlineLevel="0" collapsed="false">
      <c r="A2868" s="15" t="s">
        <v>382</v>
      </c>
      <c r="B2868" s="15" t="s">
        <v>383</v>
      </c>
      <c r="C2868" s="15" t="s">
        <v>722</v>
      </c>
      <c r="D2868" s="15" t="n">
        <v>366</v>
      </c>
      <c r="E2868" s="15" t="s">
        <v>723</v>
      </c>
      <c r="F2868" s="15" t="s">
        <v>961</v>
      </c>
      <c r="G2868" s="15" t="s">
        <v>112</v>
      </c>
      <c r="H2868" s="15"/>
    </row>
    <row r="2869" customFormat="false" ht="15" hidden="false" customHeight="true" outlineLevel="0" collapsed="false">
      <c r="A2869" s="15" t="s">
        <v>382</v>
      </c>
      <c r="B2869" s="15" t="s">
        <v>383</v>
      </c>
      <c r="C2869" s="15" t="s">
        <v>726</v>
      </c>
      <c r="D2869" s="15" t="n">
        <v>3880</v>
      </c>
      <c r="E2869" s="15" t="s">
        <v>725</v>
      </c>
      <c r="F2869" s="15" t="s">
        <v>961</v>
      </c>
      <c r="G2869" s="15" t="s">
        <v>112</v>
      </c>
      <c r="H2869" s="15"/>
    </row>
    <row r="2870" customFormat="false" ht="15" hidden="false" customHeight="true" outlineLevel="0" collapsed="false">
      <c r="A2870" s="15" t="s">
        <v>382</v>
      </c>
      <c r="B2870" s="15" t="s">
        <v>383</v>
      </c>
      <c r="C2870" s="15" t="s">
        <v>727</v>
      </c>
      <c r="D2870" s="15" t="n">
        <v>1742</v>
      </c>
      <c r="E2870" s="15" t="s">
        <v>725</v>
      </c>
      <c r="F2870" s="15" t="s">
        <v>961</v>
      </c>
      <c r="G2870" s="15" t="s">
        <v>112</v>
      </c>
      <c r="H2870" s="15"/>
    </row>
    <row r="2871" customFormat="false" ht="15" hidden="false" customHeight="true" outlineLevel="0" collapsed="false">
      <c r="A2871" s="15" t="s">
        <v>382</v>
      </c>
      <c r="B2871" s="15" t="s">
        <v>383</v>
      </c>
      <c r="C2871" s="15" t="s">
        <v>728</v>
      </c>
      <c r="D2871" s="15" t="n">
        <v>1622</v>
      </c>
      <c r="E2871" s="15" t="s">
        <v>725</v>
      </c>
      <c r="F2871" s="15" t="s">
        <v>961</v>
      </c>
      <c r="G2871" s="15" t="s">
        <v>112</v>
      </c>
      <c r="H2871" s="15"/>
    </row>
    <row r="2872" customFormat="false" ht="15" hidden="false" customHeight="true" outlineLevel="0" collapsed="false">
      <c r="A2872" s="15" t="s">
        <v>382</v>
      </c>
      <c r="B2872" s="15" t="s">
        <v>383</v>
      </c>
      <c r="C2872" s="15" t="s">
        <v>729</v>
      </c>
      <c r="D2872" s="15" t="n">
        <v>2445</v>
      </c>
      <c r="E2872" s="15" t="s">
        <v>725</v>
      </c>
      <c r="F2872" s="15" t="s">
        <v>961</v>
      </c>
      <c r="G2872" s="15" t="s">
        <v>112</v>
      </c>
      <c r="H2872" s="15"/>
    </row>
    <row r="2873" customFormat="false" ht="15" hidden="false" customHeight="true" outlineLevel="0" collapsed="false">
      <c r="A2873" s="15" t="s">
        <v>382</v>
      </c>
      <c r="B2873" s="15" t="s">
        <v>383</v>
      </c>
      <c r="C2873" s="15" t="s">
        <v>739</v>
      </c>
      <c r="D2873" s="15" t="s">
        <v>962</v>
      </c>
      <c r="E2873" s="15" t="s">
        <v>738</v>
      </c>
      <c r="F2873" s="15" t="s">
        <v>961</v>
      </c>
      <c r="G2873" s="15" t="s">
        <v>112</v>
      </c>
      <c r="H2873" s="15"/>
    </row>
    <row r="2874" customFormat="false" ht="15" hidden="false" customHeight="true" outlineLevel="0" collapsed="false">
      <c r="A2874" s="15" t="s">
        <v>382</v>
      </c>
      <c r="B2874" s="15" t="s">
        <v>383</v>
      </c>
      <c r="C2874" s="15" t="s">
        <v>939</v>
      </c>
      <c r="D2874" s="15" t="n">
        <v>30</v>
      </c>
      <c r="E2874" s="15"/>
      <c r="F2874" s="15" t="s">
        <v>961</v>
      </c>
      <c r="G2874" s="15" t="s">
        <v>112</v>
      </c>
      <c r="H2874" s="15"/>
    </row>
    <row r="2875" customFormat="false" ht="15" hidden="false" customHeight="true" outlineLevel="0" collapsed="false">
      <c r="A2875" s="15" t="s">
        <v>382</v>
      </c>
      <c r="B2875" s="15" t="s">
        <v>383</v>
      </c>
      <c r="C2875" s="15" t="s">
        <v>789</v>
      </c>
      <c r="D2875" s="15" t="s">
        <v>790</v>
      </c>
      <c r="E2875" s="15"/>
      <c r="F2875" s="15" t="s">
        <v>961</v>
      </c>
      <c r="G2875" s="15" t="s">
        <v>112</v>
      </c>
      <c r="H2875" s="15"/>
    </row>
    <row r="2876" customFormat="false" ht="15" hidden="false" customHeight="true" outlineLevel="0" collapsed="false">
      <c r="A2876" s="15" t="s">
        <v>382</v>
      </c>
      <c r="B2876" s="15" t="s">
        <v>383</v>
      </c>
      <c r="C2876" s="15" t="s">
        <v>875</v>
      </c>
      <c r="D2876" s="15" t="s">
        <v>963</v>
      </c>
      <c r="E2876" s="15"/>
      <c r="F2876" s="15" t="s">
        <v>961</v>
      </c>
      <c r="G2876" s="15" t="s">
        <v>112</v>
      </c>
      <c r="H2876" s="15"/>
    </row>
    <row r="2877" customFormat="false" ht="15" hidden="false" customHeight="true" outlineLevel="0" collapsed="false">
      <c r="A2877" s="15" t="s">
        <v>382</v>
      </c>
      <c r="B2877" s="15" t="s">
        <v>383</v>
      </c>
      <c r="C2877" s="15" t="s">
        <v>835</v>
      </c>
      <c r="D2877" s="15" t="s">
        <v>836</v>
      </c>
      <c r="E2877" s="15"/>
      <c r="F2877" s="15" t="s">
        <v>961</v>
      </c>
      <c r="G2877" s="15" t="s">
        <v>112</v>
      </c>
      <c r="H2877" s="15"/>
    </row>
    <row r="2878" customFormat="false" ht="15" hidden="false" customHeight="true" outlineLevel="0" collapsed="false">
      <c r="A2878" s="15" t="s">
        <v>382</v>
      </c>
      <c r="B2878" s="15" t="s">
        <v>383</v>
      </c>
      <c r="C2878" s="15" t="s">
        <v>833</v>
      </c>
      <c r="D2878" s="15" t="s">
        <v>938</v>
      </c>
      <c r="E2878" s="15"/>
      <c r="F2878" s="15" t="s">
        <v>961</v>
      </c>
      <c r="G2878" s="15" t="s">
        <v>112</v>
      </c>
      <c r="H2878" s="15"/>
    </row>
    <row r="2879" customFormat="false" ht="15" hidden="false" customHeight="true" outlineLevel="0" collapsed="false">
      <c r="A2879" s="15" t="s">
        <v>382</v>
      </c>
      <c r="B2879" s="15" t="s">
        <v>383</v>
      </c>
      <c r="C2879" s="15" t="s">
        <v>86</v>
      </c>
      <c r="D2879" s="15" t="n">
        <v>6</v>
      </c>
      <c r="E2879" s="15" t="s">
        <v>721</v>
      </c>
      <c r="F2879" s="15" t="s">
        <v>961</v>
      </c>
      <c r="G2879" s="15" t="s">
        <v>112</v>
      </c>
      <c r="H2879" s="15"/>
    </row>
    <row r="2880" customFormat="false" ht="15" hidden="false" customHeight="true" outlineLevel="0" collapsed="false">
      <c r="A2880" s="15" t="s">
        <v>382</v>
      </c>
      <c r="B2880" s="15" t="s">
        <v>383</v>
      </c>
      <c r="C2880" s="15" t="s">
        <v>737</v>
      </c>
      <c r="D2880" s="15" t="n">
        <v>65</v>
      </c>
      <c r="E2880" s="15" t="s">
        <v>738</v>
      </c>
      <c r="F2880" s="15" t="s">
        <v>961</v>
      </c>
      <c r="G2880" s="15" t="s">
        <v>112</v>
      </c>
      <c r="H2880" s="15"/>
    </row>
    <row r="2881" customFormat="false" ht="15" hidden="false" customHeight="true" outlineLevel="0" collapsed="false">
      <c r="A2881" s="15" t="s">
        <v>382</v>
      </c>
      <c r="B2881" s="15" t="s">
        <v>383</v>
      </c>
      <c r="C2881" s="15" t="s">
        <v>811</v>
      </c>
      <c r="D2881" s="15" t="n">
        <v>13.5</v>
      </c>
      <c r="E2881" s="15" t="s">
        <v>812</v>
      </c>
      <c r="F2881" s="15" t="s">
        <v>961</v>
      </c>
      <c r="G2881" s="15" t="s">
        <v>112</v>
      </c>
      <c r="H2881" s="15"/>
    </row>
    <row r="2882" customFormat="false" ht="15" hidden="false" customHeight="true" outlineLevel="0" collapsed="false">
      <c r="A2882" s="15" t="s">
        <v>382</v>
      </c>
      <c r="B2882" s="15" t="s">
        <v>383</v>
      </c>
      <c r="C2882" s="15" t="s">
        <v>733</v>
      </c>
      <c r="D2882" s="15" t="s">
        <v>964</v>
      </c>
      <c r="E2882" s="15"/>
      <c r="F2882" s="15" t="s">
        <v>961</v>
      </c>
      <c r="G2882" s="15" t="s">
        <v>112</v>
      </c>
      <c r="H2882" s="15"/>
    </row>
    <row r="2883" customFormat="false" ht="15" hidden="false" customHeight="true" outlineLevel="0" collapsed="false">
      <c r="A2883" s="15" t="s">
        <v>382</v>
      </c>
      <c r="B2883" s="15" t="s">
        <v>383</v>
      </c>
      <c r="C2883" s="15" t="s">
        <v>776</v>
      </c>
      <c r="D2883" s="15" t="s">
        <v>965</v>
      </c>
      <c r="E2883" s="15"/>
      <c r="F2883" s="15" t="s">
        <v>961</v>
      </c>
      <c r="G2883" s="15" t="s">
        <v>112</v>
      </c>
      <c r="H2883" s="15"/>
    </row>
    <row r="2884" customFormat="false" ht="15" hidden="false" customHeight="true" outlineLevel="0" collapsed="false">
      <c r="A2884" s="15" t="s">
        <v>382</v>
      </c>
      <c r="B2884" s="15" t="s">
        <v>383</v>
      </c>
      <c r="C2884" s="15" t="s">
        <v>98</v>
      </c>
      <c r="D2884" s="15" t="s">
        <v>836</v>
      </c>
      <c r="E2884" s="15"/>
      <c r="F2884" s="15" t="s">
        <v>961</v>
      </c>
      <c r="G2884" s="15" t="s">
        <v>112</v>
      </c>
      <c r="H2884" s="15"/>
    </row>
    <row r="2885" customFormat="false" ht="15" hidden="false" customHeight="true" outlineLevel="0" collapsed="false">
      <c r="A2885" s="15" t="s">
        <v>382</v>
      </c>
      <c r="B2885" s="15" t="s">
        <v>383</v>
      </c>
      <c r="C2885" s="15" t="s">
        <v>966</v>
      </c>
      <c r="D2885" s="15" t="s">
        <v>967</v>
      </c>
      <c r="E2885" s="15"/>
      <c r="F2885" s="15" t="s">
        <v>961</v>
      </c>
      <c r="G2885" s="15" t="s">
        <v>112</v>
      </c>
      <c r="H2885" s="15" t="s">
        <v>968</v>
      </c>
    </row>
    <row r="2886" customFormat="false" ht="26.25" hidden="false" customHeight="true" outlineLevel="0" collapsed="false">
      <c r="A2886" s="15" t="s">
        <v>382</v>
      </c>
      <c r="B2886" s="15" t="s">
        <v>383</v>
      </c>
      <c r="C2886" s="15" t="s">
        <v>940</v>
      </c>
      <c r="D2886" s="15" t="n">
        <v>4.5</v>
      </c>
      <c r="E2886" s="15"/>
      <c r="F2886" s="15" t="s">
        <v>961</v>
      </c>
      <c r="G2886" s="15" t="s">
        <v>112</v>
      </c>
      <c r="H2886" s="15"/>
    </row>
    <row r="2887" customFormat="false" ht="15" hidden="false" customHeight="true" outlineLevel="0" collapsed="false">
      <c r="A2887" s="15" t="s">
        <v>382</v>
      </c>
      <c r="B2887" s="15" t="s">
        <v>383</v>
      </c>
      <c r="C2887" s="15" t="s">
        <v>749</v>
      </c>
      <c r="D2887" s="15" t="s">
        <v>120</v>
      </c>
      <c r="E2887" s="15"/>
      <c r="F2887" s="15" t="s">
        <v>961</v>
      </c>
      <c r="G2887" s="15" t="s">
        <v>112</v>
      </c>
      <c r="H2887" s="15"/>
    </row>
    <row r="2888" customFormat="false" ht="15" hidden="false" customHeight="true" outlineLevel="0" collapsed="false">
      <c r="A2888" s="15" t="s">
        <v>382</v>
      </c>
      <c r="B2888" s="15" t="s">
        <v>383</v>
      </c>
      <c r="C2888" s="15" t="s">
        <v>752</v>
      </c>
      <c r="D2888" s="15" t="s">
        <v>969</v>
      </c>
      <c r="E2888" s="15"/>
      <c r="F2888" s="15" t="s">
        <v>961</v>
      </c>
      <c r="G2888" s="15" t="s">
        <v>112</v>
      </c>
      <c r="H2888" s="15"/>
    </row>
    <row r="2889" customFormat="false" ht="15" hidden="false" customHeight="true" outlineLevel="0" collapsed="false">
      <c r="A2889" s="15" t="s">
        <v>382</v>
      </c>
      <c r="B2889" s="15" t="s">
        <v>383</v>
      </c>
      <c r="C2889" s="15" t="s">
        <v>90</v>
      </c>
      <c r="D2889" s="15" t="s">
        <v>120</v>
      </c>
      <c r="E2889" s="15"/>
      <c r="F2889" s="15" t="s">
        <v>961</v>
      </c>
      <c r="G2889" s="15" t="s">
        <v>112</v>
      </c>
      <c r="H2889" s="15"/>
    </row>
    <row r="2890" customFormat="false" ht="15" hidden="false" customHeight="true" outlineLevel="0" collapsed="false">
      <c r="A2890" s="15" t="s">
        <v>382</v>
      </c>
      <c r="B2890" s="15" t="s">
        <v>383</v>
      </c>
      <c r="C2890" s="15" t="s">
        <v>754</v>
      </c>
      <c r="D2890" s="15" t="s">
        <v>755</v>
      </c>
      <c r="E2890" s="15"/>
      <c r="F2890" s="15" t="s">
        <v>961</v>
      </c>
      <c r="G2890" s="15" t="s">
        <v>112</v>
      </c>
      <c r="H2890" s="15"/>
    </row>
    <row r="2891" customFormat="false" ht="15" hidden="false" customHeight="true" outlineLevel="0" collapsed="false">
      <c r="A2891" s="15" t="s">
        <v>382</v>
      </c>
      <c r="B2891" s="15" t="s">
        <v>383</v>
      </c>
      <c r="C2891" s="15" t="s">
        <v>743</v>
      </c>
      <c r="D2891" s="15" t="s">
        <v>974</v>
      </c>
      <c r="E2891" s="15"/>
      <c r="F2891" s="15" t="s">
        <v>961</v>
      </c>
      <c r="G2891" s="15" t="s">
        <v>112</v>
      </c>
      <c r="H2891" s="15"/>
    </row>
    <row r="2892" customFormat="false" ht="15" hidden="false" customHeight="true" outlineLevel="0" collapsed="false">
      <c r="A2892" s="15" t="s">
        <v>382</v>
      </c>
      <c r="B2892" s="15" t="s">
        <v>383</v>
      </c>
      <c r="C2892" s="15" t="s">
        <v>759</v>
      </c>
      <c r="D2892" s="15" t="s">
        <v>944</v>
      </c>
      <c r="E2892" s="15"/>
      <c r="F2892" s="15" t="s">
        <v>961</v>
      </c>
      <c r="G2892" s="15" t="s">
        <v>112</v>
      </c>
      <c r="H2892" s="15"/>
    </row>
    <row r="2893" customFormat="false" ht="15" hidden="false" customHeight="true" outlineLevel="0" collapsed="false">
      <c r="A2893" s="15" t="s">
        <v>382</v>
      </c>
      <c r="B2893" s="15" t="s">
        <v>383</v>
      </c>
      <c r="C2893" s="15" t="s">
        <v>946</v>
      </c>
      <c r="D2893" s="15" t="s">
        <v>755</v>
      </c>
      <c r="E2893" s="15"/>
      <c r="F2893" s="15" t="s">
        <v>961</v>
      </c>
      <c r="G2893" s="15" t="s">
        <v>112</v>
      </c>
      <c r="H2893" s="15"/>
    </row>
    <row r="2894" customFormat="false" ht="15" hidden="false" customHeight="true" outlineLevel="0" collapsed="false">
      <c r="A2894" s="15" t="s">
        <v>382</v>
      </c>
      <c r="B2894" s="15" t="s">
        <v>383</v>
      </c>
      <c r="C2894" s="15" t="s">
        <v>920</v>
      </c>
      <c r="D2894" s="15" t="s">
        <v>755</v>
      </c>
      <c r="E2894" s="15"/>
      <c r="F2894" s="15" t="s">
        <v>961</v>
      </c>
      <c r="G2894" s="15" t="s">
        <v>112</v>
      </c>
      <c r="H2894" s="15"/>
    </row>
    <row r="2895" customFormat="false" ht="15" hidden="false" customHeight="true" outlineLevel="0" collapsed="false">
      <c r="A2895" s="15" t="s">
        <v>382</v>
      </c>
      <c r="B2895" s="15" t="s">
        <v>383</v>
      </c>
      <c r="C2895" s="15" t="s">
        <v>87</v>
      </c>
      <c r="D2895" s="15" t="s">
        <v>803</v>
      </c>
      <c r="E2895" s="15"/>
      <c r="F2895" s="15" t="s">
        <v>971</v>
      </c>
      <c r="G2895" s="15" t="s">
        <v>112</v>
      </c>
      <c r="H2895" s="15" t="s">
        <v>972</v>
      </c>
    </row>
    <row r="2896" customFormat="false" ht="15" hidden="false" customHeight="true" outlineLevel="0" collapsed="false">
      <c r="A2896" s="15" t="s">
        <v>382</v>
      </c>
      <c r="B2896" s="15" t="s">
        <v>383</v>
      </c>
      <c r="C2896" s="15" t="s">
        <v>973</v>
      </c>
      <c r="D2896" s="15" t="s">
        <v>803</v>
      </c>
      <c r="E2896" s="15"/>
      <c r="F2896" s="15" t="s">
        <v>971</v>
      </c>
      <c r="G2896" s="15" t="s">
        <v>112</v>
      </c>
      <c r="H2896" s="15" t="s">
        <v>972</v>
      </c>
    </row>
    <row r="2897" customFormat="false" ht="15" hidden="false" customHeight="true" outlineLevel="0" collapsed="false">
      <c r="A2897" s="15" t="s">
        <v>385</v>
      </c>
      <c r="B2897" s="15" t="s">
        <v>386</v>
      </c>
      <c r="C2897" s="15" t="s">
        <v>769</v>
      </c>
      <c r="D2897" s="15" t="n">
        <v>5</v>
      </c>
      <c r="E2897" s="15" t="s">
        <v>721</v>
      </c>
      <c r="F2897" s="15" t="s">
        <v>961</v>
      </c>
      <c r="G2897" s="15" t="s">
        <v>112</v>
      </c>
      <c r="H2897" s="15"/>
    </row>
    <row r="2898" customFormat="false" ht="15" hidden="false" customHeight="true" outlineLevel="0" collapsed="false">
      <c r="A2898" s="15" t="s">
        <v>385</v>
      </c>
      <c r="B2898" s="15" t="s">
        <v>386</v>
      </c>
      <c r="C2898" s="15" t="s">
        <v>714</v>
      </c>
      <c r="D2898" s="15" t="n">
        <v>154</v>
      </c>
      <c r="E2898" s="15" t="s">
        <v>715</v>
      </c>
      <c r="F2898" s="15" t="s">
        <v>961</v>
      </c>
      <c r="G2898" s="15" t="s">
        <v>112</v>
      </c>
      <c r="H2898" s="15"/>
    </row>
    <row r="2899" customFormat="false" ht="15" hidden="false" customHeight="true" outlineLevel="0" collapsed="false">
      <c r="A2899" s="15" t="s">
        <v>385</v>
      </c>
      <c r="B2899" s="15" t="s">
        <v>386</v>
      </c>
      <c r="C2899" s="15" t="s">
        <v>718</v>
      </c>
      <c r="D2899" s="15" t="s">
        <v>302</v>
      </c>
      <c r="E2899" s="15"/>
      <c r="F2899" s="15" t="s">
        <v>961</v>
      </c>
      <c r="G2899" s="15" t="s">
        <v>112</v>
      </c>
      <c r="H2899" s="15"/>
    </row>
    <row r="2900" customFormat="false" ht="15" hidden="false" customHeight="true" outlineLevel="0" collapsed="false">
      <c r="A2900" s="15" t="s">
        <v>385</v>
      </c>
      <c r="B2900" s="15" t="s">
        <v>386</v>
      </c>
      <c r="C2900" s="15" t="s">
        <v>935</v>
      </c>
      <c r="D2900" s="15" t="s">
        <v>936</v>
      </c>
      <c r="E2900" s="15"/>
      <c r="F2900" s="15" t="s">
        <v>961</v>
      </c>
      <c r="G2900" s="15" t="s">
        <v>112</v>
      </c>
      <c r="H2900" s="15"/>
    </row>
    <row r="2901" customFormat="false" ht="15" hidden="false" customHeight="true" outlineLevel="0" collapsed="false">
      <c r="A2901" s="15" t="s">
        <v>385</v>
      </c>
      <c r="B2901" s="15" t="s">
        <v>386</v>
      </c>
      <c r="C2901" s="15" t="s">
        <v>84</v>
      </c>
      <c r="D2901" s="15" t="n">
        <v>195</v>
      </c>
      <c r="E2901" s="15" t="s">
        <v>725</v>
      </c>
      <c r="F2901" s="15" t="s">
        <v>961</v>
      </c>
      <c r="G2901" s="15" t="s">
        <v>112</v>
      </c>
      <c r="H2901" s="15"/>
    </row>
    <row r="2902" customFormat="false" ht="15" hidden="false" customHeight="true" outlineLevel="0" collapsed="false">
      <c r="A2902" s="15" t="s">
        <v>385</v>
      </c>
      <c r="B2902" s="15" t="s">
        <v>386</v>
      </c>
      <c r="C2902" s="15" t="s">
        <v>722</v>
      </c>
      <c r="D2902" s="15" t="n">
        <v>366</v>
      </c>
      <c r="E2902" s="15" t="s">
        <v>723</v>
      </c>
      <c r="F2902" s="15" t="s">
        <v>961</v>
      </c>
      <c r="G2902" s="15" t="s">
        <v>112</v>
      </c>
      <c r="H2902" s="15"/>
    </row>
    <row r="2903" customFormat="false" ht="15" hidden="false" customHeight="true" outlineLevel="0" collapsed="false">
      <c r="A2903" s="15" t="s">
        <v>385</v>
      </c>
      <c r="B2903" s="15" t="s">
        <v>386</v>
      </c>
      <c r="C2903" s="15" t="s">
        <v>726</v>
      </c>
      <c r="D2903" s="15" t="n">
        <v>3880</v>
      </c>
      <c r="E2903" s="15" t="s">
        <v>725</v>
      </c>
      <c r="F2903" s="15" t="s">
        <v>961</v>
      </c>
      <c r="G2903" s="15" t="s">
        <v>112</v>
      </c>
      <c r="H2903" s="15"/>
    </row>
    <row r="2904" customFormat="false" ht="15" hidden="false" customHeight="true" outlineLevel="0" collapsed="false">
      <c r="A2904" s="15" t="s">
        <v>385</v>
      </c>
      <c r="B2904" s="15" t="s">
        <v>386</v>
      </c>
      <c r="C2904" s="15" t="s">
        <v>727</v>
      </c>
      <c r="D2904" s="15" t="n">
        <v>1742</v>
      </c>
      <c r="E2904" s="15" t="s">
        <v>725</v>
      </c>
      <c r="F2904" s="15" t="s">
        <v>961</v>
      </c>
      <c r="G2904" s="15" t="s">
        <v>112</v>
      </c>
      <c r="H2904" s="15"/>
    </row>
    <row r="2905" customFormat="false" ht="15" hidden="false" customHeight="true" outlineLevel="0" collapsed="false">
      <c r="A2905" s="15" t="s">
        <v>385</v>
      </c>
      <c r="B2905" s="15" t="s">
        <v>386</v>
      </c>
      <c r="C2905" s="15" t="s">
        <v>728</v>
      </c>
      <c r="D2905" s="15" t="n">
        <v>1622</v>
      </c>
      <c r="E2905" s="15" t="s">
        <v>725</v>
      </c>
      <c r="F2905" s="15" t="s">
        <v>961</v>
      </c>
      <c r="G2905" s="15" t="s">
        <v>112</v>
      </c>
      <c r="H2905" s="15"/>
    </row>
    <row r="2906" customFormat="false" ht="15" hidden="false" customHeight="true" outlineLevel="0" collapsed="false">
      <c r="A2906" s="15" t="s">
        <v>385</v>
      </c>
      <c r="B2906" s="15" t="s">
        <v>386</v>
      </c>
      <c r="C2906" s="15" t="s">
        <v>729</v>
      </c>
      <c r="D2906" s="15" t="n">
        <v>2445</v>
      </c>
      <c r="E2906" s="15" t="s">
        <v>725</v>
      </c>
      <c r="F2906" s="15" t="s">
        <v>961</v>
      </c>
      <c r="G2906" s="15" t="s">
        <v>112</v>
      </c>
      <c r="H2906" s="15"/>
    </row>
    <row r="2907" customFormat="false" ht="15" hidden="false" customHeight="true" outlineLevel="0" collapsed="false">
      <c r="A2907" s="15" t="s">
        <v>385</v>
      </c>
      <c r="B2907" s="15" t="s">
        <v>386</v>
      </c>
      <c r="C2907" s="15" t="s">
        <v>739</v>
      </c>
      <c r="D2907" s="15" t="s">
        <v>962</v>
      </c>
      <c r="E2907" s="15" t="s">
        <v>738</v>
      </c>
      <c r="F2907" s="15" t="s">
        <v>961</v>
      </c>
      <c r="G2907" s="15" t="s">
        <v>112</v>
      </c>
      <c r="H2907" s="15"/>
    </row>
    <row r="2908" customFormat="false" ht="15" hidden="false" customHeight="true" outlineLevel="0" collapsed="false">
      <c r="A2908" s="15" t="s">
        <v>385</v>
      </c>
      <c r="B2908" s="15" t="s">
        <v>386</v>
      </c>
      <c r="C2908" s="15" t="s">
        <v>939</v>
      </c>
      <c r="D2908" s="15" t="n">
        <v>30</v>
      </c>
      <c r="E2908" s="15"/>
      <c r="F2908" s="15" t="s">
        <v>961</v>
      </c>
      <c r="G2908" s="15" t="s">
        <v>112</v>
      </c>
      <c r="H2908" s="15"/>
    </row>
    <row r="2909" customFormat="false" ht="15" hidden="false" customHeight="true" outlineLevel="0" collapsed="false">
      <c r="A2909" s="15" t="s">
        <v>385</v>
      </c>
      <c r="B2909" s="15" t="s">
        <v>386</v>
      </c>
      <c r="C2909" s="15" t="s">
        <v>789</v>
      </c>
      <c r="D2909" s="15" t="s">
        <v>790</v>
      </c>
      <c r="E2909" s="15"/>
      <c r="F2909" s="15" t="s">
        <v>961</v>
      </c>
      <c r="G2909" s="15" t="s">
        <v>112</v>
      </c>
      <c r="H2909" s="15"/>
    </row>
    <row r="2910" customFormat="false" ht="15" hidden="false" customHeight="true" outlineLevel="0" collapsed="false">
      <c r="A2910" s="15" t="s">
        <v>385</v>
      </c>
      <c r="B2910" s="15" t="s">
        <v>386</v>
      </c>
      <c r="C2910" s="15" t="s">
        <v>875</v>
      </c>
      <c r="D2910" s="15" t="s">
        <v>963</v>
      </c>
      <c r="E2910" s="15"/>
      <c r="F2910" s="15" t="s">
        <v>961</v>
      </c>
      <c r="G2910" s="15" t="s">
        <v>112</v>
      </c>
      <c r="H2910" s="15"/>
    </row>
    <row r="2911" customFormat="false" ht="15" hidden="false" customHeight="true" outlineLevel="0" collapsed="false">
      <c r="A2911" s="15" t="s">
        <v>385</v>
      </c>
      <c r="B2911" s="15" t="s">
        <v>386</v>
      </c>
      <c r="C2911" s="15" t="s">
        <v>835</v>
      </c>
      <c r="D2911" s="15" t="s">
        <v>836</v>
      </c>
      <c r="E2911" s="15"/>
      <c r="F2911" s="15" t="s">
        <v>961</v>
      </c>
      <c r="G2911" s="15" t="s">
        <v>112</v>
      </c>
      <c r="H2911" s="15"/>
    </row>
    <row r="2912" customFormat="false" ht="15" hidden="false" customHeight="true" outlineLevel="0" collapsed="false">
      <c r="A2912" s="15" t="s">
        <v>385</v>
      </c>
      <c r="B2912" s="15" t="s">
        <v>386</v>
      </c>
      <c r="C2912" s="15" t="s">
        <v>833</v>
      </c>
      <c r="D2912" s="15" t="s">
        <v>938</v>
      </c>
      <c r="E2912" s="15"/>
      <c r="F2912" s="15" t="s">
        <v>961</v>
      </c>
      <c r="G2912" s="15" t="s">
        <v>112</v>
      </c>
      <c r="H2912" s="15"/>
    </row>
    <row r="2913" customFormat="false" ht="15" hidden="false" customHeight="true" outlineLevel="0" collapsed="false">
      <c r="A2913" s="15" t="s">
        <v>385</v>
      </c>
      <c r="B2913" s="15" t="s">
        <v>386</v>
      </c>
      <c r="C2913" s="15" t="s">
        <v>86</v>
      </c>
      <c r="D2913" s="15" t="n">
        <v>6</v>
      </c>
      <c r="E2913" s="15" t="s">
        <v>721</v>
      </c>
      <c r="F2913" s="15" t="s">
        <v>961</v>
      </c>
      <c r="G2913" s="15" t="s">
        <v>112</v>
      </c>
      <c r="H2913" s="15"/>
    </row>
    <row r="2914" customFormat="false" ht="15" hidden="false" customHeight="true" outlineLevel="0" collapsed="false">
      <c r="A2914" s="15" t="s">
        <v>385</v>
      </c>
      <c r="B2914" s="15" t="s">
        <v>386</v>
      </c>
      <c r="C2914" s="15" t="s">
        <v>737</v>
      </c>
      <c r="D2914" s="15" t="n">
        <v>95</v>
      </c>
      <c r="E2914" s="15" t="s">
        <v>738</v>
      </c>
      <c r="F2914" s="15" t="s">
        <v>961</v>
      </c>
      <c r="G2914" s="15" t="s">
        <v>112</v>
      </c>
      <c r="H2914" s="15"/>
    </row>
    <row r="2915" customFormat="false" ht="15" hidden="false" customHeight="true" outlineLevel="0" collapsed="false">
      <c r="A2915" s="15" t="s">
        <v>385</v>
      </c>
      <c r="B2915" s="15" t="s">
        <v>386</v>
      </c>
      <c r="C2915" s="15" t="s">
        <v>811</v>
      </c>
      <c r="D2915" s="15" t="n">
        <v>9</v>
      </c>
      <c r="E2915" s="15" t="s">
        <v>812</v>
      </c>
      <c r="F2915" s="15" t="s">
        <v>961</v>
      </c>
      <c r="G2915" s="15" t="s">
        <v>112</v>
      </c>
      <c r="H2915" s="15"/>
    </row>
    <row r="2916" customFormat="false" ht="15" hidden="false" customHeight="true" outlineLevel="0" collapsed="false">
      <c r="A2916" s="15" t="s">
        <v>385</v>
      </c>
      <c r="B2916" s="15" t="s">
        <v>386</v>
      </c>
      <c r="C2916" s="15" t="s">
        <v>733</v>
      </c>
      <c r="D2916" s="15" t="s">
        <v>975</v>
      </c>
      <c r="E2916" s="15"/>
      <c r="F2916" s="15" t="s">
        <v>961</v>
      </c>
      <c r="G2916" s="15" t="s">
        <v>112</v>
      </c>
      <c r="H2916" s="15"/>
    </row>
    <row r="2917" customFormat="false" ht="15" hidden="false" customHeight="true" outlineLevel="0" collapsed="false">
      <c r="A2917" s="15" t="s">
        <v>385</v>
      </c>
      <c r="B2917" s="15" t="s">
        <v>386</v>
      </c>
      <c r="C2917" s="15" t="s">
        <v>776</v>
      </c>
      <c r="D2917" s="15" t="s">
        <v>976</v>
      </c>
      <c r="E2917" s="15"/>
      <c r="F2917" s="15" t="s">
        <v>961</v>
      </c>
      <c r="G2917" s="15" t="s">
        <v>112</v>
      </c>
      <c r="H2917" s="15"/>
    </row>
    <row r="2918" customFormat="false" ht="39" hidden="false" customHeight="true" outlineLevel="0" collapsed="false">
      <c r="A2918" s="15" t="s">
        <v>385</v>
      </c>
      <c r="B2918" s="15" t="s">
        <v>386</v>
      </c>
      <c r="C2918" s="15" t="s">
        <v>98</v>
      </c>
      <c r="D2918" s="15" t="s">
        <v>950</v>
      </c>
      <c r="E2918" s="15"/>
      <c r="F2918" s="15" t="s">
        <v>961</v>
      </c>
      <c r="G2918" s="15" t="s">
        <v>112</v>
      </c>
      <c r="H2918" s="15"/>
    </row>
    <row r="2919" customFormat="false" ht="26.25" hidden="false" customHeight="true" outlineLevel="0" collapsed="false">
      <c r="A2919" s="15" t="s">
        <v>385</v>
      </c>
      <c r="B2919" s="15" t="s">
        <v>386</v>
      </c>
      <c r="C2919" s="15" t="s">
        <v>940</v>
      </c>
      <c r="D2919" s="15" t="n">
        <v>5.3</v>
      </c>
      <c r="E2919" s="15"/>
      <c r="F2919" s="15" t="s">
        <v>961</v>
      </c>
      <c r="G2919" s="15" t="s">
        <v>112</v>
      </c>
      <c r="H2919" s="15"/>
    </row>
    <row r="2920" customFormat="false" ht="15" hidden="false" customHeight="true" outlineLevel="0" collapsed="false">
      <c r="A2920" s="15" t="s">
        <v>385</v>
      </c>
      <c r="B2920" s="15" t="s">
        <v>386</v>
      </c>
      <c r="C2920" s="15" t="s">
        <v>749</v>
      </c>
      <c r="D2920" s="15" t="s">
        <v>120</v>
      </c>
      <c r="E2920" s="15"/>
      <c r="F2920" s="15" t="s">
        <v>961</v>
      </c>
      <c r="G2920" s="15" t="s">
        <v>112</v>
      </c>
      <c r="H2920" s="15"/>
    </row>
    <row r="2921" customFormat="false" ht="15" hidden="false" customHeight="true" outlineLevel="0" collapsed="false">
      <c r="A2921" s="15" t="s">
        <v>385</v>
      </c>
      <c r="B2921" s="15" t="s">
        <v>386</v>
      </c>
      <c r="C2921" s="15" t="s">
        <v>752</v>
      </c>
      <c r="D2921" s="15" t="s">
        <v>121</v>
      </c>
      <c r="E2921" s="15"/>
      <c r="F2921" s="15" t="s">
        <v>961</v>
      </c>
      <c r="G2921" s="15" t="s">
        <v>112</v>
      </c>
      <c r="H2921" s="15"/>
    </row>
    <row r="2922" customFormat="false" ht="15" hidden="false" customHeight="true" outlineLevel="0" collapsed="false">
      <c r="A2922" s="15" t="s">
        <v>385</v>
      </c>
      <c r="B2922" s="15" t="s">
        <v>386</v>
      </c>
      <c r="C2922" s="15" t="s">
        <v>90</v>
      </c>
      <c r="D2922" s="15" t="s">
        <v>120</v>
      </c>
      <c r="E2922" s="15"/>
      <c r="F2922" s="15" t="s">
        <v>961</v>
      </c>
      <c r="G2922" s="15" t="s">
        <v>112</v>
      </c>
      <c r="H2922" s="15"/>
    </row>
    <row r="2923" customFormat="false" ht="15" hidden="false" customHeight="true" outlineLevel="0" collapsed="false">
      <c r="A2923" s="15" t="s">
        <v>385</v>
      </c>
      <c r="B2923" s="15" t="s">
        <v>386</v>
      </c>
      <c r="C2923" s="15" t="s">
        <v>754</v>
      </c>
      <c r="D2923" s="15" t="s">
        <v>755</v>
      </c>
      <c r="E2923" s="15"/>
      <c r="F2923" s="15" t="s">
        <v>961</v>
      </c>
      <c r="G2923" s="15" t="s">
        <v>112</v>
      </c>
      <c r="H2923" s="15"/>
    </row>
    <row r="2924" customFormat="false" ht="15" hidden="false" customHeight="true" outlineLevel="0" collapsed="false">
      <c r="A2924" s="15" t="s">
        <v>385</v>
      </c>
      <c r="B2924" s="15" t="s">
        <v>386</v>
      </c>
      <c r="C2924" s="15" t="s">
        <v>743</v>
      </c>
      <c r="D2924" s="15" t="s">
        <v>974</v>
      </c>
      <c r="E2924" s="15"/>
      <c r="F2924" s="15" t="s">
        <v>961</v>
      </c>
      <c r="G2924" s="15" t="s">
        <v>112</v>
      </c>
      <c r="H2924" s="15"/>
    </row>
    <row r="2925" customFormat="false" ht="15" hidden="false" customHeight="true" outlineLevel="0" collapsed="false">
      <c r="A2925" s="15" t="s">
        <v>385</v>
      </c>
      <c r="B2925" s="15" t="s">
        <v>386</v>
      </c>
      <c r="C2925" s="15" t="s">
        <v>759</v>
      </c>
      <c r="D2925" s="15" t="s">
        <v>944</v>
      </c>
      <c r="E2925" s="15"/>
      <c r="F2925" s="15" t="s">
        <v>961</v>
      </c>
      <c r="G2925" s="15" t="s">
        <v>112</v>
      </c>
      <c r="H2925" s="15"/>
    </row>
    <row r="2926" customFormat="false" ht="15" hidden="false" customHeight="true" outlineLevel="0" collapsed="false">
      <c r="A2926" s="15" t="s">
        <v>385</v>
      </c>
      <c r="B2926" s="15" t="s">
        <v>386</v>
      </c>
      <c r="C2926" s="15" t="s">
        <v>946</v>
      </c>
      <c r="D2926" s="15" t="s">
        <v>755</v>
      </c>
      <c r="E2926" s="15"/>
      <c r="F2926" s="15" t="s">
        <v>961</v>
      </c>
      <c r="G2926" s="15" t="s">
        <v>112</v>
      </c>
      <c r="H2926" s="15"/>
    </row>
    <row r="2927" customFormat="false" ht="15" hidden="false" customHeight="true" outlineLevel="0" collapsed="false">
      <c r="A2927" s="15" t="s">
        <v>385</v>
      </c>
      <c r="B2927" s="15" t="s">
        <v>386</v>
      </c>
      <c r="C2927" s="15" t="s">
        <v>920</v>
      </c>
      <c r="D2927" s="15" t="s">
        <v>755</v>
      </c>
      <c r="E2927" s="15"/>
      <c r="F2927" s="15" t="s">
        <v>961</v>
      </c>
      <c r="G2927" s="15" t="s">
        <v>112</v>
      </c>
      <c r="H2927" s="15"/>
    </row>
    <row r="2928" customFormat="false" ht="15" hidden="false" customHeight="true" outlineLevel="0" collapsed="false">
      <c r="A2928" s="15" t="s">
        <v>385</v>
      </c>
      <c r="B2928" s="15" t="s">
        <v>386</v>
      </c>
      <c r="C2928" s="15" t="s">
        <v>87</v>
      </c>
      <c r="D2928" s="15" t="s">
        <v>803</v>
      </c>
      <c r="E2928" s="15"/>
      <c r="F2928" s="15" t="s">
        <v>971</v>
      </c>
      <c r="G2928" s="15" t="s">
        <v>112</v>
      </c>
      <c r="H2928" s="15" t="s">
        <v>972</v>
      </c>
    </row>
    <row r="2929" customFormat="false" ht="15" hidden="false" customHeight="true" outlineLevel="0" collapsed="false">
      <c r="A2929" s="15" t="s">
        <v>385</v>
      </c>
      <c r="B2929" s="15" t="s">
        <v>386</v>
      </c>
      <c r="C2929" s="15" t="s">
        <v>973</v>
      </c>
      <c r="D2929" s="15" t="s">
        <v>803</v>
      </c>
      <c r="E2929" s="15"/>
      <c r="F2929" s="15" t="s">
        <v>971</v>
      </c>
      <c r="G2929" s="15" t="s">
        <v>112</v>
      </c>
      <c r="H2929" s="15" t="s">
        <v>972</v>
      </c>
    </row>
    <row r="2930" customFormat="false" ht="15" hidden="false" customHeight="true" outlineLevel="0" collapsed="false">
      <c r="A2930" s="15" t="s">
        <v>389</v>
      </c>
      <c r="B2930" s="15" t="s">
        <v>390</v>
      </c>
      <c r="C2930" s="15" t="s">
        <v>769</v>
      </c>
      <c r="D2930" s="15" t="n">
        <v>5</v>
      </c>
      <c r="E2930" s="15" t="s">
        <v>721</v>
      </c>
      <c r="F2930" s="15" t="s">
        <v>961</v>
      </c>
      <c r="G2930" s="15" t="s">
        <v>112</v>
      </c>
      <c r="H2930" s="15"/>
    </row>
    <row r="2931" customFormat="false" ht="15" hidden="false" customHeight="true" outlineLevel="0" collapsed="false">
      <c r="A2931" s="15" t="s">
        <v>389</v>
      </c>
      <c r="B2931" s="15" t="s">
        <v>390</v>
      </c>
      <c r="C2931" s="15" t="s">
        <v>714</v>
      </c>
      <c r="D2931" s="15" t="n">
        <v>154</v>
      </c>
      <c r="E2931" s="15" t="s">
        <v>715</v>
      </c>
      <c r="F2931" s="15" t="s">
        <v>961</v>
      </c>
      <c r="G2931" s="15" t="s">
        <v>112</v>
      </c>
      <c r="H2931" s="15"/>
    </row>
    <row r="2932" customFormat="false" ht="15" hidden="false" customHeight="true" outlineLevel="0" collapsed="false">
      <c r="A2932" s="15" t="s">
        <v>389</v>
      </c>
      <c r="B2932" s="15" t="s">
        <v>390</v>
      </c>
      <c r="C2932" s="15" t="s">
        <v>718</v>
      </c>
      <c r="D2932" s="15" t="s">
        <v>302</v>
      </c>
      <c r="E2932" s="15"/>
      <c r="F2932" s="15" t="s">
        <v>961</v>
      </c>
      <c r="G2932" s="15" t="s">
        <v>112</v>
      </c>
      <c r="H2932" s="15"/>
    </row>
    <row r="2933" customFormat="false" ht="15" hidden="false" customHeight="true" outlineLevel="0" collapsed="false">
      <c r="A2933" s="15" t="s">
        <v>389</v>
      </c>
      <c r="B2933" s="15" t="s">
        <v>390</v>
      </c>
      <c r="C2933" s="15" t="s">
        <v>935</v>
      </c>
      <c r="D2933" s="15" t="s">
        <v>936</v>
      </c>
      <c r="E2933" s="15"/>
      <c r="F2933" s="15" t="s">
        <v>961</v>
      </c>
      <c r="G2933" s="15" t="s">
        <v>112</v>
      </c>
      <c r="H2933" s="15"/>
    </row>
    <row r="2934" customFormat="false" ht="15" hidden="false" customHeight="true" outlineLevel="0" collapsed="false">
      <c r="A2934" s="15" t="s">
        <v>389</v>
      </c>
      <c r="B2934" s="15" t="s">
        <v>390</v>
      </c>
      <c r="C2934" s="15" t="s">
        <v>84</v>
      </c>
      <c r="D2934" s="15" t="n">
        <v>195</v>
      </c>
      <c r="E2934" s="15" t="s">
        <v>725</v>
      </c>
      <c r="F2934" s="15" t="s">
        <v>961</v>
      </c>
      <c r="G2934" s="15" t="s">
        <v>112</v>
      </c>
      <c r="H2934" s="15"/>
    </row>
    <row r="2935" customFormat="false" ht="15" hidden="false" customHeight="true" outlineLevel="0" collapsed="false">
      <c r="A2935" s="15" t="s">
        <v>389</v>
      </c>
      <c r="B2935" s="15" t="s">
        <v>390</v>
      </c>
      <c r="C2935" s="15" t="s">
        <v>722</v>
      </c>
      <c r="D2935" s="15" t="n">
        <v>366</v>
      </c>
      <c r="E2935" s="15" t="s">
        <v>723</v>
      </c>
      <c r="F2935" s="15" t="s">
        <v>961</v>
      </c>
      <c r="G2935" s="15" t="s">
        <v>112</v>
      </c>
      <c r="H2935" s="15"/>
    </row>
    <row r="2936" customFormat="false" ht="15" hidden="false" customHeight="true" outlineLevel="0" collapsed="false">
      <c r="A2936" s="15" t="s">
        <v>389</v>
      </c>
      <c r="B2936" s="15" t="s">
        <v>390</v>
      </c>
      <c r="C2936" s="15" t="s">
        <v>726</v>
      </c>
      <c r="D2936" s="15" t="n">
        <v>3880</v>
      </c>
      <c r="E2936" s="15" t="s">
        <v>725</v>
      </c>
      <c r="F2936" s="15" t="s">
        <v>961</v>
      </c>
      <c r="G2936" s="15" t="s">
        <v>112</v>
      </c>
      <c r="H2936" s="15"/>
    </row>
    <row r="2937" customFormat="false" ht="15" hidden="false" customHeight="true" outlineLevel="0" collapsed="false">
      <c r="A2937" s="15" t="s">
        <v>389</v>
      </c>
      <c r="B2937" s="15" t="s">
        <v>390</v>
      </c>
      <c r="C2937" s="15" t="s">
        <v>727</v>
      </c>
      <c r="D2937" s="15" t="n">
        <v>1742</v>
      </c>
      <c r="E2937" s="15" t="s">
        <v>725</v>
      </c>
      <c r="F2937" s="15" t="s">
        <v>961</v>
      </c>
      <c r="G2937" s="15" t="s">
        <v>112</v>
      </c>
      <c r="H2937" s="15"/>
    </row>
    <row r="2938" customFormat="false" ht="15" hidden="false" customHeight="true" outlineLevel="0" collapsed="false">
      <c r="A2938" s="15" t="s">
        <v>389</v>
      </c>
      <c r="B2938" s="15" t="s">
        <v>390</v>
      </c>
      <c r="C2938" s="15" t="s">
        <v>728</v>
      </c>
      <c r="D2938" s="15" t="n">
        <v>1622</v>
      </c>
      <c r="E2938" s="15" t="s">
        <v>725</v>
      </c>
      <c r="F2938" s="15" t="s">
        <v>961</v>
      </c>
      <c r="G2938" s="15" t="s">
        <v>112</v>
      </c>
      <c r="H2938" s="15"/>
    </row>
    <row r="2939" customFormat="false" ht="15" hidden="false" customHeight="true" outlineLevel="0" collapsed="false">
      <c r="A2939" s="15" t="s">
        <v>389</v>
      </c>
      <c r="B2939" s="15" t="s">
        <v>390</v>
      </c>
      <c r="C2939" s="15" t="s">
        <v>729</v>
      </c>
      <c r="D2939" s="15" t="n">
        <v>2445</v>
      </c>
      <c r="E2939" s="15" t="s">
        <v>725</v>
      </c>
      <c r="F2939" s="15" t="s">
        <v>961</v>
      </c>
      <c r="G2939" s="15" t="s">
        <v>112</v>
      </c>
      <c r="H2939" s="15"/>
    </row>
    <row r="2940" customFormat="false" ht="15" hidden="false" customHeight="true" outlineLevel="0" collapsed="false">
      <c r="A2940" s="15" t="s">
        <v>389</v>
      </c>
      <c r="B2940" s="15" t="s">
        <v>390</v>
      </c>
      <c r="C2940" s="15" t="s">
        <v>739</v>
      </c>
      <c r="D2940" s="15" t="s">
        <v>962</v>
      </c>
      <c r="E2940" s="15" t="s">
        <v>738</v>
      </c>
      <c r="F2940" s="15" t="s">
        <v>961</v>
      </c>
      <c r="G2940" s="15" t="s">
        <v>112</v>
      </c>
      <c r="H2940" s="15"/>
    </row>
    <row r="2941" customFormat="false" ht="15" hidden="false" customHeight="true" outlineLevel="0" collapsed="false">
      <c r="A2941" s="15" t="s">
        <v>389</v>
      </c>
      <c r="B2941" s="15" t="s">
        <v>390</v>
      </c>
      <c r="C2941" s="15" t="s">
        <v>939</v>
      </c>
      <c r="D2941" s="15" t="n">
        <v>30</v>
      </c>
      <c r="E2941" s="15"/>
      <c r="F2941" s="15" t="s">
        <v>961</v>
      </c>
      <c r="G2941" s="15" t="s">
        <v>112</v>
      </c>
      <c r="H2941" s="15"/>
    </row>
    <row r="2942" customFormat="false" ht="15" hidden="false" customHeight="true" outlineLevel="0" collapsed="false">
      <c r="A2942" s="15" t="s">
        <v>389</v>
      </c>
      <c r="B2942" s="15" t="s">
        <v>390</v>
      </c>
      <c r="C2942" s="15" t="s">
        <v>789</v>
      </c>
      <c r="D2942" s="15" t="s">
        <v>790</v>
      </c>
      <c r="E2942" s="15"/>
      <c r="F2942" s="15" t="s">
        <v>961</v>
      </c>
      <c r="G2942" s="15" t="s">
        <v>112</v>
      </c>
      <c r="H2942" s="15"/>
    </row>
    <row r="2943" customFormat="false" ht="15" hidden="false" customHeight="true" outlineLevel="0" collapsed="false">
      <c r="A2943" s="15" t="s">
        <v>389</v>
      </c>
      <c r="B2943" s="15" t="s">
        <v>390</v>
      </c>
      <c r="C2943" s="15" t="s">
        <v>875</v>
      </c>
      <c r="D2943" s="15" t="s">
        <v>963</v>
      </c>
      <c r="E2943" s="15"/>
      <c r="F2943" s="15" t="s">
        <v>961</v>
      </c>
      <c r="G2943" s="15" t="s">
        <v>112</v>
      </c>
      <c r="H2943" s="15"/>
    </row>
    <row r="2944" customFormat="false" ht="15" hidden="false" customHeight="true" outlineLevel="0" collapsed="false">
      <c r="A2944" s="15" t="s">
        <v>389</v>
      </c>
      <c r="B2944" s="15" t="s">
        <v>390</v>
      </c>
      <c r="C2944" s="15" t="s">
        <v>835</v>
      </c>
      <c r="D2944" s="15" t="s">
        <v>836</v>
      </c>
      <c r="E2944" s="15"/>
      <c r="F2944" s="15" t="s">
        <v>961</v>
      </c>
      <c r="G2944" s="15" t="s">
        <v>112</v>
      </c>
      <c r="H2944" s="15"/>
    </row>
    <row r="2945" customFormat="false" ht="15" hidden="false" customHeight="true" outlineLevel="0" collapsed="false">
      <c r="A2945" s="15" t="s">
        <v>389</v>
      </c>
      <c r="B2945" s="15" t="s">
        <v>390</v>
      </c>
      <c r="C2945" s="15" t="s">
        <v>833</v>
      </c>
      <c r="D2945" s="15" t="s">
        <v>938</v>
      </c>
      <c r="E2945" s="15"/>
      <c r="F2945" s="15" t="s">
        <v>961</v>
      </c>
      <c r="G2945" s="15" t="s">
        <v>112</v>
      </c>
      <c r="H2945" s="15"/>
    </row>
    <row r="2946" customFormat="false" ht="15" hidden="false" customHeight="true" outlineLevel="0" collapsed="false">
      <c r="A2946" s="15" t="s">
        <v>389</v>
      </c>
      <c r="B2946" s="15" t="s">
        <v>390</v>
      </c>
      <c r="C2946" s="15" t="s">
        <v>86</v>
      </c>
      <c r="D2946" s="15" t="n">
        <v>6</v>
      </c>
      <c r="E2946" s="15" t="s">
        <v>721</v>
      </c>
      <c r="F2946" s="15" t="s">
        <v>961</v>
      </c>
      <c r="G2946" s="15" t="s">
        <v>112</v>
      </c>
      <c r="H2946" s="15"/>
    </row>
    <row r="2947" customFormat="false" ht="15" hidden="false" customHeight="true" outlineLevel="0" collapsed="false">
      <c r="A2947" s="15" t="s">
        <v>389</v>
      </c>
      <c r="B2947" s="15" t="s">
        <v>390</v>
      </c>
      <c r="C2947" s="15" t="s">
        <v>737</v>
      </c>
      <c r="D2947" s="15" t="n">
        <v>95</v>
      </c>
      <c r="E2947" s="15" t="s">
        <v>738</v>
      </c>
      <c r="F2947" s="15" t="s">
        <v>961</v>
      </c>
      <c r="G2947" s="15" t="s">
        <v>112</v>
      </c>
      <c r="H2947" s="15"/>
    </row>
    <row r="2948" customFormat="false" ht="15" hidden="false" customHeight="true" outlineLevel="0" collapsed="false">
      <c r="A2948" s="15" t="s">
        <v>389</v>
      </c>
      <c r="B2948" s="15" t="s">
        <v>390</v>
      </c>
      <c r="C2948" s="15" t="s">
        <v>811</v>
      </c>
      <c r="D2948" s="15" t="n">
        <v>9</v>
      </c>
      <c r="E2948" s="15" t="s">
        <v>812</v>
      </c>
      <c r="F2948" s="15" t="s">
        <v>961</v>
      </c>
      <c r="G2948" s="15" t="s">
        <v>112</v>
      </c>
      <c r="H2948" s="15"/>
    </row>
    <row r="2949" customFormat="false" ht="15" hidden="false" customHeight="true" outlineLevel="0" collapsed="false">
      <c r="A2949" s="15" t="s">
        <v>389</v>
      </c>
      <c r="B2949" s="15" t="s">
        <v>390</v>
      </c>
      <c r="C2949" s="15" t="s">
        <v>733</v>
      </c>
      <c r="D2949" s="15" t="s">
        <v>975</v>
      </c>
      <c r="E2949" s="15"/>
      <c r="F2949" s="15" t="s">
        <v>961</v>
      </c>
      <c r="G2949" s="15" t="s">
        <v>112</v>
      </c>
      <c r="H2949" s="15"/>
    </row>
    <row r="2950" customFormat="false" ht="15" hidden="false" customHeight="true" outlineLevel="0" collapsed="false">
      <c r="A2950" s="15" t="s">
        <v>389</v>
      </c>
      <c r="B2950" s="15" t="s">
        <v>390</v>
      </c>
      <c r="C2950" s="15" t="s">
        <v>776</v>
      </c>
      <c r="D2950" s="15" t="s">
        <v>976</v>
      </c>
      <c r="E2950" s="15"/>
      <c r="F2950" s="15" t="s">
        <v>961</v>
      </c>
      <c r="G2950" s="15" t="s">
        <v>112</v>
      </c>
      <c r="H2950" s="15"/>
    </row>
    <row r="2951" customFormat="false" ht="39" hidden="false" customHeight="true" outlineLevel="0" collapsed="false">
      <c r="A2951" s="15" t="s">
        <v>389</v>
      </c>
      <c r="B2951" s="15" t="s">
        <v>390</v>
      </c>
      <c r="C2951" s="15" t="s">
        <v>98</v>
      </c>
      <c r="D2951" s="15" t="s">
        <v>950</v>
      </c>
      <c r="E2951" s="15"/>
      <c r="F2951" s="15" t="s">
        <v>961</v>
      </c>
      <c r="G2951" s="15" t="s">
        <v>112</v>
      </c>
      <c r="H2951" s="15"/>
    </row>
    <row r="2952" customFormat="false" ht="26.25" hidden="false" customHeight="true" outlineLevel="0" collapsed="false">
      <c r="A2952" s="15" t="s">
        <v>389</v>
      </c>
      <c r="B2952" s="15" t="s">
        <v>390</v>
      </c>
      <c r="C2952" s="15" t="s">
        <v>940</v>
      </c>
      <c r="D2952" s="15" t="n">
        <v>5.3</v>
      </c>
      <c r="E2952" s="15"/>
      <c r="F2952" s="15" t="s">
        <v>961</v>
      </c>
      <c r="G2952" s="15" t="s">
        <v>112</v>
      </c>
      <c r="H2952" s="15"/>
    </row>
    <row r="2953" customFormat="false" ht="15" hidden="false" customHeight="true" outlineLevel="0" collapsed="false">
      <c r="A2953" s="15" t="s">
        <v>389</v>
      </c>
      <c r="B2953" s="15" t="s">
        <v>390</v>
      </c>
      <c r="C2953" s="15" t="s">
        <v>749</v>
      </c>
      <c r="D2953" s="15" t="s">
        <v>120</v>
      </c>
      <c r="E2953" s="15"/>
      <c r="F2953" s="15" t="s">
        <v>961</v>
      </c>
      <c r="G2953" s="15" t="s">
        <v>112</v>
      </c>
      <c r="H2953" s="15"/>
    </row>
    <row r="2954" customFormat="false" ht="15" hidden="false" customHeight="true" outlineLevel="0" collapsed="false">
      <c r="A2954" s="15" t="s">
        <v>389</v>
      </c>
      <c r="B2954" s="15" t="s">
        <v>390</v>
      </c>
      <c r="C2954" s="15" t="s">
        <v>752</v>
      </c>
      <c r="D2954" s="15" t="s">
        <v>121</v>
      </c>
      <c r="E2954" s="15"/>
      <c r="F2954" s="15" t="s">
        <v>961</v>
      </c>
      <c r="G2954" s="15" t="s">
        <v>112</v>
      </c>
      <c r="H2954" s="15"/>
    </row>
    <row r="2955" customFormat="false" ht="15" hidden="false" customHeight="true" outlineLevel="0" collapsed="false">
      <c r="A2955" s="15" t="s">
        <v>389</v>
      </c>
      <c r="B2955" s="15" t="s">
        <v>390</v>
      </c>
      <c r="C2955" s="15" t="s">
        <v>90</v>
      </c>
      <c r="D2955" s="15" t="s">
        <v>120</v>
      </c>
      <c r="E2955" s="15"/>
      <c r="F2955" s="15" t="s">
        <v>961</v>
      </c>
      <c r="G2955" s="15" t="s">
        <v>112</v>
      </c>
      <c r="H2955" s="15"/>
    </row>
    <row r="2956" customFormat="false" ht="15" hidden="false" customHeight="true" outlineLevel="0" collapsed="false">
      <c r="A2956" s="15" t="s">
        <v>389</v>
      </c>
      <c r="B2956" s="15" t="s">
        <v>390</v>
      </c>
      <c r="C2956" s="15" t="s">
        <v>754</v>
      </c>
      <c r="D2956" s="15" t="s">
        <v>755</v>
      </c>
      <c r="E2956" s="15"/>
      <c r="F2956" s="15" t="s">
        <v>961</v>
      </c>
      <c r="G2956" s="15" t="s">
        <v>112</v>
      </c>
      <c r="H2956" s="15"/>
    </row>
    <row r="2957" customFormat="false" ht="15" hidden="false" customHeight="true" outlineLevel="0" collapsed="false">
      <c r="A2957" s="15" t="s">
        <v>389</v>
      </c>
      <c r="B2957" s="15" t="s">
        <v>390</v>
      </c>
      <c r="C2957" s="15" t="s">
        <v>743</v>
      </c>
      <c r="D2957" s="15" t="s">
        <v>974</v>
      </c>
      <c r="E2957" s="15"/>
      <c r="F2957" s="15" t="s">
        <v>961</v>
      </c>
      <c r="G2957" s="15" t="s">
        <v>112</v>
      </c>
      <c r="H2957" s="15"/>
    </row>
    <row r="2958" customFormat="false" ht="15" hidden="false" customHeight="true" outlineLevel="0" collapsed="false">
      <c r="A2958" s="15" t="s">
        <v>389</v>
      </c>
      <c r="B2958" s="15" t="s">
        <v>390</v>
      </c>
      <c r="C2958" s="15" t="s">
        <v>759</v>
      </c>
      <c r="D2958" s="15" t="s">
        <v>944</v>
      </c>
      <c r="E2958" s="15"/>
      <c r="F2958" s="15" t="s">
        <v>961</v>
      </c>
      <c r="G2958" s="15" t="s">
        <v>112</v>
      </c>
      <c r="H2958" s="15"/>
    </row>
    <row r="2959" customFormat="false" ht="15" hidden="false" customHeight="true" outlineLevel="0" collapsed="false">
      <c r="A2959" s="15" t="s">
        <v>389</v>
      </c>
      <c r="B2959" s="15" t="s">
        <v>390</v>
      </c>
      <c r="C2959" s="15" t="s">
        <v>946</v>
      </c>
      <c r="D2959" s="15" t="s">
        <v>755</v>
      </c>
      <c r="E2959" s="15"/>
      <c r="F2959" s="15" t="s">
        <v>961</v>
      </c>
      <c r="G2959" s="15" t="s">
        <v>112</v>
      </c>
      <c r="H2959" s="15"/>
    </row>
    <row r="2960" customFormat="false" ht="15" hidden="false" customHeight="true" outlineLevel="0" collapsed="false">
      <c r="A2960" s="15" t="s">
        <v>389</v>
      </c>
      <c r="B2960" s="15" t="s">
        <v>390</v>
      </c>
      <c r="C2960" s="15" t="s">
        <v>920</v>
      </c>
      <c r="D2960" s="15" t="s">
        <v>803</v>
      </c>
      <c r="E2960" s="15"/>
      <c r="F2960" s="15" t="s">
        <v>961</v>
      </c>
      <c r="G2960" s="15" t="s">
        <v>112</v>
      </c>
      <c r="H2960" s="15"/>
    </row>
    <row r="2961" customFormat="false" ht="15" hidden="false" customHeight="true" outlineLevel="0" collapsed="false">
      <c r="A2961" s="15" t="s">
        <v>389</v>
      </c>
      <c r="B2961" s="15" t="s">
        <v>390</v>
      </c>
      <c r="C2961" s="15" t="s">
        <v>848</v>
      </c>
      <c r="D2961" s="15" t="s">
        <v>849</v>
      </c>
      <c r="E2961" s="15"/>
      <c r="F2961" s="15" t="s">
        <v>961</v>
      </c>
      <c r="G2961" s="15" t="s">
        <v>112</v>
      </c>
      <c r="H2961" s="15"/>
    </row>
    <row r="2962" customFormat="false" ht="15" hidden="false" customHeight="true" outlineLevel="0" collapsed="false">
      <c r="A2962" s="15" t="s">
        <v>389</v>
      </c>
      <c r="B2962" s="15" t="s">
        <v>390</v>
      </c>
      <c r="C2962" s="15" t="s">
        <v>854</v>
      </c>
      <c r="D2962" s="15" t="s">
        <v>803</v>
      </c>
      <c r="E2962" s="15"/>
      <c r="F2962" s="15" t="s">
        <v>961</v>
      </c>
      <c r="G2962" s="15" t="s">
        <v>112</v>
      </c>
      <c r="H2962" s="15"/>
    </row>
    <row r="2963" customFormat="false" ht="15" hidden="false" customHeight="true" outlineLevel="0" collapsed="false">
      <c r="A2963" s="15" t="s">
        <v>389</v>
      </c>
      <c r="B2963" s="15" t="s">
        <v>390</v>
      </c>
      <c r="C2963" s="15" t="s">
        <v>87</v>
      </c>
      <c r="D2963" s="15" t="s">
        <v>803</v>
      </c>
      <c r="E2963" s="15"/>
      <c r="F2963" s="15" t="s">
        <v>971</v>
      </c>
      <c r="G2963" s="15" t="s">
        <v>112</v>
      </c>
      <c r="H2963" s="15" t="s">
        <v>972</v>
      </c>
    </row>
    <row r="2964" customFormat="false" ht="15" hidden="false" customHeight="true" outlineLevel="0" collapsed="false">
      <c r="A2964" s="15" t="s">
        <v>389</v>
      </c>
      <c r="B2964" s="15" t="s">
        <v>390</v>
      </c>
      <c r="C2964" s="15" t="s">
        <v>973</v>
      </c>
      <c r="D2964" s="15" t="s">
        <v>803</v>
      </c>
      <c r="E2964" s="15"/>
      <c r="F2964" s="15" t="s">
        <v>971</v>
      </c>
      <c r="G2964" s="15" t="s">
        <v>112</v>
      </c>
      <c r="H2964" s="15" t="s">
        <v>972</v>
      </c>
    </row>
    <row r="2965" customFormat="false" ht="15" hidden="false" customHeight="true" outlineLevel="0" collapsed="false">
      <c r="A2965" s="15" t="s">
        <v>392</v>
      </c>
      <c r="B2965" s="15" t="s">
        <v>393</v>
      </c>
      <c r="C2965" s="15" t="s">
        <v>769</v>
      </c>
      <c r="D2965" s="15" t="n">
        <v>5</v>
      </c>
      <c r="E2965" s="15" t="s">
        <v>721</v>
      </c>
      <c r="F2965" s="15" t="s">
        <v>961</v>
      </c>
      <c r="G2965" s="15" t="s">
        <v>112</v>
      </c>
      <c r="H2965" s="15"/>
    </row>
    <row r="2966" customFormat="false" ht="15" hidden="false" customHeight="true" outlineLevel="0" collapsed="false">
      <c r="A2966" s="15" t="s">
        <v>392</v>
      </c>
      <c r="B2966" s="15" t="s">
        <v>393</v>
      </c>
      <c r="C2966" s="15" t="s">
        <v>714</v>
      </c>
      <c r="D2966" s="15" t="n">
        <v>154</v>
      </c>
      <c r="E2966" s="15" t="s">
        <v>715</v>
      </c>
      <c r="F2966" s="15" t="s">
        <v>961</v>
      </c>
      <c r="G2966" s="15" t="s">
        <v>112</v>
      </c>
      <c r="H2966" s="15"/>
    </row>
    <row r="2967" customFormat="false" ht="15" hidden="false" customHeight="true" outlineLevel="0" collapsed="false">
      <c r="A2967" s="15" t="s">
        <v>392</v>
      </c>
      <c r="B2967" s="15" t="s">
        <v>393</v>
      </c>
      <c r="C2967" s="15" t="s">
        <v>718</v>
      </c>
      <c r="D2967" s="15" t="s">
        <v>302</v>
      </c>
      <c r="E2967" s="15"/>
      <c r="F2967" s="15" t="s">
        <v>961</v>
      </c>
      <c r="G2967" s="15" t="s">
        <v>112</v>
      </c>
      <c r="H2967" s="15"/>
    </row>
    <row r="2968" customFormat="false" ht="15" hidden="false" customHeight="true" outlineLevel="0" collapsed="false">
      <c r="A2968" s="15" t="s">
        <v>392</v>
      </c>
      <c r="B2968" s="15" t="s">
        <v>393</v>
      </c>
      <c r="C2968" s="15" t="s">
        <v>935</v>
      </c>
      <c r="D2968" s="15" t="s">
        <v>936</v>
      </c>
      <c r="E2968" s="15"/>
      <c r="F2968" s="15" t="s">
        <v>961</v>
      </c>
      <c r="G2968" s="15" t="s">
        <v>112</v>
      </c>
      <c r="H2968" s="15"/>
    </row>
    <row r="2969" customFormat="false" ht="15" hidden="false" customHeight="true" outlineLevel="0" collapsed="false">
      <c r="A2969" s="15" t="s">
        <v>392</v>
      </c>
      <c r="B2969" s="15" t="s">
        <v>393</v>
      </c>
      <c r="C2969" s="15" t="s">
        <v>84</v>
      </c>
      <c r="D2969" s="15" t="n">
        <v>195</v>
      </c>
      <c r="E2969" s="15" t="s">
        <v>725</v>
      </c>
      <c r="F2969" s="15" t="s">
        <v>961</v>
      </c>
      <c r="G2969" s="15" t="s">
        <v>112</v>
      </c>
      <c r="H2969" s="15"/>
    </row>
    <row r="2970" customFormat="false" ht="15" hidden="false" customHeight="true" outlineLevel="0" collapsed="false">
      <c r="A2970" s="15" t="s">
        <v>392</v>
      </c>
      <c r="B2970" s="15" t="s">
        <v>393</v>
      </c>
      <c r="C2970" s="15" t="s">
        <v>722</v>
      </c>
      <c r="D2970" s="15" t="n">
        <v>366</v>
      </c>
      <c r="E2970" s="15" t="s">
        <v>723</v>
      </c>
      <c r="F2970" s="15" t="s">
        <v>961</v>
      </c>
      <c r="G2970" s="15" t="s">
        <v>112</v>
      </c>
      <c r="H2970" s="15"/>
    </row>
    <row r="2971" customFormat="false" ht="15" hidden="false" customHeight="true" outlineLevel="0" collapsed="false">
      <c r="A2971" s="15" t="s">
        <v>392</v>
      </c>
      <c r="B2971" s="15" t="s">
        <v>393</v>
      </c>
      <c r="C2971" s="15" t="s">
        <v>726</v>
      </c>
      <c r="D2971" s="15" t="n">
        <v>3880</v>
      </c>
      <c r="E2971" s="15" t="s">
        <v>725</v>
      </c>
      <c r="F2971" s="15" t="s">
        <v>961</v>
      </c>
      <c r="G2971" s="15" t="s">
        <v>112</v>
      </c>
      <c r="H2971" s="15"/>
    </row>
    <row r="2972" customFormat="false" ht="15" hidden="false" customHeight="true" outlineLevel="0" collapsed="false">
      <c r="A2972" s="15" t="s">
        <v>392</v>
      </c>
      <c r="B2972" s="15" t="s">
        <v>393</v>
      </c>
      <c r="C2972" s="15" t="s">
        <v>727</v>
      </c>
      <c r="D2972" s="15" t="n">
        <v>1742</v>
      </c>
      <c r="E2972" s="15" t="s">
        <v>725</v>
      </c>
      <c r="F2972" s="15" t="s">
        <v>961</v>
      </c>
      <c r="G2972" s="15" t="s">
        <v>112</v>
      </c>
      <c r="H2972" s="15"/>
    </row>
    <row r="2973" customFormat="false" ht="15" hidden="false" customHeight="true" outlineLevel="0" collapsed="false">
      <c r="A2973" s="15" t="s">
        <v>392</v>
      </c>
      <c r="B2973" s="15" t="s">
        <v>393</v>
      </c>
      <c r="C2973" s="15" t="s">
        <v>728</v>
      </c>
      <c r="D2973" s="15" t="n">
        <v>1622</v>
      </c>
      <c r="E2973" s="15" t="s">
        <v>725</v>
      </c>
      <c r="F2973" s="15" t="s">
        <v>961</v>
      </c>
      <c r="G2973" s="15" t="s">
        <v>112</v>
      </c>
      <c r="H2973" s="15"/>
    </row>
    <row r="2974" customFormat="false" ht="15" hidden="false" customHeight="true" outlineLevel="0" collapsed="false">
      <c r="A2974" s="15" t="s">
        <v>392</v>
      </c>
      <c r="B2974" s="15" t="s">
        <v>393</v>
      </c>
      <c r="C2974" s="15" t="s">
        <v>729</v>
      </c>
      <c r="D2974" s="15" t="n">
        <v>2445</v>
      </c>
      <c r="E2974" s="15" t="s">
        <v>725</v>
      </c>
      <c r="F2974" s="15" t="s">
        <v>961</v>
      </c>
      <c r="G2974" s="15" t="s">
        <v>112</v>
      </c>
      <c r="H2974" s="15"/>
    </row>
    <row r="2975" customFormat="false" ht="15" hidden="false" customHeight="true" outlineLevel="0" collapsed="false">
      <c r="A2975" s="15" t="s">
        <v>392</v>
      </c>
      <c r="B2975" s="15" t="s">
        <v>393</v>
      </c>
      <c r="C2975" s="15" t="s">
        <v>739</v>
      </c>
      <c r="D2975" s="15" t="s">
        <v>962</v>
      </c>
      <c r="E2975" s="15" t="s">
        <v>738</v>
      </c>
      <c r="F2975" s="15" t="s">
        <v>961</v>
      </c>
      <c r="G2975" s="15" t="s">
        <v>112</v>
      </c>
      <c r="H2975" s="15"/>
    </row>
    <row r="2976" customFormat="false" ht="15" hidden="false" customHeight="true" outlineLevel="0" collapsed="false">
      <c r="A2976" s="15" t="s">
        <v>392</v>
      </c>
      <c r="B2976" s="15" t="s">
        <v>393</v>
      </c>
      <c r="C2976" s="15" t="s">
        <v>939</v>
      </c>
      <c r="D2976" s="15" t="n">
        <v>30</v>
      </c>
      <c r="E2976" s="15"/>
      <c r="F2976" s="15" t="s">
        <v>961</v>
      </c>
      <c r="G2976" s="15" t="s">
        <v>112</v>
      </c>
      <c r="H2976" s="15"/>
    </row>
    <row r="2977" customFormat="false" ht="15" hidden="false" customHeight="true" outlineLevel="0" collapsed="false">
      <c r="A2977" s="15" t="s">
        <v>392</v>
      </c>
      <c r="B2977" s="15" t="s">
        <v>393</v>
      </c>
      <c r="C2977" s="15" t="s">
        <v>789</v>
      </c>
      <c r="D2977" s="15" t="s">
        <v>790</v>
      </c>
      <c r="E2977" s="15"/>
      <c r="F2977" s="15" t="s">
        <v>961</v>
      </c>
      <c r="G2977" s="15" t="s">
        <v>112</v>
      </c>
      <c r="H2977" s="15"/>
    </row>
    <row r="2978" customFormat="false" ht="15" hidden="false" customHeight="true" outlineLevel="0" collapsed="false">
      <c r="A2978" s="15" t="s">
        <v>392</v>
      </c>
      <c r="B2978" s="15" t="s">
        <v>393</v>
      </c>
      <c r="C2978" s="15" t="s">
        <v>875</v>
      </c>
      <c r="D2978" s="15" t="s">
        <v>963</v>
      </c>
      <c r="E2978" s="15"/>
      <c r="F2978" s="15" t="s">
        <v>961</v>
      </c>
      <c r="G2978" s="15" t="s">
        <v>112</v>
      </c>
      <c r="H2978" s="15"/>
    </row>
    <row r="2979" customFormat="false" ht="15" hidden="false" customHeight="true" outlineLevel="0" collapsed="false">
      <c r="A2979" s="15" t="s">
        <v>392</v>
      </c>
      <c r="B2979" s="15" t="s">
        <v>393</v>
      </c>
      <c r="C2979" s="15" t="s">
        <v>835</v>
      </c>
      <c r="D2979" s="15" t="s">
        <v>836</v>
      </c>
      <c r="E2979" s="15"/>
      <c r="F2979" s="15" t="s">
        <v>961</v>
      </c>
      <c r="G2979" s="15" t="s">
        <v>112</v>
      </c>
      <c r="H2979" s="15"/>
    </row>
    <row r="2980" customFormat="false" ht="15" hidden="false" customHeight="true" outlineLevel="0" collapsed="false">
      <c r="A2980" s="15" t="s">
        <v>392</v>
      </c>
      <c r="B2980" s="15" t="s">
        <v>393</v>
      </c>
      <c r="C2980" s="15" t="s">
        <v>833</v>
      </c>
      <c r="D2980" s="15" t="s">
        <v>938</v>
      </c>
      <c r="E2980" s="15"/>
      <c r="F2980" s="15" t="s">
        <v>961</v>
      </c>
      <c r="G2980" s="15" t="s">
        <v>112</v>
      </c>
      <c r="H2980" s="15"/>
    </row>
    <row r="2981" customFormat="false" ht="15" hidden="false" customHeight="true" outlineLevel="0" collapsed="false">
      <c r="A2981" s="15" t="s">
        <v>392</v>
      </c>
      <c r="B2981" s="15" t="s">
        <v>393</v>
      </c>
      <c r="C2981" s="15" t="s">
        <v>86</v>
      </c>
      <c r="D2981" s="15" t="n">
        <v>6</v>
      </c>
      <c r="E2981" s="15" t="s">
        <v>721</v>
      </c>
      <c r="F2981" s="15" t="s">
        <v>961</v>
      </c>
      <c r="G2981" s="15" t="s">
        <v>112</v>
      </c>
      <c r="H2981" s="15"/>
    </row>
    <row r="2982" customFormat="false" ht="15" hidden="false" customHeight="true" outlineLevel="0" collapsed="false">
      <c r="A2982" s="15" t="s">
        <v>392</v>
      </c>
      <c r="B2982" s="15" t="s">
        <v>393</v>
      </c>
      <c r="C2982" s="15" t="s">
        <v>737</v>
      </c>
      <c r="D2982" s="15" t="n">
        <v>95</v>
      </c>
      <c r="E2982" s="15" t="s">
        <v>738</v>
      </c>
      <c r="F2982" s="15" t="s">
        <v>961</v>
      </c>
      <c r="G2982" s="15" t="s">
        <v>112</v>
      </c>
      <c r="H2982" s="15"/>
    </row>
    <row r="2983" customFormat="false" ht="15" hidden="false" customHeight="true" outlineLevel="0" collapsed="false">
      <c r="A2983" s="15" t="s">
        <v>392</v>
      </c>
      <c r="B2983" s="15" t="s">
        <v>393</v>
      </c>
      <c r="C2983" s="15" t="s">
        <v>811</v>
      </c>
      <c r="D2983" s="15" t="n">
        <v>9</v>
      </c>
      <c r="E2983" s="15" t="s">
        <v>812</v>
      </c>
      <c r="F2983" s="15" t="s">
        <v>961</v>
      </c>
      <c r="G2983" s="15" t="s">
        <v>112</v>
      </c>
      <c r="H2983" s="15"/>
    </row>
    <row r="2984" customFormat="false" ht="15" hidden="false" customHeight="true" outlineLevel="0" collapsed="false">
      <c r="A2984" s="15" t="s">
        <v>392</v>
      </c>
      <c r="B2984" s="15" t="s">
        <v>393</v>
      </c>
      <c r="C2984" s="15" t="s">
        <v>733</v>
      </c>
      <c r="D2984" s="15" t="s">
        <v>975</v>
      </c>
      <c r="E2984" s="15"/>
      <c r="F2984" s="15" t="s">
        <v>961</v>
      </c>
      <c r="G2984" s="15" t="s">
        <v>112</v>
      </c>
      <c r="H2984" s="15"/>
    </row>
    <row r="2985" customFormat="false" ht="15" hidden="false" customHeight="true" outlineLevel="0" collapsed="false">
      <c r="A2985" s="15" t="s">
        <v>392</v>
      </c>
      <c r="B2985" s="15" t="s">
        <v>393</v>
      </c>
      <c r="C2985" s="15" t="s">
        <v>776</v>
      </c>
      <c r="D2985" s="15" t="s">
        <v>976</v>
      </c>
      <c r="E2985" s="15"/>
      <c r="F2985" s="15" t="s">
        <v>961</v>
      </c>
      <c r="G2985" s="15" t="s">
        <v>112</v>
      </c>
      <c r="H2985" s="15"/>
    </row>
    <row r="2986" customFormat="false" ht="39" hidden="false" customHeight="true" outlineLevel="0" collapsed="false">
      <c r="A2986" s="15" t="s">
        <v>392</v>
      </c>
      <c r="B2986" s="15" t="s">
        <v>393</v>
      </c>
      <c r="C2986" s="15" t="s">
        <v>98</v>
      </c>
      <c r="D2986" s="15" t="s">
        <v>950</v>
      </c>
      <c r="E2986" s="15"/>
      <c r="F2986" s="15" t="s">
        <v>961</v>
      </c>
      <c r="G2986" s="15" t="s">
        <v>112</v>
      </c>
      <c r="H2986" s="15"/>
    </row>
    <row r="2987" customFormat="false" ht="26.25" hidden="false" customHeight="true" outlineLevel="0" collapsed="false">
      <c r="A2987" s="15" t="s">
        <v>392</v>
      </c>
      <c r="B2987" s="15" t="s">
        <v>393</v>
      </c>
      <c r="C2987" s="15" t="s">
        <v>940</v>
      </c>
      <c r="D2987" s="15" t="n">
        <v>5.3</v>
      </c>
      <c r="E2987" s="15"/>
      <c r="F2987" s="15" t="s">
        <v>961</v>
      </c>
      <c r="G2987" s="15" t="s">
        <v>112</v>
      </c>
      <c r="H2987" s="15"/>
    </row>
    <row r="2988" customFormat="false" ht="15" hidden="false" customHeight="true" outlineLevel="0" collapsed="false">
      <c r="A2988" s="15" t="s">
        <v>392</v>
      </c>
      <c r="B2988" s="15" t="s">
        <v>393</v>
      </c>
      <c r="C2988" s="15" t="s">
        <v>749</v>
      </c>
      <c r="D2988" s="15" t="s">
        <v>120</v>
      </c>
      <c r="E2988" s="15"/>
      <c r="F2988" s="15" t="s">
        <v>961</v>
      </c>
      <c r="G2988" s="15" t="s">
        <v>112</v>
      </c>
      <c r="H2988" s="15"/>
    </row>
    <row r="2989" customFormat="false" ht="15" hidden="false" customHeight="true" outlineLevel="0" collapsed="false">
      <c r="A2989" s="15" t="s">
        <v>392</v>
      </c>
      <c r="B2989" s="15" t="s">
        <v>393</v>
      </c>
      <c r="C2989" s="15" t="s">
        <v>752</v>
      </c>
      <c r="D2989" s="15" t="s">
        <v>952</v>
      </c>
      <c r="E2989" s="15"/>
      <c r="F2989" s="15" t="s">
        <v>961</v>
      </c>
      <c r="G2989" s="15" t="s">
        <v>112</v>
      </c>
      <c r="H2989" s="15"/>
    </row>
    <row r="2990" customFormat="false" ht="15" hidden="false" customHeight="true" outlineLevel="0" collapsed="false">
      <c r="A2990" s="15" t="s">
        <v>392</v>
      </c>
      <c r="B2990" s="15" t="s">
        <v>393</v>
      </c>
      <c r="C2990" s="15" t="s">
        <v>90</v>
      </c>
      <c r="D2990" s="15" t="s">
        <v>120</v>
      </c>
      <c r="E2990" s="15"/>
      <c r="F2990" s="15" t="s">
        <v>961</v>
      </c>
      <c r="G2990" s="15" t="s">
        <v>112</v>
      </c>
      <c r="H2990" s="15"/>
    </row>
    <row r="2991" customFormat="false" ht="15" hidden="false" customHeight="true" outlineLevel="0" collapsed="false">
      <c r="A2991" s="15" t="s">
        <v>392</v>
      </c>
      <c r="B2991" s="15" t="s">
        <v>393</v>
      </c>
      <c r="C2991" s="15" t="s">
        <v>754</v>
      </c>
      <c r="D2991" s="15" t="s">
        <v>755</v>
      </c>
      <c r="E2991" s="15"/>
      <c r="F2991" s="15" t="s">
        <v>961</v>
      </c>
      <c r="G2991" s="15" t="s">
        <v>112</v>
      </c>
      <c r="H2991" s="15"/>
    </row>
    <row r="2992" customFormat="false" ht="15" hidden="false" customHeight="true" outlineLevel="0" collapsed="false">
      <c r="A2992" s="15" t="s">
        <v>392</v>
      </c>
      <c r="B2992" s="15" t="s">
        <v>393</v>
      </c>
      <c r="C2992" s="15" t="s">
        <v>743</v>
      </c>
      <c r="D2992" s="15" t="s">
        <v>948</v>
      </c>
      <c r="E2992" s="15"/>
      <c r="F2992" s="15" t="s">
        <v>961</v>
      </c>
      <c r="G2992" s="15" t="s">
        <v>112</v>
      </c>
      <c r="H2992" s="15"/>
    </row>
    <row r="2993" customFormat="false" ht="15" hidden="false" customHeight="true" outlineLevel="0" collapsed="false">
      <c r="A2993" s="15" t="s">
        <v>392</v>
      </c>
      <c r="B2993" s="15" t="s">
        <v>393</v>
      </c>
      <c r="C2993" s="15" t="s">
        <v>759</v>
      </c>
      <c r="D2993" s="15" t="s">
        <v>944</v>
      </c>
      <c r="E2993" s="15"/>
      <c r="F2993" s="15" t="s">
        <v>961</v>
      </c>
      <c r="G2993" s="15" t="s">
        <v>112</v>
      </c>
      <c r="H2993" s="15"/>
    </row>
    <row r="2994" customFormat="false" ht="15" hidden="false" customHeight="true" outlineLevel="0" collapsed="false">
      <c r="A2994" s="15" t="s">
        <v>392</v>
      </c>
      <c r="B2994" s="15" t="s">
        <v>393</v>
      </c>
      <c r="C2994" s="15" t="s">
        <v>946</v>
      </c>
      <c r="D2994" s="15" t="s">
        <v>977</v>
      </c>
      <c r="E2994" s="15"/>
      <c r="F2994" s="15" t="s">
        <v>961</v>
      </c>
      <c r="G2994" s="15" t="s">
        <v>112</v>
      </c>
      <c r="H2994" s="15"/>
    </row>
    <row r="2995" customFormat="false" ht="15" hidden="false" customHeight="true" outlineLevel="0" collapsed="false">
      <c r="A2995" s="15" t="s">
        <v>392</v>
      </c>
      <c r="B2995" s="15" t="s">
        <v>393</v>
      </c>
      <c r="C2995" s="15" t="s">
        <v>920</v>
      </c>
      <c r="D2995" s="15" t="s">
        <v>803</v>
      </c>
      <c r="E2995" s="15"/>
      <c r="F2995" s="15" t="s">
        <v>961</v>
      </c>
      <c r="G2995" s="15" t="s">
        <v>112</v>
      </c>
      <c r="H2995" s="15"/>
    </row>
    <row r="2996" customFormat="false" ht="15" hidden="false" customHeight="true" outlineLevel="0" collapsed="false">
      <c r="A2996" s="15" t="s">
        <v>392</v>
      </c>
      <c r="B2996" s="15" t="s">
        <v>393</v>
      </c>
      <c r="C2996" s="15" t="s">
        <v>848</v>
      </c>
      <c r="D2996" s="15" t="s">
        <v>849</v>
      </c>
      <c r="E2996" s="15"/>
      <c r="F2996" s="15" t="s">
        <v>961</v>
      </c>
      <c r="G2996" s="15" t="s">
        <v>112</v>
      </c>
      <c r="H2996" s="15"/>
    </row>
    <row r="2997" customFormat="false" ht="15" hidden="false" customHeight="true" outlineLevel="0" collapsed="false">
      <c r="A2997" s="15" t="s">
        <v>392</v>
      </c>
      <c r="B2997" s="15" t="s">
        <v>393</v>
      </c>
      <c r="C2997" s="15" t="s">
        <v>854</v>
      </c>
      <c r="D2997" s="15" t="s">
        <v>803</v>
      </c>
      <c r="E2997" s="15"/>
      <c r="F2997" s="15" t="s">
        <v>961</v>
      </c>
      <c r="G2997" s="15" t="s">
        <v>112</v>
      </c>
      <c r="H2997" s="15"/>
    </row>
    <row r="2998" customFormat="false" ht="15" hidden="false" customHeight="true" outlineLevel="0" collapsed="false">
      <c r="A2998" s="15" t="s">
        <v>392</v>
      </c>
      <c r="B2998" s="15" t="s">
        <v>393</v>
      </c>
      <c r="C2998" s="15" t="s">
        <v>747</v>
      </c>
      <c r="D2998" s="15" t="s">
        <v>912</v>
      </c>
      <c r="E2998" s="15"/>
      <c r="F2998" s="15" t="s">
        <v>961</v>
      </c>
      <c r="G2998" s="15" t="s">
        <v>112</v>
      </c>
      <c r="H2998" s="15"/>
    </row>
    <row r="2999" customFormat="false" ht="15" hidden="false" customHeight="true" outlineLevel="0" collapsed="false">
      <c r="A2999" s="15" t="s">
        <v>392</v>
      </c>
      <c r="B2999" s="15" t="s">
        <v>393</v>
      </c>
      <c r="C2999" s="15" t="s">
        <v>87</v>
      </c>
      <c r="D2999" s="15" t="s">
        <v>803</v>
      </c>
      <c r="E2999" s="15"/>
      <c r="F2999" s="15" t="s">
        <v>971</v>
      </c>
      <c r="G2999" s="15" t="s">
        <v>112</v>
      </c>
      <c r="H2999" s="15" t="s">
        <v>972</v>
      </c>
    </row>
    <row r="3000" customFormat="false" ht="15" hidden="false" customHeight="true" outlineLevel="0" collapsed="false">
      <c r="A3000" s="15" t="s">
        <v>392</v>
      </c>
      <c r="B3000" s="15" t="s">
        <v>393</v>
      </c>
      <c r="C3000" s="15" t="s">
        <v>973</v>
      </c>
      <c r="D3000" s="15" t="s">
        <v>803</v>
      </c>
      <c r="E3000" s="15"/>
      <c r="F3000" s="15" t="s">
        <v>971</v>
      </c>
      <c r="G3000" s="15" t="s">
        <v>112</v>
      </c>
      <c r="H3000" s="15" t="s">
        <v>972</v>
      </c>
    </row>
    <row r="3001" customFormat="false" ht="15" hidden="false" customHeight="true" outlineLevel="0" collapsed="false">
      <c r="A3001" s="15" t="s">
        <v>395</v>
      </c>
      <c r="B3001" s="15" t="s">
        <v>396</v>
      </c>
      <c r="C3001" s="15" t="s">
        <v>769</v>
      </c>
      <c r="D3001" s="15" t="n">
        <v>5</v>
      </c>
      <c r="E3001" s="15" t="s">
        <v>721</v>
      </c>
      <c r="F3001" s="15" t="s">
        <v>961</v>
      </c>
      <c r="G3001" s="15" t="s">
        <v>112</v>
      </c>
      <c r="H3001" s="15"/>
    </row>
    <row r="3002" customFormat="false" ht="15" hidden="false" customHeight="true" outlineLevel="0" collapsed="false">
      <c r="A3002" s="15" t="s">
        <v>395</v>
      </c>
      <c r="B3002" s="15" t="s">
        <v>396</v>
      </c>
      <c r="C3002" s="15" t="s">
        <v>714</v>
      </c>
      <c r="D3002" s="15" t="n">
        <v>154</v>
      </c>
      <c r="E3002" s="15" t="s">
        <v>715</v>
      </c>
      <c r="F3002" s="15" t="s">
        <v>961</v>
      </c>
      <c r="G3002" s="15" t="s">
        <v>112</v>
      </c>
      <c r="H3002" s="15"/>
    </row>
    <row r="3003" customFormat="false" ht="15" hidden="false" customHeight="true" outlineLevel="0" collapsed="false">
      <c r="A3003" s="15" t="s">
        <v>395</v>
      </c>
      <c r="B3003" s="15" t="s">
        <v>396</v>
      </c>
      <c r="C3003" s="15" t="s">
        <v>718</v>
      </c>
      <c r="D3003" s="15" t="s">
        <v>302</v>
      </c>
      <c r="E3003" s="15"/>
      <c r="F3003" s="15" t="s">
        <v>961</v>
      </c>
      <c r="G3003" s="15" t="s">
        <v>112</v>
      </c>
      <c r="H3003" s="15"/>
    </row>
    <row r="3004" customFormat="false" ht="15" hidden="false" customHeight="true" outlineLevel="0" collapsed="false">
      <c r="A3004" s="15" t="s">
        <v>395</v>
      </c>
      <c r="B3004" s="15" t="s">
        <v>396</v>
      </c>
      <c r="C3004" s="15" t="s">
        <v>935</v>
      </c>
      <c r="D3004" s="15" t="s">
        <v>936</v>
      </c>
      <c r="E3004" s="15"/>
      <c r="F3004" s="15" t="s">
        <v>961</v>
      </c>
      <c r="G3004" s="15" t="s">
        <v>112</v>
      </c>
      <c r="H3004" s="15"/>
    </row>
    <row r="3005" customFormat="false" ht="15" hidden="false" customHeight="true" outlineLevel="0" collapsed="false">
      <c r="A3005" s="15" t="s">
        <v>395</v>
      </c>
      <c r="B3005" s="15" t="s">
        <v>396</v>
      </c>
      <c r="C3005" s="15" t="s">
        <v>84</v>
      </c>
      <c r="D3005" s="15" t="n">
        <v>195</v>
      </c>
      <c r="E3005" s="15" t="s">
        <v>725</v>
      </c>
      <c r="F3005" s="15" t="s">
        <v>961</v>
      </c>
      <c r="G3005" s="15" t="s">
        <v>112</v>
      </c>
      <c r="H3005" s="15"/>
    </row>
    <row r="3006" customFormat="false" ht="15" hidden="false" customHeight="true" outlineLevel="0" collapsed="false">
      <c r="A3006" s="15" t="s">
        <v>395</v>
      </c>
      <c r="B3006" s="15" t="s">
        <v>396</v>
      </c>
      <c r="C3006" s="15" t="s">
        <v>722</v>
      </c>
      <c r="D3006" s="15" t="n">
        <v>366</v>
      </c>
      <c r="E3006" s="15" t="s">
        <v>723</v>
      </c>
      <c r="F3006" s="15" t="s">
        <v>961</v>
      </c>
      <c r="G3006" s="15" t="s">
        <v>112</v>
      </c>
      <c r="H3006" s="15"/>
    </row>
    <row r="3007" customFormat="false" ht="15" hidden="false" customHeight="true" outlineLevel="0" collapsed="false">
      <c r="A3007" s="15" t="s">
        <v>395</v>
      </c>
      <c r="B3007" s="15" t="s">
        <v>396</v>
      </c>
      <c r="C3007" s="15" t="s">
        <v>726</v>
      </c>
      <c r="D3007" s="15" t="n">
        <v>3880</v>
      </c>
      <c r="E3007" s="15" t="s">
        <v>725</v>
      </c>
      <c r="F3007" s="15" t="s">
        <v>961</v>
      </c>
      <c r="G3007" s="15" t="s">
        <v>112</v>
      </c>
      <c r="H3007" s="15"/>
    </row>
    <row r="3008" customFormat="false" ht="15" hidden="false" customHeight="true" outlineLevel="0" collapsed="false">
      <c r="A3008" s="15" t="s">
        <v>395</v>
      </c>
      <c r="B3008" s="15" t="s">
        <v>396</v>
      </c>
      <c r="C3008" s="15" t="s">
        <v>727</v>
      </c>
      <c r="D3008" s="15" t="n">
        <v>1742</v>
      </c>
      <c r="E3008" s="15" t="s">
        <v>725</v>
      </c>
      <c r="F3008" s="15" t="s">
        <v>961</v>
      </c>
      <c r="G3008" s="15" t="s">
        <v>112</v>
      </c>
      <c r="H3008" s="15"/>
    </row>
    <row r="3009" customFormat="false" ht="15" hidden="false" customHeight="true" outlineLevel="0" collapsed="false">
      <c r="A3009" s="15" t="s">
        <v>395</v>
      </c>
      <c r="B3009" s="15" t="s">
        <v>396</v>
      </c>
      <c r="C3009" s="15" t="s">
        <v>728</v>
      </c>
      <c r="D3009" s="15" t="n">
        <v>1622</v>
      </c>
      <c r="E3009" s="15" t="s">
        <v>725</v>
      </c>
      <c r="F3009" s="15" t="s">
        <v>961</v>
      </c>
      <c r="G3009" s="15" t="s">
        <v>112</v>
      </c>
      <c r="H3009" s="15"/>
    </row>
    <row r="3010" customFormat="false" ht="15" hidden="false" customHeight="true" outlineLevel="0" collapsed="false">
      <c r="A3010" s="15" t="s">
        <v>395</v>
      </c>
      <c r="B3010" s="15" t="s">
        <v>396</v>
      </c>
      <c r="C3010" s="15" t="s">
        <v>729</v>
      </c>
      <c r="D3010" s="15" t="n">
        <v>2445</v>
      </c>
      <c r="E3010" s="15" t="s">
        <v>725</v>
      </c>
      <c r="F3010" s="15" t="s">
        <v>961</v>
      </c>
      <c r="G3010" s="15" t="s">
        <v>112</v>
      </c>
      <c r="H3010" s="15"/>
    </row>
    <row r="3011" customFormat="false" ht="15" hidden="false" customHeight="true" outlineLevel="0" collapsed="false">
      <c r="A3011" s="15" t="s">
        <v>395</v>
      </c>
      <c r="B3011" s="15" t="s">
        <v>396</v>
      </c>
      <c r="C3011" s="15" t="s">
        <v>739</v>
      </c>
      <c r="D3011" s="15" t="s">
        <v>962</v>
      </c>
      <c r="E3011" s="15" t="s">
        <v>738</v>
      </c>
      <c r="F3011" s="15" t="s">
        <v>961</v>
      </c>
      <c r="G3011" s="15" t="s">
        <v>112</v>
      </c>
      <c r="H3011" s="15"/>
    </row>
    <row r="3012" customFormat="false" ht="15" hidden="false" customHeight="true" outlineLevel="0" collapsed="false">
      <c r="A3012" s="15" t="s">
        <v>395</v>
      </c>
      <c r="B3012" s="15" t="s">
        <v>396</v>
      </c>
      <c r="C3012" s="15" t="s">
        <v>939</v>
      </c>
      <c r="D3012" s="15" t="n">
        <v>30</v>
      </c>
      <c r="E3012" s="15"/>
      <c r="F3012" s="15" t="s">
        <v>961</v>
      </c>
      <c r="G3012" s="15" t="s">
        <v>112</v>
      </c>
      <c r="H3012" s="15"/>
    </row>
    <row r="3013" customFormat="false" ht="15" hidden="false" customHeight="true" outlineLevel="0" collapsed="false">
      <c r="A3013" s="15" t="s">
        <v>395</v>
      </c>
      <c r="B3013" s="15" t="s">
        <v>396</v>
      </c>
      <c r="C3013" s="15" t="s">
        <v>789</v>
      </c>
      <c r="D3013" s="15" t="s">
        <v>790</v>
      </c>
      <c r="E3013" s="15"/>
      <c r="F3013" s="15" t="s">
        <v>961</v>
      </c>
      <c r="G3013" s="15" t="s">
        <v>112</v>
      </c>
      <c r="H3013" s="15"/>
    </row>
    <row r="3014" customFormat="false" ht="15" hidden="false" customHeight="true" outlineLevel="0" collapsed="false">
      <c r="A3014" s="15" t="s">
        <v>395</v>
      </c>
      <c r="B3014" s="15" t="s">
        <v>396</v>
      </c>
      <c r="C3014" s="15" t="s">
        <v>875</v>
      </c>
      <c r="D3014" s="15" t="s">
        <v>963</v>
      </c>
      <c r="E3014" s="15"/>
      <c r="F3014" s="15" t="s">
        <v>961</v>
      </c>
      <c r="G3014" s="15" t="s">
        <v>112</v>
      </c>
      <c r="H3014" s="15"/>
    </row>
    <row r="3015" customFormat="false" ht="15" hidden="false" customHeight="true" outlineLevel="0" collapsed="false">
      <c r="A3015" s="15" t="s">
        <v>395</v>
      </c>
      <c r="B3015" s="15" t="s">
        <v>396</v>
      </c>
      <c r="C3015" s="15" t="s">
        <v>835</v>
      </c>
      <c r="D3015" s="15" t="s">
        <v>836</v>
      </c>
      <c r="E3015" s="15"/>
      <c r="F3015" s="15" t="s">
        <v>961</v>
      </c>
      <c r="G3015" s="15" t="s">
        <v>112</v>
      </c>
      <c r="H3015" s="15"/>
    </row>
    <row r="3016" customFormat="false" ht="15" hidden="false" customHeight="true" outlineLevel="0" collapsed="false">
      <c r="A3016" s="15" t="s">
        <v>395</v>
      </c>
      <c r="B3016" s="15" t="s">
        <v>396</v>
      </c>
      <c r="C3016" s="15" t="s">
        <v>833</v>
      </c>
      <c r="D3016" s="15" t="s">
        <v>938</v>
      </c>
      <c r="E3016" s="15"/>
      <c r="F3016" s="15" t="s">
        <v>961</v>
      </c>
      <c r="G3016" s="15" t="s">
        <v>112</v>
      </c>
      <c r="H3016" s="15"/>
    </row>
    <row r="3017" customFormat="false" ht="15" hidden="false" customHeight="true" outlineLevel="0" collapsed="false">
      <c r="A3017" s="15" t="s">
        <v>395</v>
      </c>
      <c r="B3017" s="15" t="s">
        <v>396</v>
      </c>
      <c r="C3017" s="15" t="s">
        <v>86</v>
      </c>
      <c r="D3017" s="15" t="n">
        <v>6</v>
      </c>
      <c r="E3017" s="15" t="s">
        <v>721</v>
      </c>
      <c r="F3017" s="15" t="s">
        <v>961</v>
      </c>
      <c r="G3017" s="15" t="s">
        <v>112</v>
      </c>
      <c r="H3017" s="15"/>
    </row>
    <row r="3018" customFormat="false" ht="15" hidden="false" customHeight="true" outlineLevel="0" collapsed="false">
      <c r="A3018" s="15" t="s">
        <v>395</v>
      </c>
      <c r="B3018" s="15" t="s">
        <v>396</v>
      </c>
      <c r="C3018" s="15" t="s">
        <v>737</v>
      </c>
      <c r="D3018" s="15" t="n">
        <v>95</v>
      </c>
      <c r="E3018" s="15" t="s">
        <v>738</v>
      </c>
      <c r="F3018" s="15" t="s">
        <v>961</v>
      </c>
      <c r="G3018" s="15" t="s">
        <v>112</v>
      </c>
      <c r="H3018" s="15"/>
    </row>
    <row r="3019" customFormat="false" ht="15" hidden="false" customHeight="true" outlineLevel="0" collapsed="false">
      <c r="A3019" s="15" t="s">
        <v>395</v>
      </c>
      <c r="B3019" s="15" t="s">
        <v>396</v>
      </c>
      <c r="C3019" s="15" t="s">
        <v>811</v>
      </c>
      <c r="D3019" s="15" t="n">
        <v>9</v>
      </c>
      <c r="E3019" s="15" t="s">
        <v>812</v>
      </c>
      <c r="F3019" s="15" t="s">
        <v>961</v>
      </c>
      <c r="G3019" s="15" t="s">
        <v>112</v>
      </c>
      <c r="H3019" s="15"/>
    </row>
    <row r="3020" customFormat="false" ht="15" hidden="false" customHeight="true" outlineLevel="0" collapsed="false">
      <c r="A3020" s="15" t="s">
        <v>395</v>
      </c>
      <c r="B3020" s="15" t="s">
        <v>396</v>
      </c>
      <c r="C3020" s="15" t="s">
        <v>733</v>
      </c>
      <c r="D3020" s="15" t="s">
        <v>975</v>
      </c>
      <c r="E3020" s="15"/>
      <c r="F3020" s="15" t="s">
        <v>961</v>
      </c>
      <c r="G3020" s="15" t="s">
        <v>112</v>
      </c>
      <c r="H3020" s="15"/>
    </row>
    <row r="3021" customFormat="false" ht="15" hidden="false" customHeight="true" outlineLevel="0" collapsed="false">
      <c r="A3021" s="15" t="s">
        <v>395</v>
      </c>
      <c r="B3021" s="15" t="s">
        <v>396</v>
      </c>
      <c r="C3021" s="15" t="s">
        <v>776</v>
      </c>
      <c r="D3021" s="15" t="s">
        <v>976</v>
      </c>
      <c r="E3021" s="15"/>
      <c r="F3021" s="15" t="s">
        <v>961</v>
      </c>
      <c r="G3021" s="15" t="s">
        <v>112</v>
      </c>
      <c r="H3021" s="15"/>
    </row>
    <row r="3022" customFormat="false" ht="39" hidden="false" customHeight="true" outlineLevel="0" collapsed="false">
      <c r="A3022" s="15" t="s">
        <v>395</v>
      </c>
      <c r="B3022" s="15" t="s">
        <v>396</v>
      </c>
      <c r="C3022" s="15" t="s">
        <v>98</v>
      </c>
      <c r="D3022" s="15" t="s">
        <v>950</v>
      </c>
      <c r="E3022" s="15"/>
      <c r="F3022" s="15" t="s">
        <v>961</v>
      </c>
      <c r="G3022" s="15" t="s">
        <v>112</v>
      </c>
      <c r="H3022" s="15"/>
    </row>
    <row r="3023" customFormat="false" ht="26.25" hidden="false" customHeight="true" outlineLevel="0" collapsed="false">
      <c r="A3023" s="15" t="s">
        <v>395</v>
      </c>
      <c r="B3023" s="15" t="s">
        <v>396</v>
      </c>
      <c r="C3023" s="15" t="s">
        <v>940</v>
      </c>
      <c r="D3023" s="15" t="n">
        <v>5.3</v>
      </c>
      <c r="E3023" s="15"/>
      <c r="F3023" s="15" t="s">
        <v>961</v>
      </c>
      <c r="G3023" s="15" t="s">
        <v>112</v>
      </c>
      <c r="H3023" s="15"/>
    </row>
    <row r="3024" customFormat="false" ht="15" hidden="false" customHeight="true" outlineLevel="0" collapsed="false">
      <c r="A3024" s="15" t="s">
        <v>395</v>
      </c>
      <c r="B3024" s="15" t="s">
        <v>396</v>
      </c>
      <c r="C3024" s="15" t="s">
        <v>749</v>
      </c>
      <c r="D3024" s="15" t="s">
        <v>120</v>
      </c>
      <c r="E3024" s="15"/>
      <c r="F3024" s="15" t="s">
        <v>961</v>
      </c>
      <c r="G3024" s="15" t="s">
        <v>112</v>
      </c>
      <c r="H3024" s="15"/>
    </row>
    <row r="3025" customFormat="false" ht="15" hidden="false" customHeight="true" outlineLevel="0" collapsed="false">
      <c r="A3025" s="15" t="s">
        <v>395</v>
      </c>
      <c r="B3025" s="15" t="s">
        <v>396</v>
      </c>
      <c r="C3025" s="15" t="s">
        <v>752</v>
      </c>
      <c r="D3025" s="15" t="s">
        <v>952</v>
      </c>
      <c r="E3025" s="15"/>
      <c r="F3025" s="15" t="s">
        <v>961</v>
      </c>
      <c r="G3025" s="15" t="s">
        <v>112</v>
      </c>
      <c r="H3025" s="15"/>
    </row>
    <row r="3026" customFormat="false" ht="15" hidden="false" customHeight="true" outlineLevel="0" collapsed="false">
      <c r="A3026" s="15" t="s">
        <v>395</v>
      </c>
      <c r="B3026" s="15" t="s">
        <v>396</v>
      </c>
      <c r="C3026" s="15" t="s">
        <v>90</v>
      </c>
      <c r="D3026" s="15" t="s">
        <v>953</v>
      </c>
      <c r="E3026" s="15"/>
      <c r="F3026" s="15" t="s">
        <v>961</v>
      </c>
      <c r="G3026" s="15" t="s">
        <v>112</v>
      </c>
      <c r="H3026" s="15"/>
    </row>
    <row r="3027" customFormat="false" ht="15" hidden="false" customHeight="true" outlineLevel="0" collapsed="false">
      <c r="A3027" s="15" t="s">
        <v>395</v>
      </c>
      <c r="B3027" s="15" t="s">
        <v>396</v>
      </c>
      <c r="C3027" s="15" t="s">
        <v>754</v>
      </c>
      <c r="D3027" s="15" t="s">
        <v>803</v>
      </c>
      <c r="E3027" s="15"/>
      <c r="F3027" s="15" t="s">
        <v>961</v>
      </c>
      <c r="G3027" s="15" t="s">
        <v>112</v>
      </c>
      <c r="H3027" s="15"/>
    </row>
    <row r="3028" customFormat="false" ht="15" hidden="false" customHeight="true" outlineLevel="0" collapsed="false">
      <c r="A3028" s="15" t="s">
        <v>395</v>
      </c>
      <c r="B3028" s="15" t="s">
        <v>396</v>
      </c>
      <c r="C3028" s="15" t="s">
        <v>743</v>
      </c>
      <c r="D3028" s="15" t="s">
        <v>948</v>
      </c>
      <c r="E3028" s="15"/>
      <c r="F3028" s="15" t="s">
        <v>961</v>
      </c>
      <c r="G3028" s="15" t="s">
        <v>112</v>
      </c>
      <c r="H3028" s="15"/>
    </row>
    <row r="3029" customFormat="false" ht="15" hidden="false" customHeight="true" outlineLevel="0" collapsed="false">
      <c r="A3029" s="15" t="s">
        <v>395</v>
      </c>
      <c r="B3029" s="15" t="s">
        <v>396</v>
      </c>
      <c r="C3029" s="15" t="s">
        <v>759</v>
      </c>
      <c r="D3029" s="15" t="s">
        <v>944</v>
      </c>
      <c r="E3029" s="15"/>
      <c r="F3029" s="15" t="s">
        <v>961</v>
      </c>
      <c r="G3029" s="15" t="s">
        <v>112</v>
      </c>
      <c r="H3029" s="15"/>
    </row>
    <row r="3030" customFormat="false" ht="15" hidden="false" customHeight="true" outlineLevel="0" collapsed="false">
      <c r="A3030" s="15" t="s">
        <v>395</v>
      </c>
      <c r="B3030" s="15" t="s">
        <v>396</v>
      </c>
      <c r="C3030" s="15" t="s">
        <v>946</v>
      </c>
      <c r="D3030" s="15" t="s">
        <v>977</v>
      </c>
      <c r="E3030" s="15"/>
      <c r="F3030" s="15" t="s">
        <v>961</v>
      </c>
      <c r="G3030" s="15" t="s">
        <v>112</v>
      </c>
      <c r="H3030" s="15"/>
    </row>
    <row r="3031" customFormat="false" ht="15" hidden="false" customHeight="true" outlineLevel="0" collapsed="false">
      <c r="A3031" s="15" t="s">
        <v>395</v>
      </c>
      <c r="B3031" s="15" t="s">
        <v>396</v>
      </c>
      <c r="C3031" s="15" t="s">
        <v>920</v>
      </c>
      <c r="D3031" s="15" t="s">
        <v>803</v>
      </c>
      <c r="E3031" s="15"/>
      <c r="F3031" s="15" t="s">
        <v>961</v>
      </c>
      <c r="G3031" s="15" t="s">
        <v>112</v>
      </c>
      <c r="H3031" s="15"/>
    </row>
    <row r="3032" customFormat="false" ht="15" hidden="false" customHeight="true" outlineLevel="0" collapsed="false">
      <c r="A3032" s="15" t="s">
        <v>395</v>
      </c>
      <c r="B3032" s="15" t="s">
        <v>396</v>
      </c>
      <c r="C3032" s="15" t="s">
        <v>848</v>
      </c>
      <c r="D3032" s="15" t="s">
        <v>849</v>
      </c>
      <c r="E3032" s="15"/>
      <c r="F3032" s="15" t="s">
        <v>961</v>
      </c>
      <c r="G3032" s="15" t="s">
        <v>112</v>
      </c>
      <c r="H3032" s="15"/>
    </row>
    <row r="3033" customFormat="false" ht="15" hidden="false" customHeight="true" outlineLevel="0" collapsed="false">
      <c r="A3033" s="15" t="s">
        <v>395</v>
      </c>
      <c r="B3033" s="15" t="s">
        <v>396</v>
      </c>
      <c r="C3033" s="15" t="s">
        <v>854</v>
      </c>
      <c r="D3033" s="15" t="s">
        <v>803</v>
      </c>
      <c r="E3033" s="15"/>
      <c r="F3033" s="15" t="s">
        <v>961</v>
      </c>
      <c r="G3033" s="15" t="s">
        <v>112</v>
      </c>
      <c r="H3033" s="15"/>
    </row>
    <row r="3034" customFormat="false" ht="15" hidden="false" customHeight="true" outlineLevel="0" collapsed="false">
      <c r="A3034" s="15" t="s">
        <v>395</v>
      </c>
      <c r="B3034" s="15" t="s">
        <v>396</v>
      </c>
      <c r="C3034" s="15" t="s">
        <v>747</v>
      </c>
      <c r="D3034" s="15" t="s">
        <v>912</v>
      </c>
      <c r="E3034" s="15"/>
      <c r="F3034" s="15" t="s">
        <v>961</v>
      </c>
      <c r="G3034" s="15" t="s">
        <v>112</v>
      </c>
      <c r="H3034" s="15"/>
    </row>
    <row r="3035" customFormat="false" ht="15" hidden="false" customHeight="true" outlineLevel="0" collapsed="false">
      <c r="A3035" s="15" t="s">
        <v>395</v>
      </c>
      <c r="B3035" s="15" t="s">
        <v>396</v>
      </c>
      <c r="C3035" s="15" t="s">
        <v>851</v>
      </c>
      <c r="D3035" s="15" t="s">
        <v>860</v>
      </c>
      <c r="E3035" s="15"/>
      <c r="F3035" s="15" t="s">
        <v>961</v>
      </c>
      <c r="G3035" s="15" t="s">
        <v>112</v>
      </c>
      <c r="H3035" s="15"/>
    </row>
    <row r="3036" customFormat="false" ht="15" hidden="false" customHeight="true" outlineLevel="0" collapsed="false">
      <c r="A3036" s="15" t="s">
        <v>395</v>
      </c>
      <c r="B3036" s="15" t="s">
        <v>396</v>
      </c>
      <c r="C3036" s="15" t="s">
        <v>87</v>
      </c>
      <c r="D3036" s="15" t="s">
        <v>803</v>
      </c>
      <c r="E3036" s="15"/>
      <c r="F3036" s="15" t="s">
        <v>971</v>
      </c>
      <c r="G3036" s="15" t="s">
        <v>112</v>
      </c>
      <c r="H3036" s="15" t="s">
        <v>972</v>
      </c>
    </row>
    <row r="3037" customFormat="false" ht="15" hidden="false" customHeight="true" outlineLevel="0" collapsed="false">
      <c r="A3037" s="15" t="s">
        <v>395</v>
      </c>
      <c r="B3037" s="15" t="s">
        <v>396</v>
      </c>
      <c r="C3037" s="15" t="s">
        <v>973</v>
      </c>
      <c r="D3037" s="15" t="s">
        <v>803</v>
      </c>
      <c r="E3037" s="15"/>
      <c r="F3037" s="15" t="s">
        <v>971</v>
      </c>
      <c r="G3037" s="15" t="s">
        <v>112</v>
      </c>
      <c r="H3037" s="15" t="s">
        <v>972</v>
      </c>
    </row>
    <row r="3038" customFormat="false" ht="15" hidden="false" customHeight="true" outlineLevel="0" collapsed="false">
      <c r="A3038" s="15" t="s">
        <v>311</v>
      </c>
      <c r="B3038" s="15" t="s">
        <v>314</v>
      </c>
      <c r="C3038" s="15" t="s">
        <v>769</v>
      </c>
      <c r="D3038" s="15" t="n">
        <v>5</v>
      </c>
      <c r="E3038" s="15" t="s">
        <v>721</v>
      </c>
      <c r="F3038" s="15" t="s">
        <v>978</v>
      </c>
      <c r="G3038" s="15" t="s">
        <v>112</v>
      </c>
      <c r="H3038" s="15"/>
    </row>
    <row r="3039" customFormat="false" ht="15" hidden="false" customHeight="true" outlineLevel="0" collapsed="false">
      <c r="A3039" s="15" t="s">
        <v>311</v>
      </c>
      <c r="B3039" s="15" t="s">
        <v>314</v>
      </c>
      <c r="C3039" s="15" t="s">
        <v>737</v>
      </c>
      <c r="D3039" s="15" t="n">
        <v>123</v>
      </c>
      <c r="E3039" s="15" t="s">
        <v>738</v>
      </c>
      <c r="F3039" s="15" t="s">
        <v>978</v>
      </c>
      <c r="G3039" s="15" t="s">
        <v>112</v>
      </c>
      <c r="H3039" s="15"/>
    </row>
    <row r="3040" customFormat="false" ht="15" hidden="false" customHeight="true" outlineLevel="0" collapsed="false">
      <c r="A3040" s="15" t="s">
        <v>311</v>
      </c>
      <c r="B3040" s="15" t="s">
        <v>314</v>
      </c>
      <c r="C3040" s="15" t="s">
        <v>714</v>
      </c>
      <c r="D3040" s="15" t="n">
        <v>215</v>
      </c>
      <c r="E3040" s="15" t="s">
        <v>715</v>
      </c>
      <c r="F3040" s="15" t="s">
        <v>978</v>
      </c>
      <c r="G3040" s="15" t="s">
        <v>112</v>
      </c>
      <c r="H3040" s="15"/>
    </row>
    <row r="3041" customFormat="false" ht="15" hidden="false" customHeight="true" outlineLevel="0" collapsed="false">
      <c r="A3041" s="15" t="s">
        <v>311</v>
      </c>
      <c r="B3041" s="15" t="s">
        <v>314</v>
      </c>
      <c r="C3041" s="15" t="s">
        <v>718</v>
      </c>
      <c r="D3041" s="15" t="s">
        <v>302</v>
      </c>
      <c r="E3041" s="15"/>
      <c r="F3041" s="15" t="s">
        <v>978</v>
      </c>
      <c r="G3041" s="15" t="s">
        <v>112</v>
      </c>
      <c r="H3041" s="15"/>
    </row>
    <row r="3042" customFormat="false" ht="15" hidden="false" customHeight="true" outlineLevel="0" collapsed="false">
      <c r="A3042" s="15" t="s">
        <v>311</v>
      </c>
      <c r="B3042" s="15" t="s">
        <v>314</v>
      </c>
      <c r="C3042" s="15" t="s">
        <v>935</v>
      </c>
      <c r="D3042" s="15" t="s">
        <v>936</v>
      </c>
      <c r="E3042" s="15"/>
      <c r="F3042" s="15" t="s">
        <v>978</v>
      </c>
      <c r="G3042" s="15" t="s">
        <v>112</v>
      </c>
      <c r="H3042" s="15"/>
    </row>
    <row r="3043" customFormat="false" ht="15" hidden="false" customHeight="true" outlineLevel="0" collapsed="false">
      <c r="A3043" s="15" t="s">
        <v>311</v>
      </c>
      <c r="B3043" s="15" t="s">
        <v>314</v>
      </c>
      <c r="C3043" s="15" t="s">
        <v>811</v>
      </c>
      <c r="D3043" s="15" t="n">
        <v>8.6</v>
      </c>
      <c r="E3043" s="15" t="s">
        <v>812</v>
      </c>
      <c r="F3043" s="15" t="s">
        <v>978</v>
      </c>
      <c r="G3043" s="15" t="s">
        <v>112</v>
      </c>
      <c r="H3043" s="15"/>
    </row>
    <row r="3044" customFormat="false" ht="15" hidden="false" customHeight="true" outlineLevel="0" collapsed="false">
      <c r="A3044" s="15" t="s">
        <v>311</v>
      </c>
      <c r="B3044" s="15" t="s">
        <v>314</v>
      </c>
      <c r="C3044" s="15" t="s">
        <v>84</v>
      </c>
      <c r="D3044" s="15" t="n">
        <v>186</v>
      </c>
      <c r="E3044" s="15" t="s">
        <v>725</v>
      </c>
      <c r="F3044" s="15" t="s">
        <v>978</v>
      </c>
      <c r="G3044" s="15" t="s">
        <v>112</v>
      </c>
      <c r="H3044" s="15"/>
    </row>
    <row r="3045" customFormat="false" ht="15" hidden="false" customHeight="true" outlineLevel="0" collapsed="false">
      <c r="A3045" s="15" t="s">
        <v>311</v>
      </c>
      <c r="B3045" s="15" t="s">
        <v>314</v>
      </c>
      <c r="C3045" s="15" t="s">
        <v>722</v>
      </c>
      <c r="D3045" s="15" t="n">
        <v>500</v>
      </c>
      <c r="E3045" s="15" t="s">
        <v>723</v>
      </c>
      <c r="F3045" s="15" t="s">
        <v>978</v>
      </c>
      <c r="G3045" s="15" t="s">
        <v>112</v>
      </c>
      <c r="H3045" s="15"/>
    </row>
    <row r="3046" customFormat="false" ht="15" hidden="false" customHeight="true" outlineLevel="0" collapsed="false">
      <c r="A3046" s="15" t="s">
        <v>311</v>
      </c>
      <c r="B3046" s="15" t="s">
        <v>314</v>
      </c>
      <c r="C3046" s="15" t="s">
        <v>726</v>
      </c>
      <c r="D3046" s="15" t="n">
        <v>4310</v>
      </c>
      <c r="E3046" s="15" t="s">
        <v>725</v>
      </c>
      <c r="F3046" s="15" t="s">
        <v>978</v>
      </c>
      <c r="G3046" s="15" t="s">
        <v>112</v>
      </c>
      <c r="H3046" s="15"/>
    </row>
    <row r="3047" customFormat="false" ht="15" hidden="false" customHeight="true" outlineLevel="0" collapsed="false">
      <c r="A3047" s="15" t="s">
        <v>311</v>
      </c>
      <c r="B3047" s="15" t="s">
        <v>314</v>
      </c>
      <c r="C3047" s="15" t="s">
        <v>727</v>
      </c>
      <c r="D3047" s="15" t="n">
        <v>1810</v>
      </c>
      <c r="E3047" s="15" t="s">
        <v>725</v>
      </c>
      <c r="F3047" s="15" t="s">
        <v>978</v>
      </c>
      <c r="G3047" s="15" t="s">
        <v>112</v>
      </c>
      <c r="H3047" s="15"/>
    </row>
    <row r="3048" customFormat="false" ht="15" hidden="false" customHeight="true" outlineLevel="0" collapsed="false">
      <c r="A3048" s="15" t="s">
        <v>311</v>
      </c>
      <c r="B3048" s="15" t="s">
        <v>314</v>
      </c>
      <c r="C3048" s="15" t="s">
        <v>728</v>
      </c>
      <c r="D3048" s="15" t="n">
        <v>1637</v>
      </c>
      <c r="E3048" s="15" t="s">
        <v>725</v>
      </c>
      <c r="F3048" s="15" t="s">
        <v>978</v>
      </c>
      <c r="G3048" s="15" t="s">
        <v>112</v>
      </c>
      <c r="H3048" s="15"/>
    </row>
    <row r="3049" customFormat="false" ht="15" hidden="false" customHeight="true" outlineLevel="0" collapsed="false">
      <c r="A3049" s="15" t="s">
        <v>311</v>
      </c>
      <c r="B3049" s="15" t="s">
        <v>314</v>
      </c>
      <c r="C3049" s="15" t="s">
        <v>729</v>
      </c>
      <c r="D3049" s="15" t="n">
        <v>2560</v>
      </c>
      <c r="E3049" s="15" t="s">
        <v>725</v>
      </c>
      <c r="F3049" s="15" t="s">
        <v>978</v>
      </c>
      <c r="G3049" s="15" t="s">
        <v>112</v>
      </c>
      <c r="H3049" s="15"/>
    </row>
    <row r="3050" customFormat="false" ht="15" hidden="false" customHeight="true" outlineLevel="0" collapsed="false">
      <c r="A3050" s="15" t="s">
        <v>311</v>
      </c>
      <c r="B3050" s="15" t="s">
        <v>314</v>
      </c>
      <c r="C3050" s="15" t="s">
        <v>739</v>
      </c>
      <c r="D3050" s="15" t="s">
        <v>979</v>
      </c>
      <c r="E3050" s="15" t="s">
        <v>738</v>
      </c>
      <c r="F3050" s="15" t="s">
        <v>978</v>
      </c>
      <c r="G3050" s="15" t="s">
        <v>112</v>
      </c>
      <c r="H3050" s="15"/>
    </row>
    <row r="3051" customFormat="false" ht="15" hidden="false" customHeight="true" outlineLevel="0" collapsed="false">
      <c r="A3051" s="15" t="s">
        <v>311</v>
      </c>
      <c r="B3051" s="15" t="s">
        <v>314</v>
      </c>
      <c r="C3051" s="15" t="s">
        <v>939</v>
      </c>
      <c r="D3051" s="15" t="n">
        <v>40</v>
      </c>
      <c r="E3051" s="15"/>
      <c r="F3051" s="15" t="s">
        <v>978</v>
      </c>
      <c r="G3051" s="15" t="s">
        <v>112</v>
      </c>
      <c r="H3051" s="15"/>
    </row>
    <row r="3052" customFormat="false" ht="26.25" hidden="false" customHeight="true" outlineLevel="0" collapsed="false">
      <c r="A3052" s="15" t="s">
        <v>311</v>
      </c>
      <c r="B3052" s="15" t="s">
        <v>314</v>
      </c>
      <c r="C3052" s="15" t="s">
        <v>940</v>
      </c>
      <c r="D3052" s="15" t="n">
        <v>7.6</v>
      </c>
      <c r="E3052" s="15"/>
      <c r="F3052" s="15" t="s">
        <v>978</v>
      </c>
      <c r="G3052" s="15" t="s">
        <v>112</v>
      </c>
      <c r="H3052" s="15"/>
    </row>
    <row r="3053" customFormat="false" ht="15" hidden="false" customHeight="true" outlineLevel="0" collapsed="false">
      <c r="A3053" s="15" t="s">
        <v>311</v>
      </c>
      <c r="B3053" s="15" t="s">
        <v>314</v>
      </c>
      <c r="C3053" s="15" t="s">
        <v>733</v>
      </c>
      <c r="D3053" s="15" t="s">
        <v>980</v>
      </c>
      <c r="E3053" s="15"/>
      <c r="F3053" s="15" t="s">
        <v>978</v>
      </c>
      <c r="G3053" s="15" t="s">
        <v>112</v>
      </c>
      <c r="H3053" s="15"/>
    </row>
    <row r="3054" customFormat="false" ht="15" hidden="false" customHeight="true" outlineLevel="0" collapsed="false">
      <c r="A3054" s="15" t="s">
        <v>311</v>
      </c>
      <c r="B3054" s="15" t="s">
        <v>314</v>
      </c>
      <c r="C3054" s="15" t="s">
        <v>960</v>
      </c>
      <c r="D3054" s="15" t="n">
        <v>3.3</v>
      </c>
      <c r="E3054" s="15"/>
      <c r="F3054" s="15" t="s">
        <v>978</v>
      </c>
      <c r="G3054" s="15" t="s">
        <v>112</v>
      </c>
      <c r="H3054" s="15"/>
    </row>
    <row r="3055" customFormat="false" ht="15" hidden="false" customHeight="true" outlineLevel="0" collapsed="false">
      <c r="A3055" s="15" t="s">
        <v>311</v>
      </c>
      <c r="B3055" s="15" t="s">
        <v>314</v>
      </c>
      <c r="C3055" s="15" t="s">
        <v>789</v>
      </c>
      <c r="D3055" s="15" t="s">
        <v>790</v>
      </c>
      <c r="E3055" s="15"/>
      <c r="F3055" s="15" t="s">
        <v>978</v>
      </c>
      <c r="G3055" s="15" t="s">
        <v>112</v>
      </c>
      <c r="H3055" s="15"/>
    </row>
    <row r="3056" customFormat="false" ht="39" hidden="false" customHeight="true" outlineLevel="0" collapsed="false">
      <c r="A3056" s="15" t="s">
        <v>311</v>
      </c>
      <c r="B3056" s="15" t="s">
        <v>314</v>
      </c>
      <c r="C3056" s="15" t="s">
        <v>98</v>
      </c>
      <c r="D3056" s="15" t="s">
        <v>950</v>
      </c>
      <c r="E3056" s="15"/>
      <c r="F3056" s="15" t="s">
        <v>978</v>
      </c>
      <c r="G3056" s="15" t="s">
        <v>112</v>
      </c>
      <c r="H3056" s="15"/>
    </row>
    <row r="3057" customFormat="false" ht="15" hidden="false" customHeight="true" outlineLevel="0" collapsed="false">
      <c r="A3057" s="15" t="s">
        <v>311</v>
      </c>
      <c r="B3057" s="15" t="s">
        <v>314</v>
      </c>
      <c r="C3057" s="15" t="s">
        <v>835</v>
      </c>
      <c r="D3057" s="15" t="s">
        <v>836</v>
      </c>
      <c r="E3057" s="15"/>
      <c r="F3057" s="15" t="s">
        <v>978</v>
      </c>
      <c r="G3057" s="15" t="s">
        <v>112</v>
      </c>
      <c r="H3057" s="15"/>
    </row>
    <row r="3058" customFormat="false" ht="15" hidden="false" customHeight="true" outlineLevel="0" collapsed="false">
      <c r="A3058" s="15" t="s">
        <v>311</v>
      </c>
      <c r="B3058" s="15" t="s">
        <v>314</v>
      </c>
      <c r="C3058" s="15" t="s">
        <v>833</v>
      </c>
      <c r="D3058" s="15" t="s">
        <v>938</v>
      </c>
      <c r="E3058" s="15"/>
      <c r="F3058" s="15" t="s">
        <v>978</v>
      </c>
      <c r="G3058" s="15" t="s">
        <v>112</v>
      </c>
      <c r="H3058" s="15"/>
    </row>
    <row r="3059" customFormat="false" ht="15" hidden="false" customHeight="true" outlineLevel="0" collapsed="false">
      <c r="A3059" s="15" t="s">
        <v>311</v>
      </c>
      <c r="B3059" s="15" t="s">
        <v>314</v>
      </c>
      <c r="C3059" s="15" t="s">
        <v>86</v>
      </c>
      <c r="D3059" s="15" t="n">
        <v>6</v>
      </c>
      <c r="E3059" s="15" t="s">
        <v>721</v>
      </c>
      <c r="F3059" s="15" t="s">
        <v>978</v>
      </c>
      <c r="G3059" s="15" t="s">
        <v>112</v>
      </c>
      <c r="H3059" s="15"/>
    </row>
    <row r="3060" customFormat="false" ht="15" hidden="false" customHeight="true" outlineLevel="0" collapsed="false">
      <c r="A3060" s="15" t="s">
        <v>311</v>
      </c>
      <c r="B3060" s="15" t="s">
        <v>314</v>
      </c>
      <c r="C3060" s="15" t="s">
        <v>90</v>
      </c>
      <c r="D3060" s="15" t="s">
        <v>134</v>
      </c>
      <c r="E3060" s="15"/>
      <c r="F3060" s="15" t="s">
        <v>978</v>
      </c>
      <c r="G3060" s="15" t="s">
        <v>112</v>
      </c>
      <c r="H3060" s="15"/>
    </row>
    <row r="3061" customFormat="false" ht="15" hidden="false" customHeight="true" outlineLevel="0" collapsed="false">
      <c r="A3061" s="15" t="s">
        <v>311</v>
      </c>
      <c r="B3061" s="15" t="s">
        <v>314</v>
      </c>
      <c r="C3061" s="15" t="s">
        <v>752</v>
      </c>
      <c r="D3061" s="15" t="s">
        <v>981</v>
      </c>
      <c r="E3061" s="15"/>
      <c r="F3061" s="15" t="s">
        <v>978</v>
      </c>
      <c r="G3061" s="15" t="s">
        <v>112</v>
      </c>
      <c r="H3061" s="15"/>
    </row>
    <row r="3062" customFormat="false" ht="15" hidden="false" customHeight="true" outlineLevel="0" collapsed="false">
      <c r="A3062" s="15" t="s">
        <v>311</v>
      </c>
      <c r="B3062" s="15" t="s">
        <v>314</v>
      </c>
      <c r="C3062" s="15" t="s">
        <v>749</v>
      </c>
      <c r="D3062" s="15" t="s">
        <v>750</v>
      </c>
      <c r="E3062" s="15"/>
      <c r="F3062" s="15" t="s">
        <v>978</v>
      </c>
      <c r="G3062" s="15" t="s">
        <v>112</v>
      </c>
      <c r="H3062" s="15"/>
    </row>
    <row r="3063" customFormat="false" ht="15" hidden="false" customHeight="true" outlineLevel="0" collapsed="false">
      <c r="A3063" s="15" t="s">
        <v>311</v>
      </c>
      <c r="B3063" s="15" t="s">
        <v>314</v>
      </c>
      <c r="C3063" s="15" t="s">
        <v>776</v>
      </c>
      <c r="D3063" s="15" t="s">
        <v>982</v>
      </c>
      <c r="E3063" s="15"/>
      <c r="F3063" s="15" t="s">
        <v>978</v>
      </c>
      <c r="G3063" s="15" t="s">
        <v>112</v>
      </c>
      <c r="H3063" s="15"/>
    </row>
    <row r="3064" customFormat="false" ht="15" hidden="false" customHeight="true" outlineLevel="0" collapsed="false">
      <c r="A3064" s="15" t="s">
        <v>311</v>
      </c>
      <c r="B3064" s="15" t="s">
        <v>314</v>
      </c>
      <c r="C3064" s="15" t="s">
        <v>759</v>
      </c>
      <c r="D3064" s="15" t="s">
        <v>947</v>
      </c>
      <c r="E3064" s="15"/>
      <c r="F3064" s="15" t="s">
        <v>978</v>
      </c>
      <c r="G3064" s="15" t="s">
        <v>112</v>
      </c>
      <c r="H3064" s="15"/>
    </row>
    <row r="3065" customFormat="false" ht="15" hidden="false" customHeight="true" outlineLevel="0" collapsed="false">
      <c r="A3065" s="15" t="s">
        <v>311</v>
      </c>
      <c r="B3065" s="15" t="s">
        <v>314</v>
      </c>
      <c r="C3065" s="15" t="s">
        <v>743</v>
      </c>
      <c r="D3065" s="15" t="s">
        <v>948</v>
      </c>
      <c r="E3065" s="15"/>
      <c r="F3065" s="15" t="s">
        <v>978</v>
      </c>
      <c r="G3065" s="15" t="s">
        <v>112</v>
      </c>
      <c r="H3065" s="15"/>
    </row>
    <row r="3066" customFormat="false" ht="15" hidden="false" customHeight="true" outlineLevel="0" collapsed="false">
      <c r="A3066" s="15" t="s">
        <v>311</v>
      </c>
      <c r="B3066" s="15" t="s">
        <v>314</v>
      </c>
      <c r="C3066" s="15" t="s">
        <v>754</v>
      </c>
      <c r="D3066" s="15" t="s">
        <v>983</v>
      </c>
      <c r="E3066" s="15"/>
      <c r="F3066" s="15" t="s">
        <v>978</v>
      </c>
      <c r="G3066" s="15" t="s">
        <v>112</v>
      </c>
      <c r="H3066" s="15"/>
    </row>
    <row r="3067" customFormat="false" ht="15" hidden="false" customHeight="true" outlineLevel="0" collapsed="false">
      <c r="A3067" s="15" t="s">
        <v>311</v>
      </c>
      <c r="B3067" s="15" t="s">
        <v>314</v>
      </c>
      <c r="C3067" s="15" t="s">
        <v>763</v>
      </c>
      <c r="D3067" s="15" t="s">
        <v>755</v>
      </c>
      <c r="E3067" s="15"/>
      <c r="F3067" s="15" t="s">
        <v>978</v>
      </c>
      <c r="G3067" s="15" t="s">
        <v>112</v>
      </c>
      <c r="H3067" s="15"/>
    </row>
    <row r="3068" customFormat="false" ht="39" hidden="false" customHeight="true" outlineLevel="0" collapsed="false">
      <c r="A3068" s="15" t="s">
        <v>311</v>
      </c>
      <c r="B3068" s="15" t="s">
        <v>314</v>
      </c>
      <c r="C3068" s="15" t="s">
        <v>984</v>
      </c>
      <c r="D3068" s="15" t="s">
        <v>985</v>
      </c>
      <c r="E3068" s="15"/>
      <c r="F3068" s="15" t="s">
        <v>971</v>
      </c>
      <c r="G3068" s="15" t="s">
        <v>819</v>
      </c>
      <c r="H3068" s="15" t="s">
        <v>986</v>
      </c>
    </row>
    <row r="3069" customFormat="false" ht="15" hidden="false" customHeight="true" outlineLevel="0" collapsed="false">
      <c r="A3069" s="15" t="s">
        <v>320</v>
      </c>
      <c r="B3069" s="15" t="s">
        <v>321</v>
      </c>
      <c r="C3069" s="15" t="s">
        <v>769</v>
      </c>
      <c r="D3069" s="15" t="n">
        <v>5</v>
      </c>
      <c r="E3069" s="15" t="s">
        <v>721</v>
      </c>
      <c r="F3069" s="15" t="s">
        <v>978</v>
      </c>
      <c r="G3069" s="15" t="s">
        <v>112</v>
      </c>
      <c r="H3069" s="15"/>
    </row>
    <row r="3070" customFormat="false" ht="15" hidden="false" customHeight="true" outlineLevel="0" collapsed="false">
      <c r="A3070" s="15" t="s">
        <v>320</v>
      </c>
      <c r="B3070" s="15" t="s">
        <v>321</v>
      </c>
      <c r="C3070" s="15" t="s">
        <v>737</v>
      </c>
      <c r="D3070" s="15" t="n">
        <v>123</v>
      </c>
      <c r="E3070" s="15" t="s">
        <v>738</v>
      </c>
      <c r="F3070" s="15" t="s">
        <v>978</v>
      </c>
      <c r="G3070" s="15" t="s">
        <v>112</v>
      </c>
      <c r="H3070" s="15"/>
    </row>
    <row r="3071" customFormat="false" ht="15" hidden="false" customHeight="true" outlineLevel="0" collapsed="false">
      <c r="A3071" s="15" t="s">
        <v>320</v>
      </c>
      <c r="B3071" s="15" t="s">
        <v>321</v>
      </c>
      <c r="C3071" s="15" t="s">
        <v>714</v>
      </c>
      <c r="D3071" s="15" t="n">
        <v>215</v>
      </c>
      <c r="E3071" s="15" t="s">
        <v>715</v>
      </c>
      <c r="F3071" s="15" t="s">
        <v>978</v>
      </c>
      <c r="G3071" s="15" t="s">
        <v>112</v>
      </c>
      <c r="H3071" s="15"/>
    </row>
    <row r="3072" customFormat="false" ht="15" hidden="false" customHeight="true" outlineLevel="0" collapsed="false">
      <c r="A3072" s="15" t="s">
        <v>320</v>
      </c>
      <c r="B3072" s="15" t="s">
        <v>321</v>
      </c>
      <c r="C3072" s="15" t="s">
        <v>718</v>
      </c>
      <c r="D3072" s="15" t="s">
        <v>302</v>
      </c>
      <c r="E3072" s="15"/>
      <c r="F3072" s="15" t="s">
        <v>978</v>
      </c>
      <c r="G3072" s="15" t="s">
        <v>112</v>
      </c>
      <c r="H3072" s="15"/>
    </row>
    <row r="3073" customFormat="false" ht="15" hidden="false" customHeight="true" outlineLevel="0" collapsed="false">
      <c r="A3073" s="15" t="s">
        <v>320</v>
      </c>
      <c r="B3073" s="15" t="s">
        <v>321</v>
      </c>
      <c r="C3073" s="15" t="s">
        <v>935</v>
      </c>
      <c r="D3073" s="15" t="s">
        <v>936</v>
      </c>
      <c r="E3073" s="15"/>
      <c r="F3073" s="15" t="s">
        <v>978</v>
      </c>
      <c r="G3073" s="15" t="s">
        <v>112</v>
      </c>
      <c r="H3073" s="15"/>
    </row>
    <row r="3074" customFormat="false" ht="15" hidden="false" customHeight="true" outlineLevel="0" collapsed="false">
      <c r="A3074" s="15" t="s">
        <v>320</v>
      </c>
      <c r="B3074" s="15" t="s">
        <v>321</v>
      </c>
      <c r="C3074" s="15" t="s">
        <v>811</v>
      </c>
      <c r="D3074" s="15" t="n">
        <v>8.6</v>
      </c>
      <c r="E3074" s="15" t="s">
        <v>812</v>
      </c>
      <c r="F3074" s="15" t="s">
        <v>978</v>
      </c>
      <c r="G3074" s="15" t="s">
        <v>112</v>
      </c>
      <c r="H3074" s="15"/>
    </row>
    <row r="3075" customFormat="false" ht="15" hidden="false" customHeight="true" outlineLevel="0" collapsed="false">
      <c r="A3075" s="15" t="s">
        <v>320</v>
      </c>
      <c r="B3075" s="15" t="s">
        <v>321</v>
      </c>
      <c r="C3075" s="15" t="s">
        <v>84</v>
      </c>
      <c r="D3075" s="15" t="n">
        <v>186</v>
      </c>
      <c r="E3075" s="15" t="s">
        <v>725</v>
      </c>
      <c r="F3075" s="15" t="s">
        <v>978</v>
      </c>
      <c r="G3075" s="15" t="s">
        <v>112</v>
      </c>
      <c r="H3075" s="15"/>
    </row>
    <row r="3076" customFormat="false" ht="15" hidden="false" customHeight="true" outlineLevel="0" collapsed="false">
      <c r="A3076" s="15" t="s">
        <v>320</v>
      </c>
      <c r="B3076" s="15" t="s">
        <v>321</v>
      </c>
      <c r="C3076" s="15" t="s">
        <v>722</v>
      </c>
      <c r="D3076" s="15" t="n">
        <v>500</v>
      </c>
      <c r="E3076" s="15" t="s">
        <v>723</v>
      </c>
      <c r="F3076" s="15" t="s">
        <v>978</v>
      </c>
      <c r="G3076" s="15" t="s">
        <v>112</v>
      </c>
      <c r="H3076" s="15"/>
    </row>
    <row r="3077" customFormat="false" ht="15" hidden="false" customHeight="true" outlineLevel="0" collapsed="false">
      <c r="A3077" s="15" t="s">
        <v>320</v>
      </c>
      <c r="B3077" s="15" t="s">
        <v>321</v>
      </c>
      <c r="C3077" s="15" t="s">
        <v>726</v>
      </c>
      <c r="D3077" s="15" t="n">
        <v>4310</v>
      </c>
      <c r="E3077" s="15" t="s">
        <v>725</v>
      </c>
      <c r="F3077" s="15" t="s">
        <v>978</v>
      </c>
      <c r="G3077" s="15" t="s">
        <v>112</v>
      </c>
      <c r="H3077" s="15"/>
    </row>
    <row r="3078" customFormat="false" ht="15" hidden="false" customHeight="true" outlineLevel="0" collapsed="false">
      <c r="A3078" s="15" t="s">
        <v>320</v>
      </c>
      <c r="B3078" s="15" t="s">
        <v>321</v>
      </c>
      <c r="C3078" s="15" t="s">
        <v>727</v>
      </c>
      <c r="D3078" s="15" t="n">
        <v>1810</v>
      </c>
      <c r="E3078" s="15" t="s">
        <v>725</v>
      </c>
      <c r="F3078" s="15" t="s">
        <v>978</v>
      </c>
      <c r="G3078" s="15" t="s">
        <v>112</v>
      </c>
      <c r="H3078" s="15"/>
    </row>
    <row r="3079" customFormat="false" ht="15" hidden="false" customHeight="true" outlineLevel="0" collapsed="false">
      <c r="A3079" s="15" t="s">
        <v>320</v>
      </c>
      <c r="B3079" s="15" t="s">
        <v>321</v>
      </c>
      <c r="C3079" s="15" t="s">
        <v>728</v>
      </c>
      <c r="D3079" s="15" t="n">
        <v>1637</v>
      </c>
      <c r="E3079" s="15" t="s">
        <v>725</v>
      </c>
      <c r="F3079" s="15" t="s">
        <v>978</v>
      </c>
      <c r="G3079" s="15" t="s">
        <v>112</v>
      </c>
      <c r="H3079" s="15"/>
    </row>
    <row r="3080" customFormat="false" ht="15" hidden="false" customHeight="true" outlineLevel="0" collapsed="false">
      <c r="A3080" s="15" t="s">
        <v>320</v>
      </c>
      <c r="B3080" s="15" t="s">
        <v>321</v>
      </c>
      <c r="C3080" s="15" t="s">
        <v>729</v>
      </c>
      <c r="D3080" s="15" t="n">
        <v>2560</v>
      </c>
      <c r="E3080" s="15" t="s">
        <v>725</v>
      </c>
      <c r="F3080" s="15" t="s">
        <v>978</v>
      </c>
      <c r="G3080" s="15" t="s">
        <v>112</v>
      </c>
      <c r="H3080" s="15"/>
    </row>
    <row r="3081" customFormat="false" ht="15" hidden="false" customHeight="true" outlineLevel="0" collapsed="false">
      <c r="A3081" s="15" t="s">
        <v>320</v>
      </c>
      <c r="B3081" s="15" t="s">
        <v>321</v>
      </c>
      <c r="C3081" s="15" t="s">
        <v>739</v>
      </c>
      <c r="D3081" s="15" t="s">
        <v>979</v>
      </c>
      <c r="E3081" s="15" t="s">
        <v>738</v>
      </c>
      <c r="F3081" s="15" t="s">
        <v>978</v>
      </c>
      <c r="G3081" s="15" t="s">
        <v>112</v>
      </c>
      <c r="H3081" s="15"/>
    </row>
    <row r="3082" customFormat="false" ht="15" hidden="false" customHeight="true" outlineLevel="0" collapsed="false">
      <c r="A3082" s="15" t="s">
        <v>320</v>
      </c>
      <c r="B3082" s="15" t="s">
        <v>321</v>
      </c>
      <c r="C3082" s="15" t="s">
        <v>939</v>
      </c>
      <c r="D3082" s="15" t="n">
        <v>40</v>
      </c>
      <c r="E3082" s="15"/>
      <c r="F3082" s="15" t="s">
        <v>978</v>
      </c>
      <c r="G3082" s="15" t="s">
        <v>112</v>
      </c>
      <c r="H3082" s="15"/>
    </row>
    <row r="3083" customFormat="false" ht="26.25" hidden="false" customHeight="true" outlineLevel="0" collapsed="false">
      <c r="A3083" s="15" t="s">
        <v>320</v>
      </c>
      <c r="B3083" s="15" t="s">
        <v>321</v>
      </c>
      <c r="C3083" s="15" t="s">
        <v>940</v>
      </c>
      <c r="D3083" s="15" t="n">
        <v>7.6</v>
      </c>
      <c r="E3083" s="15"/>
      <c r="F3083" s="15" t="s">
        <v>978</v>
      </c>
      <c r="G3083" s="15" t="s">
        <v>112</v>
      </c>
      <c r="H3083" s="15"/>
    </row>
    <row r="3084" customFormat="false" ht="15" hidden="false" customHeight="true" outlineLevel="0" collapsed="false">
      <c r="A3084" s="15" t="s">
        <v>320</v>
      </c>
      <c r="B3084" s="15" t="s">
        <v>321</v>
      </c>
      <c r="C3084" s="15" t="s">
        <v>733</v>
      </c>
      <c r="D3084" s="15" t="s">
        <v>980</v>
      </c>
      <c r="E3084" s="15"/>
      <c r="F3084" s="15" t="s">
        <v>978</v>
      </c>
      <c r="G3084" s="15" t="s">
        <v>112</v>
      </c>
      <c r="H3084" s="15"/>
    </row>
    <row r="3085" customFormat="false" ht="15" hidden="false" customHeight="true" outlineLevel="0" collapsed="false">
      <c r="A3085" s="15" t="s">
        <v>320</v>
      </c>
      <c r="B3085" s="15" t="s">
        <v>321</v>
      </c>
      <c r="C3085" s="15" t="s">
        <v>960</v>
      </c>
      <c r="D3085" s="15" t="n">
        <v>3.3</v>
      </c>
      <c r="E3085" s="15"/>
      <c r="F3085" s="15" t="s">
        <v>978</v>
      </c>
      <c r="G3085" s="15" t="s">
        <v>112</v>
      </c>
      <c r="H3085" s="15"/>
    </row>
    <row r="3086" customFormat="false" ht="15" hidden="false" customHeight="true" outlineLevel="0" collapsed="false">
      <c r="A3086" s="15" t="s">
        <v>320</v>
      </c>
      <c r="B3086" s="15" t="s">
        <v>321</v>
      </c>
      <c r="C3086" s="15" t="s">
        <v>789</v>
      </c>
      <c r="D3086" s="15" t="s">
        <v>790</v>
      </c>
      <c r="E3086" s="15"/>
      <c r="F3086" s="15" t="s">
        <v>978</v>
      </c>
      <c r="G3086" s="15" t="s">
        <v>112</v>
      </c>
      <c r="H3086" s="15"/>
    </row>
    <row r="3087" customFormat="false" ht="39" hidden="false" customHeight="true" outlineLevel="0" collapsed="false">
      <c r="A3087" s="15" t="s">
        <v>320</v>
      </c>
      <c r="B3087" s="15" t="s">
        <v>321</v>
      </c>
      <c r="C3087" s="15" t="s">
        <v>98</v>
      </c>
      <c r="D3087" s="15" t="s">
        <v>950</v>
      </c>
      <c r="E3087" s="15"/>
      <c r="F3087" s="15" t="s">
        <v>978</v>
      </c>
      <c r="G3087" s="15" t="s">
        <v>112</v>
      </c>
      <c r="H3087" s="15"/>
    </row>
    <row r="3088" customFormat="false" ht="15" hidden="false" customHeight="true" outlineLevel="0" collapsed="false">
      <c r="A3088" s="15" t="s">
        <v>320</v>
      </c>
      <c r="B3088" s="15" t="s">
        <v>321</v>
      </c>
      <c r="C3088" s="15" t="s">
        <v>835</v>
      </c>
      <c r="D3088" s="15" t="s">
        <v>836</v>
      </c>
      <c r="E3088" s="15"/>
      <c r="F3088" s="15" t="s">
        <v>978</v>
      </c>
      <c r="G3088" s="15" t="s">
        <v>112</v>
      </c>
      <c r="H3088" s="15"/>
    </row>
    <row r="3089" customFormat="false" ht="15" hidden="false" customHeight="true" outlineLevel="0" collapsed="false">
      <c r="A3089" s="15" t="s">
        <v>320</v>
      </c>
      <c r="B3089" s="15" t="s">
        <v>321</v>
      </c>
      <c r="C3089" s="15" t="s">
        <v>833</v>
      </c>
      <c r="D3089" s="15" t="s">
        <v>938</v>
      </c>
      <c r="E3089" s="15"/>
      <c r="F3089" s="15" t="s">
        <v>978</v>
      </c>
      <c r="G3089" s="15" t="s">
        <v>112</v>
      </c>
      <c r="H3089" s="15"/>
    </row>
    <row r="3090" customFormat="false" ht="15" hidden="false" customHeight="true" outlineLevel="0" collapsed="false">
      <c r="A3090" s="15" t="s">
        <v>320</v>
      </c>
      <c r="B3090" s="15" t="s">
        <v>321</v>
      </c>
      <c r="C3090" s="15" t="s">
        <v>86</v>
      </c>
      <c r="D3090" s="15" t="n">
        <v>6</v>
      </c>
      <c r="E3090" s="15" t="s">
        <v>721</v>
      </c>
      <c r="F3090" s="15" t="s">
        <v>978</v>
      </c>
      <c r="G3090" s="15" t="s">
        <v>112</v>
      </c>
      <c r="H3090" s="15"/>
    </row>
    <row r="3091" customFormat="false" ht="15" hidden="false" customHeight="true" outlineLevel="0" collapsed="false">
      <c r="A3091" s="15" t="s">
        <v>320</v>
      </c>
      <c r="B3091" s="15" t="s">
        <v>321</v>
      </c>
      <c r="C3091" s="15" t="s">
        <v>90</v>
      </c>
      <c r="D3091" s="15" t="s">
        <v>134</v>
      </c>
      <c r="E3091" s="15"/>
      <c r="F3091" s="15" t="s">
        <v>978</v>
      </c>
      <c r="G3091" s="15" t="s">
        <v>112</v>
      </c>
      <c r="H3091" s="15"/>
    </row>
    <row r="3092" customFormat="false" ht="15" hidden="false" customHeight="true" outlineLevel="0" collapsed="false">
      <c r="A3092" s="15" t="s">
        <v>320</v>
      </c>
      <c r="B3092" s="15" t="s">
        <v>321</v>
      </c>
      <c r="C3092" s="15" t="s">
        <v>752</v>
      </c>
      <c r="D3092" s="15" t="s">
        <v>981</v>
      </c>
      <c r="E3092" s="15"/>
      <c r="F3092" s="15" t="s">
        <v>978</v>
      </c>
      <c r="G3092" s="15" t="s">
        <v>112</v>
      </c>
      <c r="H3092" s="15"/>
    </row>
    <row r="3093" customFormat="false" ht="26.25" hidden="false" customHeight="true" outlineLevel="0" collapsed="false">
      <c r="A3093" s="15" t="s">
        <v>320</v>
      </c>
      <c r="B3093" s="15" t="s">
        <v>321</v>
      </c>
      <c r="C3093" s="15" t="s">
        <v>749</v>
      </c>
      <c r="D3093" s="15" t="s">
        <v>987</v>
      </c>
      <c r="E3093" s="15"/>
      <c r="F3093" s="15" t="s">
        <v>978</v>
      </c>
      <c r="G3093" s="15" t="s">
        <v>112</v>
      </c>
      <c r="H3093" s="15"/>
    </row>
    <row r="3094" customFormat="false" ht="15" hidden="false" customHeight="true" outlineLevel="0" collapsed="false">
      <c r="A3094" s="15" t="s">
        <v>320</v>
      </c>
      <c r="B3094" s="15" t="s">
        <v>321</v>
      </c>
      <c r="C3094" s="15" t="s">
        <v>776</v>
      </c>
      <c r="D3094" s="15" t="s">
        <v>988</v>
      </c>
      <c r="E3094" s="15"/>
      <c r="F3094" s="15" t="s">
        <v>978</v>
      </c>
      <c r="G3094" s="15" t="s">
        <v>112</v>
      </c>
      <c r="H3094" s="15"/>
    </row>
    <row r="3095" customFormat="false" ht="15" hidden="false" customHeight="true" outlineLevel="0" collapsed="false">
      <c r="A3095" s="15" t="s">
        <v>320</v>
      </c>
      <c r="B3095" s="15" t="s">
        <v>321</v>
      </c>
      <c r="C3095" s="15" t="s">
        <v>759</v>
      </c>
      <c r="D3095" s="15" t="s">
        <v>989</v>
      </c>
      <c r="E3095" s="15"/>
      <c r="F3095" s="15" t="s">
        <v>978</v>
      </c>
      <c r="G3095" s="15" t="s">
        <v>112</v>
      </c>
      <c r="H3095" s="15"/>
    </row>
    <row r="3096" customFormat="false" ht="15" hidden="false" customHeight="true" outlineLevel="0" collapsed="false">
      <c r="A3096" s="15" t="s">
        <v>320</v>
      </c>
      <c r="B3096" s="15" t="s">
        <v>321</v>
      </c>
      <c r="C3096" s="15" t="s">
        <v>743</v>
      </c>
      <c r="D3096" s="15" t="s">
        <v>990</v>
      </c>
      <c r="E3096" s="15"/>
      <c r="F3096" s="15" t="s">
        <v>978</v>
      </c>
      <c r="G3096" s="15" t="s">
        <v>112</v>
      </c>
      <c r="H3096" s="15"/>
    </row>
    <row r="3097" customFormat="false" ht="15" hidden="false" customHeight="true" outlineLevel="0" collapsed="false">
      <c r="A3097" s="15" t="s">
        <v>320</v>
      </c>
      <c r="B3097" s="15" t="s">
        <v>321</v>
      </c>
      <c r="C3097" s="15" t="s">
        <v>754</v>
      </c>
      <c r="D3097" s="15" t="s">
        <v>991</v>
      </c>
      <c r="E3097" s="15"/>
      <c r="F3097" s="15" t="s">
        <v>978</v>
      </c>
      <c r="G3097" s="15" t="s">
        <v>112</v>
      </c>
      <c r="H3097" s="15" t="s">
        <v>992</v>
      </c>
    </row>
    <row r="3098" customFormat="false" ht="15" hidden="false" customHeight="true" outlineLevel="0" collapsed="false">
      <c r="A3098" s="15" t="s">
        <v>320</v>
      </c>
      <c r="B3098" s="15" t="s">
        <v>321</v>
      </c>
      <c r="C3098" s="15" t="s">
        <v>763</v>
      </c>
      <c r="D3098" s="15" t="s">
        <v>807</v>
      </c>
      <c r="E3098" s="15"/>
      <c r="F3098" s="15" t="s">
        <v>978</v>
      </c>
      <c r="G3098" s="15" t="s">
        <v>112</v>
      </c>
      <c r="H3098" s="15"/>
    </row>
    <row r="3099" customFormat="false" ht="15" hidden="false" customHeight="true" outlineLevel="0" collapsed="false">
      <c r="A3099" s="15" t="s">
        <v>320</v>
      </c>
      <c r="B3099" s="15" t="s">
        <v>321</v>
      </c>
      <c r="C3099" s="15" t="s">
        <v>724</v>
      </c>
      <c r="D3099" s="15" t="s">
        <v>959</v>
      </c>
      <c r="E3099" s="15" t="s">
        <v>723</v>
      </c>
      <c r="F3099" s="15" t="s">
        <v>978</v>
      </c>
      <c r="G3099" s="15" t="s">
        <v>112</v>
      </c>
      <c r="H3099" s="15"/>
    </row>
    <row r="3100" customFormat="false" ht="15" hidden="false" customHeight="true" outlineLevel="0" collapsed="false">
      <c r="A3100" s="15" t="s">
        <v>320</v>
      </c>
      <c r="B3100" s="15" t="s">
        <v>321</v>
      </c>
      <c r="C3100" s="15" t="s">
        <v>756</v>
      </c>
      <c r="D3100" s="15" t="s">
        <v>993</v>
      </c>
      <c r="E3100" s="15"/>
      <c r="F3100" s="15" t="s">
        <v>978</v>
      </c>
      <c r="G3100" s="15" t="s">
        <v>112</v>
      </c>
      <c r="H3100" s="15"/>
    </row>
    <row r="3101" customFormat="false" ht="15" hidden="false" customHeight="true" outlineLevel="0" collapsed="false">
      <c r="A3101" s="15" t="s">
        <v>320</v>
      </c>
      <c r="B3101" s="15" t="s">
        <v>321</v>
      </c>
      <c r="C3101" s="15" t="s">
        <v>984</v>
      </c>
      <c r="D3101" s="15" t="s">
        <v>994</v>
      </c>
      <c r="E3101" s="15"/>
      <c r="F3101" s="15" t="s">
        <v>971</v>
      </c>
      <c r="G3101" s="15" t="s">
        <v>112</v>
      </c>
      <c r="H3101" s="15"/>
    </row>
    <row r="3102" customFormat="false" ht="15" hidden="false" customHeight="true" outlineLevel="0" collapsed="false">
      <c r="A3102" s="15" t="s">
        <v>326</v>
      </c>
      <c r="B3102" s="15" t="s">
        <v>328</v>
      </c>
      <c r="C3102" s="15" t="s">
        <v>769</v>
      </c>
      <c r="D3102" s="15" t="n">
        <v>5</v>
      </c>
      <c r="E3102" s="15" t="s">
        <v>721</v>
      </c>
      <c r="F3102" s="15" t="s">
        <v>995</v>
      </c>
      <c r="G3102" s="15" t="s">
        <v>112</v>
      </c>
      <c r="H3102" s="15"/>
    </row>
    <row r="3103" customFormat="false" ht="15" hidden="false" customHeight="true" outlineLevel="0" collapsed="false">
      <c r="A3103" s="15" t="s">
        <v>326</v>
      </c>
      <c r="B3103" s="15" t="s">
        <v>328</v>
      </c>
      <c r="C3103" s="15" t="s">
        <v>935</v>
      </c>
      <c r="D3103" s="15" t="s">
        <v>936</v>
      </c>
      <c r="E3103" s="15"/>
      <c r="F3103" s="15" t="s">
        <v>995</v>
      </c>
      <c r="G3103" s="15" t="s">
        <v>112</v>
      </c>
      <c r="H3103" s="15"/>
    </row>
    <row r="3104" customFormat="false" ht="15" hidden="false" customHeight="true" outlineLevel="0" collapsed="false">
      <c r="A3104" s="15" t="s">
        <v>326</v>
      </c>
      <c r="B3104" s="15" t="s">
        <v>328</v>
      </c>
      <c r="C3104" s="15" t="s">
        <v>722</v>
      </c>
      <c r="D3104" s="15" t="n">
        <v>502</v>
      </c>
      <c r="E3104" s="15" t="s">
        <v>723</v>
      </c>
      <c r="F3104" s="15" t="s">
        <v>995</v>
      </c>
      <c r="G3104" s="15" t="s">
        <v>112</v>
      </c>
      <c r="H3104" s="15"/>
    </row>
    <row r="3105" customFormat="false" ht="15" hidden="false" customHeight="true" outlineLevel="0" collapsed="false">
      <c r="A3105" s="15" t="s">
        <v>326</v>
      </c>
      <c r="B3105" s="15" t="s">
        <v>328</v>
      </c>
      <c r="C3105" s="15" t="s">
        <v>726</v>
      </c>
      <c r="D3105" s="15" t="n">
        <v>4607</v>
      </c>
      <c r="E3105" s="15" t="s">
        <v>725</v>
      </c>
      <c r="F3105" s="15" t="s">
        <v>995</v>
      </c>
      <c r="G3105" s="15" t="s">
        <v>112</v>
      </c>
      <c r="H3105" s="15"/>
    </row>
    <row r="3106" customFormat="false" ht="15" hidden="false" customHeight="true" outlineLevel="0" collapsed="false">
      <c r="A3106" s="15" t="s">
        <v>326</v>
      </c>
      <c r="B3106" s="15" t="s">
        <v>328</v>
      </c>
      <c r="C3106" s="15" t="s">
        <v>727</v>
      </c>
      <c r="D3106" s="15" t="n">
        <v>1922</v>
      </c>
      <c r="E3106" s="15" t="s">
        <v>725</v>
      </c>
      <c r="F3106" s="15" t="s">
        <v>995</v>
      </c>
      <c r="G3106" s="15" t="s">
        <v>112</v>
      </c>
      <c r="H3106" s="15"/>
    </row>
    <row r="3107" customFormat="false" ht="15" hidden="false" customHeight="true" outlineLevel="0" collapsed="false">
      <c r="A3107" s="15" t="s">
        <v>326</v>
      </c>
      <c r="B3107" s="15" t="s">
        <v>328</v>
      </c>
      <c r="C3107" s="15" t="s">
        <v>728</v>
      </c>
      <c r="D3107" s="15" t="n">
        <v>1740</v>
      </c>
      <c r="E3107" s="15" t="s">
        <v>725</v>
      </c>
      <c r="F3107" s="15" t="s">
        <v>995</v>
      </c>
      <c r="G3107" s="15" t="s">
        <v>112</v>
      </c>
      <c r="H3107" s="15"/>
    </row>
    <row r="3108" customFormat="false" ht="15" hidden="false" customHeight="true" outlineLevel="0" collapsed="false">
      <c r="A3108" s="15" t="s">
        <v>326</v>
      </c>
      <c r="B3108" s="15" t="s">
        <v>328</v>
      </c>
      <c r="C3108" s="15" t="s">
        <v>729</v>
      </c>
      <c r="D3108" s="15" t="n">
        <v>2741</v>
      </c>
      <c r="E3108" s="15" t="s">
        <v>725</v>
      </c>
      <c r="F3108" s="15" t="s">
        <v>995</v>
      </c>
      <c r="G3108" s="15" t="s">
        <v>112</v>
      </c>
      <c r="H3108" s="15"/>
    </row>
    <row r="3109" customFormat="false" ht="15" hidden="false" customHeight="true" outlineLevel="0" collapsed="false">
      <c r="A3109" s="15" t="s">
        <v>326</v>
      </c>
      <c r="B3109" s="15" t="s">
        <v>328</v>
      </c>
      <c r="C3109" s="15" t="s">
        <v>789</v>
      </c>
      <c r="D3109" s="15" t="s">
        <v>790</v>
      </c>
      <c r="E3109" s="15"/>
      <c r="F3109" s="15" t="s">
        <v>995</v>
      </c>
      <c r="G3109" s="15" t="s">
        <v>112</v>
      </c>
      <c r="H3109" s="15"/>
    </row>
    <row r="3110" customFormat="false" ht="15" hidden="false" customHeight="true" outlineLevel="0" collapsed="false">
      <c r="A3110" s="15" t="s">
        <v>326</v>
      </c>
      <c r="B3110" s="15" t="s">
        <v>328</v>
      </c>
      <c r="C3110" s="15" t="s">
        <v>923</v>
      </c>
      <c r="D3110" s="15" t="s">
        <v>996</v>
      </c>
      <c r="E3110" s="15"/>
      <c r="F3110" s="15" t="s">
        <v>995</v>
      </c>
      <c r="G3110" s="15" t="s">
        <v>112</v>
      </c>
      <c r="H3110" s="15"/>
    </row>
    <row r="3111" customFormat="false" ht="15" hidden="false" customHeight="true" outlineLevel="0" collapsed="false">
      <c r="A3111" s="15" t="s">
        <v>326</v>
      </c>
      <c r="B3111" s="15" t="s">
        <v>328</v>
      </c>
      <c r="C3111" s="15" t="s">
        <v>997</v>
      </c>
      <c r="D3111" s="15" t="n">
        <v>25.3</v>
      </c>
      <c r="E3111" s="15"/>
      <c r="F3111" s="15" t="s">
        <v>995</v>
      </c>
      <c r="G3111" s="15" t="s">
        <v>112</v>
      </c>
      <c r="H3111" s="15"/>
    </row>
    <row r="3112" customFormat="false" ht="15" hidden="false" customHeight="true" outlineLevel="0" collapsed="false">
      <c r="A3112" s="15" t="s">
        <v>326</v>
      </c>
      <c r="B3112" s="15" t="s">
        <v>328</v>
      </c>
      <c r="C3112" s="15" t="s">
        <v>998</v>
      </c>
      <c r="D3112" s="15" t="n">
        <v>26.4</v>
      </c>
      <c r="E3112" s="15"/>
      <c r="F3112" s="15" t="s">
        <v>995</v>
      </c>
      <c r="G3112" s="15" t="s">
        <v>112</v>
      </c>
      <c r="H3112" s="15"/>
    </row>
    <row r="3113" customFormat="false" ht="15" hidden="false" customHeight="true" outlineLevel="0" collapsed="false">
      <c r="A3113" s="15" t="s">
        <v>326</v>
      </c>
      <c r="B3113" s="15" t="s">
        <v>328</v>
      </c>
      <c r="C3113" s="15" t="s">
        <v>999</v>
      </c>
      <c r="D3113" s="15" t="n">
        <v>16.6</v>
      </c>
      <c r="E3113" s="15"/>
      <c r="F3113" s="15" t="s">
        <v>995</v>
      </c>
      <c r="G3113" s="15" t="s">
        <v>112</v>
      </c>
      <c r="H3113" s="15"/>
    </row>
    <row r="3114" customFormat="false" ht="15" hidden="false" customHeight="true" outlineLevel="0" collapsed="false">
      <c r="A3114" s="15" t="s">
        <v>326</v>
      </c>
      <c r="B3114" s="15" t="s">
        <v>328</v>
      </c>
      <c r="C3114" s="15" t="s">
        <v>780</v>
      </c>
      <c r="D3114" s="15" t="s">
        <v>1000</v>
      </c>
      <c r="E3114" s="15"/>
      <c r="F3114" s="15" t="s">
        <v>995</v>
      </c>
      <c r="G3114" s="15" t="s">
        <v>112</v>
      </c>
      <c r="H3114" s="15"/>
    </row>
    <row r="3115" customFormat="false" ht="15" hidden="false" customHeight="true" outlineLevel="0" collapsed="false">
      <c r="A3115" s="15" t="s">
        <v>326</v>
      </c>
      <c r="B3115" s="15" t="s">
        <v>328</v>
      </c>
      <c r="C3115" s="15" t="s">
        <v>960</v>
      </c>
      <c r="D3115" s="15" t="n">
        <v>3.3</v>
      </c>
      <c r="E3115" s="15"/>
      <c r="F3115" s="15" t="s">
        <v>995</v>
      </c>
      <c r="G3115" s="15" t="s">
        <v>112</v>
      </c>
      <c r="H3115" s="15"/>
    </row>
    <row r="3116" customFormat="false" ht="39" hidden="false" customHeight="true" outlineLevel="0" collapsed="false">
      <c r="A3116" s="15" t="s">
        <v>326</v>
      </c>
      <c r="B3116" s="15" t="s">
        <v>328</v>
      </c>
      <c r="C3116" s="15" t="s">
        <v>98</v>
      </c>
      <c r="D3116" s="15" t="s">
        <v>950</v>
      </c>
      <c r="E3116" s="15"/>
      <c r="F3116" s="15" t="s">
        <v>995</v>
      </c>
      <c r="G3116" s="15" t="s">
        <v>112</v>
      </c>
      <c r="H3116" s="15"/>
    </row>
    <row r="3117" customFormat="false" ht="15" hidden="false" customHeight="true" outlineLevel="0" collapsed="false">
      <c r="A3117" s="15" t="s">
        <v>326</v>
      </c>
      <c r="B3117" s="15" t="s">
        <v>328</v>
      </c>
      <c r="C3117" s="15" t="s">
        <v>835</v>
      </c>
      <c r="D3117" s="15" t="s">
        <v>836</v>
      </c>
      <c r="E3117" s="15"/>
      <c r="F3117" s="15" t="s">
        <v>995</v>
      </c>
      <c r="G3117" s="15" t="s">
        <v>112</v>
      </c>
      <c r="H3117" s="15"/>
    </row>
    <row r="3118" customFormat="false" ht="15" hidden="false" customHeight="true" outlineLevel="0" collapsed="false">
      <c r="A3118" s="15" t="s">
        <v>326</v>
      </c>
      <c r="B3118" s="15" t="s">
        <v>328</v>
      </c>
      <c r="C3118" s="15" t="s">
        <v>833</v>
      </c>
      <c r="D3118" s="15" t="s">
        <v>938</v>
      </c>
      <c r="E3118" s="15"/>
      <c r="F3118" s="15" t="s">
        <v>995</v>
      </c>
      <c r="G3118" s="15" t="s">
        <v>112</v>
      </c>
      <c r="H3118" s="15"/>
    </row>
    <row r="3119" customFormat="false" ht="15" hidden="false" customHeight="true" outlineLevel="0" collapsed="false">
      <c r="A3119" s="15" t="s">
        <v>326</v>
      </c>
      <c r="B3119" s="15" t="s">
        <v>328</v>
      </c>
      <c r="C3119" s="15" t="s">
        <v>84</v>
      </c>
      <c r="D3119" s="15" t="s">
        <v>1001</v>
      </c>
      <c r="E3119" s="15" t="s">
        <v>725</v>
      </c>
      <c r="F3119" s="15" t="s">
        <v>995</v>
      </c>
      <c r="G3119" s="15" t="s">
        <v>112</v>
      </c>
      <c r="H3119" s="15" t="s">
        <v>1002</v>
      </c>
    </row>
    <row r="3120" customFormat="false" ht="15" hidden="false" customHeight="true" outlineLevel="0" collapsed="false">
      <c r="A3120" s="15" t="s">
        <v>326</v>
      </c>
      <c r="B3120" s="15" t="s">
        <v>328</v>
      </c>
      <c r="C3120" s="15" t="s">
        <v>737</v>
      </c>
      <c r="D3120" s="15" t="n">
        <v>175</v>
      </c>
      <c r="E3120" s="15" t="s">
        <v>738</v>
      </c>
      <c r="F3120" s="15" t="s">
        <v>995</v>
      </c>
      <c r="G3120" s="15" t="s">
        <v>112</v>
      </c>
      <c r="H3120" s="15"/>
    </row>
    <row r="3121" customFormat="false" ht="15" hidden="false" customHeight="true" outlineLevel="0" collapsed="false">
      <c r="A3121" s="15" t="s">
        <v>326</v>
      </c>
      <c r="B3121" s="15" t="s">
        <v>328</v>
      </c>
      <c r="C3121" s="15" t="s">
        <v>714</v>
      </c>
      <c r="D3121" s="15" t="n">
        <v>315</v>
      </c>
      <c r="E3121" s="15" t="s">
        <v>715</v>
      </c>
      <c r="F3121" s="15" t="s">
        <v>995</v>
      </c>
      <c r="G3121" s="15" t="s">
        <v>112</v>
      </c>
      <c r="H3121" s="15"/>
    </row>
    <row r="3122" customFormat="false" ht="15" hidden="false" customHeight="true" outlineLevel="0" collapsed="false">
      <c r="A3122" s="15" t="s">
        <v>326</v>
      </c>
      <c r="B3122" s="15" t="s">
        <v>328</v>
      </c>
      <c r="C3122" s="15" t="s">
        <v>718</v>
      </c>
      <c r="D3122" s="15" t="s">
        <v>113</v>
      </c>
      <c r="E3122" s="15"/>
      <c r="F3122" s="15" t="s">
        <v>995</v>
      </c>
      <c r="G3122" s="15" t="s">
        <v>112</v>
      </c>
      <c r="H3122" s="15"/>
    </row>
    <row r="3123" customFormat="false" ht="15" hidden="false" customHeight="true" outlineLevel="0" collapsed="false">
      <c r="A3123" s="15" t="s">
        <v>326</v>
      </c>
      <c r="B3123" s="15" t="s">
        <v>328</v>
      </c>
      <c r="C3123" s="15" t="s">
        <v>724</v>
      </c>
      <c r="D3123" s="15" t="n">
        <v>67</v>
      </c>
      <c r="E3123" s="15" t="s">
        <v>723</v>
      </c>
      <c r="F3123" s="15" t="s">
        <v>995</v>
      </c>
      <c r="G3123" s="15" t="s">
        <v>112</v>
      </c>
      <c r="H3123" s="15"/>
    </row>
    <row r="3124" customFormat="false" ht="15" hidden="false" customHeight="true" outlineLevel="0" collapsed="false">
      <c r="A3124" s="15" t="s">
        <v>326</v>
      </c>
      <c r="B3124" s="15" t="s">
        <v>328</v>
      </c>
      <c r="C3124" s="15" t="s">
        <v>1003</v>
      </c>
      <c r="D3124" s="15" t="n">
        <v>28</v>
      </c>
      <c r="E3124" s="15"/>
      <c r="F3124" s="15" t="s">
        <v>995</v>
      </c>
      <c r="G3124" s="15" t="s">
        <v>112</v>
      </c>
      <c r="H3124" s="15"/>
    </row>
    <row r="3125" customFormat="false" ht="15" hidden="false" customHeight="true" outlineLevel="0" collapsed="false">
      <c r="A3125" s="15" t="s">
        <v>326</v>
      </c>
      <c r="B3125" s="15" t="s">
        <v>328</v>
      </c>
      <c r="C3125" s="15" t="s">
        <v>719</v>
      </c>
      <c r="D3125" s="15" t="n">
        <v>25</v>
      </c>
      <c r="E3125" s="15" t="s">
        <v>720</v>
      </c>
      <c r="F3125" s="15" t="s">
        <v>995</v>
      </c>
      <c r="G3125" s="15" t="s">
        <v>112</v>
      </c>
      <c r="H3125" s="15"/>
    </row>
    <row r="3126" customFormat="false" ht="15" hidden="false" customHeight="true" outlineLevel="0" collapsed="false">
      <c r="A3126" s="15" t="s">
        <v>326</v>
      </c>
      <c r="B3126" s="15" t="s">
        <v>328</v>
      </c>
      <c r="C3126" s="15" t="s">
        <v>739</v>
      </c>
      <c r="D3126" s="15" t="n">
        <v>100</v>
      </c>
      <c r="E3126" s="15" t="s">
        <v>738</v>
      </c>
      <c r="F3126" s="15" t="s">
        <v>995</v>
      </c>
      <c r="G3126" s="15" t="s">
        <v>112</v>
      </c>
      <c r="H3126" s="15"/>
    </row>
    <row r="3127" customFormat="false" ht="26.25" hidden="false" customHeight="true" outlineLevel="0" collapsed="false">
      <c r="A3127" s="15" t="s">
        <v>326</v>
      </c>
      <c r="B3127" s="15" t="s">
        <v>328</v>
      </c>
      <c r="C3127" s="15" t="s">
        <v>940</v>
      </c>
      <c r="D3127" s="15" t="n">
        <v>9.3</v>
      </c>
      <c r="E3127" s="15"/>
      <c r="F3127" s="15" t="s">
        <v>995</v>
      </c>
      <c r="G3127" s="15" t="s">
        <v>112</v>
      </c>
      <c r="H3127" s="15"/>
    </row>
    <row r="3128" customFormat="false" ht="15" hidden="false" customHeight="true" outlineLevel="0" collapsed="false">
      <c r="A3128" s="15" t="s">
        <v>326</v>
      </c>
      <c r="B3128" s="15" t="s">
        <v>328</v>
      </c>
      <c r="C3128" s="15" t="s">
        <v>733</v>
      </c>
      <c r="D3128" s="15" t="s">
        <v>1004</v>
      </c>
      <c r="E3128" s="15"/>
      <c r="F3128" s="15" t="s">
        <v>995</v>
      </c>
      <c r="G3128" s="15" t="s">
        <v>112</v>
      </c>
      <c r="H3128" s="15"/>
    </row>
    <row r="3129" customFormat="false" ht="15" hidden="false" customHeight="true" outlineLevel="0" collapsed="false">
      <c r="A3129" s="15" t="s">
        <v>326</v>
      </c>
      <c r="B3129" s="15" t="s">
        <v>328</v>
      </c>
      <c r="C3129" s="15" t="s">
        <v>102</v>
      </c>
      <c r="D3129" s="15" t="s">
        <v>1005</v>
      </c>
      <c r="E3129" s="15"/>
      <c r="F3129" s="15" t="s">
        <v>995</v>
      </c>
      <c r="G3129" s="15" t="s">
        <v>112</v>
      </c>
      <c r="H3129" s="15"/>
    </row>
    <row r="3130" customFormat="false" ht="15" hidden="false" customHeight="true" outlineLevel="0" collapsed="false">
      <c r="A3130" s="15" t="s">
        <v>326</v>
      </c>
      <c r="B3130" s="15" t="s">
        <v>328</v>
      </c>
      <c r="C3130" s="15" t="s">
        <v>776</v>
      </c>
      <c r="D3130" s="15" t="s">
        <v>777</v>
      </c>
      <c r="E3130" s="15"/>
      <c r="F3130" s="15" t="s">
        <v>995</v>
      </c>
      <c r="G3130" s="15" t="s">
        <v>112</v>
      </c>
      <c r="H3130" s="15"/>
    </row>
    <row r="3131" customFormat="false" ht="15" hidden="false" customHeight="true" outlineLevel="0" collapsed="false">
      <c r="A3131" s="15" t="s">
        <v>326</v>
      </c>
      <c r="B3131" s="15" t="s">
        <v>328</v>
      </c>
      <c r="C3131" s="15" t="s">
        <v>86</v>
      </c>
      <c r="D3131" s="15" t="n">
        <v>6</v>
      </c>
      <c r="E3131" s="15" t="s">
        <v>721</v>
      </c>
      <c r="F3131" s="15" t="s">
        <v>971</v>
      </c>
      <c r="G3131" s="15" t="s">
        <v>112</v>
      </c>
      <c r="H3131" s="15"/>
    </row>
    <row r="3132" customFormat="false" ht="15" hidden="false" customHeight="true" outlineLevel="0" collapsed="false">
      <c r="A3132" s="15" t="s">
        <v>326</v>
      </c>
      <c r="B3132" s="15" t="s">
        <v>328</v>
      </c>
      <c r="C3132" s="15" t="s">
        <v>764</v>
      </c>
      <c r="D3132" s="15" t="s">
        <v>755</v>
      </c>
      <c r="E3132" s="15"/>
      <c r="F3132" s="15" t="s">
        <v>971</v>
      </c>
      <c r="G3132" s="15" t="s">
        <v>112</v>
      </c>
      <c r="H3132" s="15"/>
    </row>
    <row r="3133" customFormat="false" ht="15" hidden="false" customHeight="true" outlineLevel="0" collapsed="false">
      <c r="A3133" s="15" t="s">
        <v>326</v>
      </c>
      <c r="B3133" s="15" t="s">
        <v>328</v>
      </c>
      <c r="C3133" s="15" t="s">
        <v>749</v>
      </c>
      <c r="D3133" s="15" t="s">
        <v>750</v>
      </c>
      <c r="E3133" s="15"/>
      <c r="F3133" s="15" t="s">
        <v>971</v>
      </c>
      <c r="G3133" s="15" t="s">
        <v>112</v>
      </c>
      <c r="H3133" s="15"/>
    </row>
    <row r="3134" customFormat="false" ht="15" hidden="false" customHeight="true" outlineLevel="0" collapsed="false">
      <c r="A3134" s="15" t="s">
        <v>326</v>
      </c>
      <c r="B3134" s="15" t="s">
        <v>328</v>
      </c>
      <c r="C3134" s="15" t="s">
        <v>752</v>
      </c>
      <c r="D3134" s="15" t="s">
        <v>429</v>
      </c>
      <c r="E3134" s="15"/>
      <c r="F3134" s="15" t="s">
        <v>971</v>
      </c>
      <c r="G3134" s="15" t="s">
        <v>112</v>
      </c>
      <c r="H3134" s="15"/>
    </row>
    <row r="3135" customFormat="false" ht="15" hidden="false" customHeight="true" outlineLevel="0" collapsed="false">
      <c r="A3135" s="15" t="s">
        <v>326</v>
      </c>
      <c r="B3135" s="15" t="s">
        <v>328</v>
      </c>
      <c r="C3135" s="15" t="s">
        <v>90</v>
      </c>
      <c r="D3135" s="15" t="s">
        <v>750</v>
      </c>
      <c r="E3135" s="15"/>
      <c r="F3135" s="15" t="s">
        <v>971</v>
      </c>
      <c r="G3135" s="15" t="s">
        <v>112</v>
      </c>
      <c r="H3135" s="15"/>
    </row>
    <row r="3136" customFormat="false" ht="15" hidden="false" customHeight="true" outlineLevel="0" collapsed="false">
      <c r="A3136" s="15" t="s">
        <v>326</v>
      </c>
      <c r="B3136" s="15" t="s">
        <v>328</v>
      </c>
      <c r="C3136" s="15" t="s">
        <v>754</v>
      </c>
      <c r="D3136" s="15" t="s">
        <v>755</v>
      </c>
      <c r="E3136" s="15"/>
      <c r="F3136" s="15" t="s">
        <v>971</v>
      </c>
      <c r="G3136" s="15" t="s">
        <v>112</v>
      </c>
      <c r="H3136" s="15"/>
    </row>
    <row r="3137" customFormat="false" ht="15" hidden="false" customHeight="true" outlineLevel="0" collapsed="false">
      <c r="A3137" s="15" t="s">
        <v>326</v>
      </c>
      <c r="B3137" s="15" t="s">
        <v>328</v>
      </c>
      <c r="C3137" s="15" t="s">
        <v>756</v>
      </c>
      <c r="D3137" s="15" t="s">
        <v>1006</v>
      </c>
      <c r="E3137" s="15"/>
      <c r="F3137" s="15" t="s">
        <v>971</v>
      </c>
      <c r="G3137" s="15" t="s">
        <v>112</v>
      </c>
      <c r="H3137" s="15"/>
    </row>
    <row r="3138" customFormat="false" ht="15" hidden="false" customHeight="true" outlineLevel="0" collapsed="false">
      <c r="A3138" s="15" t="s">
        <v>326</v>
      </c>
      <c r="B3138" s="15" t="s">
        <v>328</v>
      </c>
      <c r="C3138" s="15" t="s">
        <v>757</v>
      </c>
      <c r="D3138" s="15" t="s">
        <v>1007</v>
      </c>
      <c r="E3138" s="15"/>
      <c r="F3138" s="15" t="s">
        <v>971</v>
      </c>
      <c r="G3138" s="15" t="s">
        <v>112</v>
      </c>
      <c r="H3138" s="15"/>
    </row>
    <row r="3139" customFormat="false" ht="15" hidden="false" customHeight="true" outlineLevel="0" collapsed="false">
      <c r="A3139" s="15" t="s">
        <v>326</v>
      </c>
      <c r="B3139" s="15" t="s">
        <v>328</v>
      </c>
      <c r="C3139" s="15" t="s">
        <v>759</v>
      </c>
      <c r="D3139" s="15" t="s">
        <v>429</v>
      </c>
      <c r="E3139" s="15"/>
      <c r="F3139" s="15" t="s">
        <v>971</v>
      </c>
      <c r="G3139" s="15" t="s">
        <v>112</v>
      </c>
      <c r="H3139" s="15"/>
    </row>
    <row r="3140" customFormat="false" ht="15" hidden="false" customHeight="true" outlineLevel="0" collapsed="false">
      <c r="A3140" s="15" t="s">
        <v>326</v>
      </c>
      <c r="B3140" s="15" t="s">
        <v>328</v>
      </c>
      <c r="C3140" s="15" t="s">
        <v>743</v>
      </c>
      <c r="D3140" s="15" t="s">
        <v>948</v>
      </c>
      <c r="E3140" s="15"/>
      <c r="F3140" s="15" t="s">
        <v>971</v>
      </c>
      <c r="G3140" s="15" t="s">
        <v>112</v>
      </c>
      <c r="H3140" s="15"/>
    </row>
    <row r="3141" customFormat="false" ht="15" hidden="false" customHeight="true" outlineLevel="0" collapsed="false">
      <c r="A3141" s="15" t="s">
        <v>326</v>
      </c>
      <c r="B3141" s="15" t="s">
        <v>328</v>
      </c>
      <c r="C3141" s="15" t="s">
        <v>851</v>
      </c>
      <c r="D3141" s="15" t="s">
        <v>860</v>
      </c>
      <c r="E3141" s="15"/>
      <c r="F3141" s="15" t="s">
        <v>971</v>
      </c>
      <c r="G3141" s="15" t="s">
        <v>112</v>
      </c>
      <c r="H3141" s="15"/>
    </row>
    <row r="3142" customFormat="false" ht="15" hidden="false" customHeight="true" outlineLevel="0" collapsed="false">
      <c r="A3142" s="15" t="s">
        <v>326</v>
      </c>
      <c r="B3142" s="15" t="s">
        <v>328</v>
      </c>
      <c r="C3142" s="15" t="s">
        <v>848</v>
      </c>
      <c r="D3142" s="15" t="s">
        <v>849</v>
      </c>
      <c r="E3142" s="15"/>
      <c r="F3142" s="15" t="s">
        <v>971</v>
      </c>
      <c r="G3142" s="15" t="s">
        <v>112</v>
      </c>
      <c r="H3142" s="15"/>
    </row>
    <row r="3143" customFormat="false" ht="15" hidden="false" customHeight="true" outlineLevel="0" collapsed="false">
      <c r="A3143" s="15" t="s">
        <v>326</v>
      </c>
      <c r="B3143" s="15" t="s">
        <v>328</v>
      </c>
      <c r="C3143" s="15" t="s">
        <v>854</v>
      </c>
      <c r="D3143" s="15" t="s">
        <v>1008</v>
      </c>
      <c r="E3143" s="15"/>
      <c r="F3143" s="15" t="s">
        <v>971</v>
      </c>
      <c r="G3143" s="15" t="s">
        <v>112</v>
      </c>
      <c r="H3143" s="15"/>
    </row>
    <row r="3144" customFormat="false" ht="15" hidden="false" customHeight="true" outlineLevel="0" collapsed="false">
      <c r="A3144" s="15" t="s">
        <v>326</v>
      </c>
      <c r="B3144" s="15" t="s">
        <v>328</v>
      </c>
      <c r="C3144" s="15" t="s">
        <v>946</v>
      </c>
      <c r="D3144" s="15" t="s">
        <v>755</v>
      </c>
      <c r="E3144" s="15"/>
      <c r="F3144" s="15" t="s">
        <v>971</v>
      </c>
      <c r="G3144" s="15" t="s">
        <v>112</v>
      </c>
      <c r="H3144" s="15"/>
    </row>
    <row r="3145" customFormat="false" ht="15" hidden="false" customHeight="true" outlineLevel="0" collapsed="false">
      <c r="A3145" s="15" t="s">
        <v>326</v>
      </c>
      <c r="B3145" s="15" t="s">
        <v>328</v>
      </c>
      <c r="C3145" s="15" t="s">
        <v>762</v>
      </c>
      <c r="D3145" s="15" t="s">
        <v>755</v>
      </c>
      <c r="E3145" s="15"/>
      <c r="F3145" s="15" t="s">
        <v>971</v>
      </c>
      <c r="G3145" s="15" t="s">
        <v>112</v>
      </c>
      <c r="H3145" s="15"/>
    </row>
    <row r="3146" customFormat="false" ht="15" hidden="false" customHeight="true" outlineLevel="0" collapsed="false">
      <c r="A3146" s="15" t="s">
        <v>326</v>
      </c>
      <c r="B3146" s="15" t="s">
        <v>328</v>
      </c>
      <c r="C3146" s="15" t="s">
        <v>763</v>
      </c>
      <c r="D3146" s="15" t="s">
        <v>755</v>
      </c>
      <c r="E3146" s="15"/>
      <c r="F3146" s="15" t="s">
        <v>971</v>
      </c>
      <c r="G3146" s="15" t="s">
        <v>112</v>
      </c>
      <c r="H3146" s="15"/>
    </row>
    <row r="3147" customFormat="false" ht="15" hidden="false" customHeight="true" outlineLevel="0" collapsed="false">
      <c r="A3147" s="15" t="s">
        <v>326</v>
      </c>
      <c r="B3147" s="15" t="s">
        <v>328</v>
      </c>
      <c r="C3147" s="15" t="s">
        <v>843</v>
      </c>
      <c r="D3147" s="15" t="s">
        <v>1009</v>
      </c>
      <c r="E3147" s="15"/>
      <c r="F3147" s="15" t="s">
        <v>971</v>
      </c>
      <c r="G3147" s="15" t="s">
        <v>112</v>
      </c>
      <c r="H3147" s="15"/>
    </row>
    <row r="3148" customFormat="false" ht="26.25" hidden="false" customHeight="true" outlineLevel="0" collapsed="false">
      <c r="A3148" s="15" t="s">
        <v>326</v>
      </c>
      <c r="B3148" s="15" t="s">
        <v>328</v>
      </c>
      <c r="C3148" s="15" t="s">
        <v>1010</v>
      </c>
      <c r="D3148" s="15" t="s">
        <v>1011</v>
      </c>
      <c r="E3148" s="15"/>
      <c r="F3148" s="15" t="s">
        <v>971</v>
      </c>
      <c r="G3148" s="15" t="s">
        <v>112</v>
      </c>
      <c r="H3148" s="15" t="s">
        <v>1012</v>
      </c>
    </row>
    <row r="3149" customFormat="false" ht="15" hidden="false" customHeight="true" outlineLevel="0" collapsed="false">
      <c r="A3149" s="15" t="s">
        <v>332</v>
      </c>
      <c r="B3149" s="15" t="s">
        <v>333</v>
      </c>
      <c r="C3149" s="15" t="s">
        <v>769</v>
      </c>
      <c r="D3149" s="15" t="n">
        <v>5</v>
      </c>
      <c r="E3149" s="15" t="s">
        <v>721</v>
      </c>
      <c r="F3149" s="15" t="s">
        <v>995</v>
      </c>
      <c r="G3149" s="15" t="s">
        <v>112</v>
      </c>
      <c r="H3149" s="15"/>
    </row>
    <row r="3150" customFormat="false" ht="15" hidden="false" customHeight="true" outlineLevel="0" collapsed="false">
      <c r="A3150" s="15" t="s">
        <v>332</v>
      </c>
      <c r="B3150" s="15" t="s">
        <v>333</v>
      </c>
      <c r="C3150" s="15" t="s">
        <v>935</v>
      </c>
      <c r="D3150" s="15" t="s">
        <v>936</v>
      </c>
      <c r="E3150" s="15"/>
      <c r="F3150" s="15" t="s">
        <v>995</v>
      </c>
      <c r="G3150" s="15" t="s">
        <v>112</v>
      </c>
      <c r="H3150" s="15"/>
    </row>
    <row r="3151" customFormat="false" ht="15" hidden="false" customHeight="true" outlineLevel="0" collapsed="false">
      <c r="A3151" s="15" t="s">
        <v>332</v>
      </c>
      <c r="B3151" s="15" t="s">
        <v>333</v>
      </c>
      <c r="C3151" s="15" t="s">
        <v>722</v>
      </c>
      <c r="D3151" s="15" t="n">
        <v>502</v>
      </c>
      <c r="E3151" s="15" t="s">
        <v>723</v>
      </c>
      <c r="F3151" s="15" t="s">
        <v>995</v>
      </c>
      <c r="G3151" s="15" t="s">
        <v>112</v>
      </c>
      <c r="H3151" s="15"/>
    </row>
    <row r="3152" customFormat="false" ht="15" hidden="false" customHeight="true" outlineLevel="0" collapsed="false">
      <c r="A3152" s="15" t="s">
        <v>332</v>
      </c>
      <c r="B3152" s="15" t="s">
        <v>333</v>
      </c>
      <c r="C3152" s="15" t="s">
        <v>726</v>
      </c>
      <c r="D3152" s="15" t="n">
        <v>4607</v>
      </c>
      <c r="E3152" s="15" t="s">
        <v>725</v>
      </c>
      <c r="F3152" s="15" t="s">
        <v>995</v>
      </c>
      <c r="G3152" s="15" t="s">
        <v>112</v>
      </c>
      <c r="H3152" s="15"/>
    </row>
    <row r="3153" customFormat="false" ht="15" hidden="false" customHeight="true" outlineLevel="0" collapsed="false">
      <c r="A3153" s="15" t="s">
        <v>332</v>
      </c>
      <c r="B3153" s="15" t="s">
        <v>333</v>
      </c>
      <c r="C3153" s="15" t="s">
        <v>727</v>
      </c>
      <c r="D3153" s="15" t="n">
        <v>1922</v>
      </c>
      <c r="E3153" s="15" t="s">
        <v>725</v>
      </c>
      <c r="F3153" s="15" t="s">
        <v>995</v>
      </c>
      <c r="G3153" s="15" t="s">
        <v>112</v>
      </c>
      <c r="H3153" s="15"/>
    </row>
    <row r="3154" customFormat="false" ht="15" hidden="false" customHeight="true" outlineLevel="0" collapsed="false">
      <c r="A3154" s="15" t="s">
        <v>332</v>
      </c>
      <c r="B3154" s="15" t="s">
        <v>333</v>
      </c>
      <c r="C3154" s="15" t="s">
        <v>728</v>
      </c>
      <c r="D3154" s="15" t="n">
        <v>1740</v>
      </c>
      <c r="E3154" s="15" t="s">
        <v>725</v>
      </c>
      <c r="F3154" s="15" t="s">
        <v>995</v>
      </c>
      <c r="G3154" s="15" t="s">
        <v>112</v>
      </c>
      <c r="H3154" s="15"/>
    </row>
    <row r="3155" customFormat="false" ht="15" hidden="false" customHeight="true" outlineLevel="0" collapsed="false">
      <c r="A3155" s="15" t="s">
        <v>332</v>
      </c>
      <c r="B3155" s="15" t="s">
        <v>333</v>
      </c>
      <c r="C3155" s="15" t="s">
        <v>729</v>
      </c>
      <c r="D3155" s="15" t="n">
        <v>2741</v>
      </c>
      <c r="E3155" s="15" t="s">
        <v>725</v>
      </c>
      <c r="F3155" s="15" t="s">
        <v>995</v>
      </c>
      <c r="G3155" s="15" t="s">
        <v>112</v>
      </c>
      <c r="H3155" s="15"/>
    </row>
    <row r="3156" customFormat="false" ht="15" hidden="false" customHeight="true" outlineLevel="0" collapsed="false">
      <c r="A3156" s="15" t="s">
        <v>332</v>
      </c>
      <c r="B3156" s="15" t="s">
        <v>333</v>
      </c>
      <c r="C3156" s="15" t="s">
        <v>789</v>
      </c>
      <c r="D3156" s="15" t="s">
        <v>790</v>
      </c>
      <c r="E3156" s="15"/>
      <c r="F3156" s="15" t="s">
        <v>995</v>
      </c>
      <c r="G3156" s="15" t="s">
        <v>112</v>
      </c>
      <c r="H3156" s="15"/>
    </row>
    <row r="3157" customFormat="false" ht="15" hidden="false" customHeight="true" outlineLevel="0" collapsed="false">
      <c r="A3157" s="15" t="s">
        <v>332</v>
      </c>
      <c r="B3157" s="15" t="s">
        <v>333</v>
      </c>
      <c r="C3157" s="15" t="s">
        <v>923</v>
      </c>
      <c r="D3157" s="15" t="s">
        <v>996</v>
      </c>
      <c r="E3157" s="15"/>
      <c r="F3157" s="15" t="s">
        <v>995</v>
      </c>
      <c r="G3157" s="15" t="s">
        <v>112</v>
      </c>
      <c r="H3157" s="15"/>
    </row>
    <row r="3158" customFormat="false" ht="15" hidden="false" customHeight="true" outlineLevel="0" collapsed="false">
      <c r="A3158" s="15" t="s">
        <v>332</v>
      </c>
      <c r="B3158" s="15" t="s">
        <v>333</v>
      </c>
      <c r="C3158" s="15" t="s">
        <v>997</v>
      </c>
      <c r="D3158" s="15" t="n">
        <v>25.3</v>
      </c>
      <c r="E3158" s="15"/>
      <c r="F3158" s="15" t="s">
        <v>995</v>
      </c>
      <c r="G3158" s="15" t="s">
        <v>112</v>
      </c>
      <c r="H3158" s="15"/>
    </row>
    <row r="3159" customFormat="false" ht="15" hidden="false" customHeight="true" outlineLevel="0" collapsed="false">
      <c r="A3159" s="15" t="s">
        <v>332</v>
      </c>
      <c r="B3159" s="15" t="s">
        <v>333</v>
      </c>
      <c r="C3159" s="15" t="s">
        <v>998</v>
      </c>
      <c r="D3159" s="15" t="n">
        <v>26.4</v>
      </c>
      <c r="E3159" s="15"/>
      <c r="F3159" s="15" t="s">
        <v>995</v>
      </c>
      <c r="G3159" s="15" t="s">
        <v>112</v>
      </c>
      <c r="H3159" s="15"/>
    </row>
    <row r="3160" customFormat="false" ht="15" hidden="false" customHeight="true" outlineLevel="0" collapsed="false">
      <c r="A3160" s="15" t="s">
        <v>332</v>
      </c>
      <c r="B3160" s="15" t="s">
        <v>333</v>
      </c>
      <c r="C3160" s="15" t="s">
        <v>999</v>
      </c>
      <c r="D3160" s="15" t="n">
        <v>16.6</v>
      </c>
      <c r="E3160" s="15"/>
      <c r="F3160" s="15" t="s">
        <v>995</v>
      </c>
      <c r="G3160" s="15" t="s">
        <v>112</v>
      </c>
      <c r="H3160" s="15"/>
    </row>
    <row r="3161" customFormat="false" ht="15" hidden="false" customHeight="true" outlineLevel="0" collapsed="false">
      <c r="A3161" s="15" t="s">
        <v>332</v>
      </c>
      <c r="B3161" s="15" t="s">
        <v>333</v>
      </c>
      <c r="C3161" s="15" t="s">
        <v>780</v>
      </c>
      <c r="D3161" s="15" t="s">
        <v>1000</v>
      </c>
      <c r="E3161" s="15"/>
      <c r="F3161" s="15" t="s">
        <v>995</v>
      </c>
      <c r="G3161" s="15" t="s">
        <v>112</v>
      </c>
      <c r="H3161" s="15"/>
    </row>
    <row r="3162" customFormat="false" ht="15" hidden="false" customHeight="true" outlineLevel="0" collapsed="false">
      <c r="A3162" s="15" t="s">
        <v>332</v>
      </c>
      <c r="B3162" s="15" t="s">
        <v>333</v>
      </c>
      <c r="C3162" s="15" t="s">
        <v>960</v>
      </c>
      <c r="D3162" s="15" t="n">
        <v>3.3</v>
      </c>
      <c r="E3162" s="15"/>
      <c r="F3162" s="15" t="s">
        <v>995</v>
      </c>
      <c r="G3162" s="15" t="s">
        <v>112</v>
      </c>
      <c r="H3162" s="15"/>
    </row>
    <row r="3163" customFormat="false" ht="39" hidden="false" customHeight="true" outlineLevel="0" collapsed="false">
      <c r="A3163" s="15" t="s">
        <v>332</v>
      </c>
      <c r="B3163" s="15" t="s">
        <v>333</v>
      </c>
      <c r="C3163" s="15" t="s">
        <v>98</v>
      </c>
      <c r="D3163" s="15" t="s">
        <v>950</v>
      </c>
      <c r="E3163" s="15"/>
      <c r="F3163" s="15" t="s">
        <v>995</v>
      </c>
      <c r="G3163" s="15" t="s">
        <v>112</v>
      </c>
      <c r="H3163" s="15"/>
    </row>
    <row r="3164" customFormat="false" ht="15" hidden="false" customHeight="true" outlineLevel="0" collapsed="false">
      <c r="A3164" s="15" t="s">
        <v>332</v>
      </c>
      <c r="B3164" s="15" t="s">
        <v>333</v>
      </c>
      <c r="C3164" s="15" t="s">
        <v>835</v>
      </c>
      <c r="D3164" s="15" t="s">
        <v>836</v>
      </c>
      <c r="E3164" s="15"/>
      <c r="F3164" s="15" t="s">
        <v>995</v>
      </c>
      <c r="G3164" s="15" t="s">
        <v>112</v>
      </c>
      <c r="H3164" s="15"/>
    </row>
    <row r="3165" customFormat="false" ht="15" hidden="false" customHeight="true" outlineLevel="0" collapsed="false">
      <c r="A3165" s="15" t="s">
        <v>332</v>
      </c>
      <c r="B3165" s="15" t="s">
        <v>333</v>
      </c>
      <c r="C3165" s="15" t="s">
        <v>833</v>
      </c>
      <c r="D3165" s="15" t="s">
        <v>938</v>
      </c>
      <c r="E3165" s="15"/>
      <c r="F3165" s="15" t="s">
        <v>995</v>
      </c>
      <c r="G3165" s="15" t="s">
        <v>112</v>
      </c>
      <c r="H3165" s="15"/>
    </row>
    <row r="3166" customFormat="false" ht="15" hidden="false" customHeight="true" outlineLevel="0" collapsed="false">
      <c r="A3166" s="15" t="s">
        <v>332</v>
      </c>
      <c r="B3166" s="15" t="s">
        <v>333</v>
      </c>
      <c r="C3166" s="15" t="s">
        <v>84</v>
      </c>
      <c r="D3166" s="15" t="s">
        <v>1001</v>
      </c>
      <c r="E3166" s="15" t="s">
        <v>725</v>
      </c>
      <c r="F3166" s="15" t="s">
        <v>995</v>
      </c>
      <c r="G3166" s="15" t="s">
        <v>112</v>
      </c>
      <c r="H3166" s="15" t="s">
        <v>1002</v>
      </c>
    </row>
    <row r="3167" customFormat="false" ht="15" hidden="false" customHeight="true" outlineLevel="0" collapsed="false">
      <c r="A3167" s="15" t="s">
        <v>332</v>
      </c>
      <c r="B3167" s="15" t="s">
        <v>333</v>
      </c>
      <c r="C3167" s="15" t="s">
        <v>737</v>
      </c>
      <c r="D3167" s="15" t="n">
        <v>175</v>
      </c>
      <c r="E3167" s="15" t="s">
        <v>738</v>
      </c>
      <c r="F3167" s="15" t="s">
        <v>995</v>
      </c>
      <c r="G3167" s="15" t="s">
        <v>112</v>
      </c>
      <c r="H3167" s="15"/>
    </row>
    <row r="3168" customFormat="false" ht="15" hidden="false" customHeight="true" outlineLevel="0" collapsed="false">
      <c r="A3168" s="15" t="s">
        <v>332</v>
      </c>
      <c r="B3168" s="15" t="s">
        <v>333</v>
      </c>
      <c r="C3168" s="15" t="s">
        <v>714</v>
      </c>
      <c r="D3168" s="15" t="n">
        <v>315</v>
      </c>
      <c r="E3168" s="15" t="s">
        <v>715</v>
      </c>
      <c r="F3168" s="15" t="s">
        <v>995</v>
      </c>
      <c r="G3168" s="15" t="s">
        <v>112</v>
      </c>
      <c r="H3168" s="15"/>
    </row>
    <row r="3169" customFormat="false" ht="15" hidden="false" customHeight="true" outlineLevel="0" collapsed="false">
      <c r="A3169" s="15" t="s">
        <v>332</v>
      </c>
      <c r="B3169" s="15" t="s">
        <v>333</v>
      </c>
      <c r="C3169" s="15" t="s">
        <v>718</v>
      </c>
      <c r="D3169" s="15" t="s">
        <v>113</v>
      </c>
      <c r="E3169" s="15"/>
      <c r="F3169" s="15" t="s">
        <v>995</v>
      </c>
      <c r="G3169" s="15" t="s">
        <v>112</v>
      </c>
      <c r="H3169" s="15"/>
    </row>
    <row r="3170" customFormat="false" ht="15" hidden="false" customHeight="true" outlineLevel="0" collapsed="false">
      <c r="A3170" s="15" t="s">
        <v>332</v>
      </c>
      <c r="B3170" s="15" t="s">
        <v>333</v>
      </c>
      <c r="C3170" s="15" t="s">
        <v>724</v>
      </c>
      <c r="D3170" s="15" t="n">
        <v>67</v>
      </c>
      <c r="E3170" s="15" t="s">
        <v>723</v>
      </c>
      <c r="F3170" s="15" t="s">
        <v>995</v>
      </c>
      <c r="G3170" s="15" t="s">
        <v>112</v>
      </c>
      <c r="H3170" s="15"/>
    </row>
    <row r="3171" customFormat="false" ht="15" hidden="false" customHeight="true" outlineLevel="0" collapsed="false">
      <c r="A3171" s="15" t="s">
        <v>332</v>
      </c>
      <c r="B3171" s="15" t="s">
        <v>333</v>
      </c>
      <c r="C3171" s="15" t="s">
        <v>1003</v>
      </c>
      <c r="D3171" s="15" t="n">
        <v>28</v>
      </c>
      <c r="E3171" s="15"/>
      <c r="F3171" s="15" t="s">
        <v>995</v>
      </c>
      <c r="G3171" s="15" t="s">
        <v>112</v>
      </c>
      <c r="H3171" s="15"/>
    </row>
    <row r="3172" customFormat="false" ht="15" hidden="false" customHeight="true" outlineLevel="0" collapsed="false">
      <c r="A3172" s="15" t="s">
        <v>332</v>
      </c>
      <c r="B3172" s="15" t="s">
        <v>333</v>
      </c>
      <c r="C3172" s="15" t="s">
        <v>719</v>
      </c>
      <c r="D3172" s="15" t="n">
        <v>25</v>
      </c>
      <c r="E3172" s="15" t="s">
        <v>720</v>
      </c>
      <c r="F3172" s="15" t="s">
        <v>995</v>
      </c>
      <c r="G3172" s="15" t="s">
        <v>112</v>
      </c>
      <c r="H3172" s="15"/>
    </row>
    <row r="3173" customFormat="false" ht="15" hidden="false" customHeight="true" outlineLevel="0" collapsed="false">
      <c r="A3173" s="15" t="s">
        <v>332</v>
      </c>
      <c r="B3173" s="15" t="s">
        <v>333</v>
      </c>
      <c r="C3173" s="15" t="s">
        <v>739</v>
      </c>
      <c r="D3173" s="15" t="n">
        <v>100</v>
      </c>
      <c r="E3173" s="15" t="s">
        <v>738</v>
      </c>
      <c r="F3173" s="15" t="s">
        <v>995</v>
      </c>
      <c r="G3173" s="15" t="s">
        <v>112</v>
      </c>
      <c r="H3173" s="15"/>
    </row>
    <row r="3174" customFormat="false" ht="26.25" hidden="false" customHeight="true" outlineLevel="0" collapsed="false">
      <c r="A3174" s="15" t="s">
        <v>332</v>
      </c>
      <c r="B3174" s="15" t="s">
        <v>333</v>
      </c>
      <c r="C3174" s="15" t="s">
        <v>940</v>
      </c>
      <c r="D3174" s="15" t="n">
        <v>9.3</v>
      </c>
      <c r="E3174" s="15"/>
      <c r="F3174" s="15" t="s">
        <v>995</v>
      </c>
      <c r="G3174" s="15" t="s">
        <v>112</v>
      </c>
      <c r="H3174" s="15"/>
    </row>
    <row r="3175" customFormat="false" ht="15" hidden="false" customHeight="true" outlineLevel="0" collapsed="false">
      <c r="A3175" s="15" t="s">
        <v>332</v>
      </c>
      <c r="B3175" s="15" t="s">
        <v>333</v>
      </c>
      <c r="C3175" s="15" t="s">
        <v>733</v>
      </c>
      <c r="D3175" s="15" t="s">
        <v>1004</v>
      </c>
      <c r="E3175" s="15"/>
      <c r="F3175" s="15" t="s">
        <v>995</v>
      </c>
      <c r="G3175" s="15" t="s">
        <v>112</v>
      </c>
      <c r="H3175" s="15"/>
    </row>
    <row r="3176" customFormat="false" ht="15" hidden="false" customHeight="true" outlineLevel="0" collapsed="false">
      <c r="A3176" s="15" t="s">
        <v>332</v>
      </c>
      <c r="B3176" s="15" t="s">
        <v>333</v>
      </c>
      <c r="C3176" s="15" t="s">
        <v>102</v>
      </c>
      <c r="D3176" s="15" t="s">
        <v>1005</v>
      </c>
      <c r="E3176" s="15"/>
      <c r="F3176" s="15" t="s">
        <v>995</v>
      </c>
      <c r="G3176" s="15" t="s">
        <v>112</v>
      </c>
      <c r="H3176" s="15"/>
    </row>
    <row r="3177" customFormat="false" ht="15" hidden="false" customHeight="true" outlineLevel="0" collapsed="false">
      <c r="A3177" s="15" t="s">
        <v>332</v>
      </c>
      <c r="B3177" s="15" t="s">
        <v>333</v>
      </c>
      <c r="C3177" s="15" t="s">
        <v>776</v>
      </c>
      <c r="D3177" s="15" t="s">
        <v>777</v>
      </c>
      <c r="E3177" s="15"/>
      <c r="F3177" s="15" t="s">
        <v>995</v>
      </c>
      <c r="G3177" s="15" t="s">
        <v>112</v>
      </c>
      <c r="H3177" s="15"/>
    </row>
    <row r="3178" customFormat="false" ht="15" hidden="false" customHeight="true" outlineLevel="0" collapsed="false">
      <c r="A3178" s="15" t="s">
        <v>332</v>
      </c>
      <c r="B3178" s="15" t="s">
        <v>333</v>
      </c>
      <c r="C3178" s="15" t="s">
        <v>86</v>
      </c>
      <c r="D3178" s="15" t="n">
        <v>6</v>
      </c>
      <c r="E3178" s="15" t="s">
        <v>721</v>
      </c>
      <c r="F3178" s="15" t="s">
        <v>971</v>
      </c>
      <c r="G3178" s="15" t="s">
        <v>112</v>
      </c>
      <c r="H3178" s="15"/>
    </row>
    <row r="3179" customFormat="false" ht="15" hidden="false" customHeight="true" outlineLevel="0" collapsed="false">
      <c r="A3179" s="15" t="s">
        <v>332</v>
      </c>
      <c r="B3179" s="15" t="s">
        <v>333</v>
      </c>
      <c r="C3179" s="15" t="s">
        <v>764</v>
      </c>
      <c r="D3179" s="15" t="s">
        <v>755</v>
      </c>
      <c r="E3179" s="15"/>
      <c r="F3179" s="15" t="s">
        <v>971</v>
      </c>
      <c r="G3179" s="15" t="s">
        <v>112</v>
      </c>
      <c r="H3179" s="15"/>
    </row>
    <row r="3180" customFormat="false" ht="15" hidden="false" customHeight="true" outlineLevel="0" collapsed="false">
      <c r="A3180" s="15" t="s">
        <v>332</v>
      </c>
      <c r="B3180" s="15" t="s">
        <v>333</v>
      </c>
      <c r="C3180" s="15" t="s">
        <v>749</v>
      </c>
      <c r="D3180" s="15" t="s">
        <v>750</v>
      </c>
      <c r="E3180" s="15"/>
      <c r="F3180" s="15" t="s">
        <v>971</v>
      </c>
      <c r="G3180" s="15" t="s">
        <v>112</v>
      </c>
      <c r="H3180" s="15"/>
    </row>
    <row r="3181" customFormat="false" ht="15" hidden="false" customHeight="true" outlineLevel="0" collapsed="false">
      <c r="A3181" s="15" t="s">
        <v>332</v>
      </c>
      <c r="B3181" s="15" t="s">
        <v>333</v>
      </c>
      <c r="C3181" s="15" t="s">
        <v>752</v>
      </c>
      <c r="D3181" s="15" t="s">
        <v>429</v>
      </c>
      <c r="E3181" s="15"/>
      <c r="F3181" s="15" t="s">
        <v>971</v>
      </c>
      <c r="G3181" s="15" t="s">
        <v>112</v>
      </c>
      <c r="H3181" s="15"/>
    </row>
    <row r="3182" customFormat="false" ht="15" hidden="false" customHeight="true" outlineLevel="0" collapsed="false">
      <c r="A3182" s="15" t="s">
        <v>332</v>
      </c>
      <c r="B3182" s="15" t="s">
        <v>333</v>
      </c>
      <c r="C3182" s="15" t="s">
        <v>90</v>
      </c>
      <c r="D3182" s="15" t="s">
        <v>1013</v>
      </c>
      <c r="E3182" s="15"/>
      <c r="F3182" s="15" t="s">
        <v>971</v>
      </c>
      <c r="G3182" s="15" t="s">
        <v>112</v>
      </c>
      <c r="H3182" s="15"/>
    </row>
    <row r="3183" customFormat="false" ht="15" hidden="false" customHeight="true" outlineLevel="0" collapsed="false">
      <c r="A3183" s="15" t="s">
        <v>332</v>
      </c>
      <c r="B3183" s="15" t="s">
        <v>333</v>
      </c>
      <c r="C3183" s="15" t="s">
        <v>754</v>
      </c>
      <c r="D3183" s="15" t="s">
        <v>755</v>
      </c>
      <c r="E3183" s="15"/>
      <c r="F3183" s="15" t="s">
        <v>971</v>
      </c>
      <c r="G3183" s="15" t="s">
        <v>112</v>
      </c>
      <c r="H3183" s="15"/>
    </row>
    <row r="3184" customFormat="false" ht="15" hidden="false" customHeight="true" outlineLevel="0" collapsed="false">
      <c r="A3184" s="15" t="s">
        <v>332</v>
      </c>
      <c r="B3184" s="15" t="s">
        <v>333</v>
      </c>
      <c r="C3184" s="15" t="s">
        <v>756</v>
      </c>
      <c r="D3184" s="15" t="s">
        <v>1006</v>
      </c>
      <c r="E3184" s="15"/>
      <c r="F3184" s="15" t="s">
        <v>971</v>
      </c>
      <c r="G3184" s="15" t="s">
        <v>112</v>
      </c>
      <c r="H3184" s="15"/>
    </row>
    <row r="3185" customFormat="false" ht="15" hidden="false" customHeight="true" outlineLevel="0" collapsed="false">
      <c r="A3185" s="15" t="s">
        <v>332</v>
      </c>
      <c r="B3185" s="15" t="s">
        <v>333</v>
      </c>
      <c r="C3185" s="15" t="s">
        <v>757</v>
      </c>
      <c r="D3185" s="15" t="s">
        <v>1007</v>
      </c>
      <c r="E3185" s="15"/>
      <c r="F3185" s="15" t="s">
        <v>971</v>
      </c>
      <c r="G3185" s="15" t="s">
        <v>112</v>
      </c>
      <c r="H3185" s="15"/>
    </row>
    <row r="3186" customFormat="false" ht="15" hidden="false" customHeight="true" outlineLevel="0" collapsed="false">
      <c r="A3186" s="15" t="s">
        <v>332</v>
      </c>
      <c r="B3186" s="15" t="s">
        <v>333</v>
      </c>
      <c r="C3186" s="15" t="s">
        <v>759</v>
      </c>
      <c r="D3186" s="15" t="s">
        <v>429</v>
      </c>
      <c r="E3186" s="15"/>
      <c r="F3186" s="15" t="s">
        <v>971</v>
      </c>
      <c r="G3186" s="15" t="s">
        <v>112</v>
      </c>
      <c r="H3186" s="15"/>
    </row>
    <row r="3187" customFormat="false" ht="15" hidden="false" customHeight="true" outlineLevel="0" collapsed="false">
      <c r="A3187" s="15" t="s">
        <v>332</v>
      </c>
      <c r="B3187" s="15" t="s">
        <v>333</v>
      </c>
      <c r="C3187" s="15" t="s">
        <v>743</v>
      </c>
      <c r="D3187" s="15" t="s">
        <v>957</v>
      </c>
      <c r="E3187" s="15"/>
      <c r="F3187" s="15" t="s">
        <v>971</v>
      </c>
      <c r="G3187" s="15" t="s">
        <v>112</v>
      </c>
      <c r="H3187" s="15"/>
    </row>
    <row r="3188" customFormat="false" ht="15" hidden="false" customHeight="true" outlineLevel="0" collapsed="false">
      <c r="A3188" s="15" t="s">
        <v>332</v>
      </c>
      <c r="B3188" s="15" t="s">
        <v>333</v>
      </c>
      <c r="C3188" s="15" t="s">
        <v>851</v>
      </c>
      <c r="D3188" s="15" t="s">
        <v>860</v>
      </c>
      <c r="E3188" s="15"/>
      <c r="F3188" s="15" t="s">
        <v>971</v>
      </c>
      <c r="G3188" s="15" t="s">
        <v>112</v>
      </c>
      <c r="H3188" s="15"/>
    </row>
    <row r="3189" customFormat="false" ht="15" hidden="false" customHeight="true" outlineLevel="0" collapsed="false">
      <c r="A3189" s="15" t="s">
        <v>332</v>
      </c>
      <c r="B3189" s="15" t="s">
        <v>333</v>
      </c>
      <c r="C3189" s="15" t="s">
        <v>848</v>
      </c>
      <c r="D3189" s="15" t="s">
        <v>849</v>
      </c>
      <c r="E3189" s="15"/>
      <c r="F3189" s="15" t="s">
        <v>971</v>
      </c>
      <c r="G3189" s="15" t="s">
        <v>112</v>
      </c>
      <c r="H3189" s="15"/>
    </row>
    <row r="3190" customFormat="false" ht="15" hidden="false" customHeight="true" outlineLevel="0" collapsed="false">
      <c r="A3190" s="15" t="s">
        <v>332</v>
      </c>
      <c r="B3190" s="15" t="s">
        <v>333</v>
      </c>
      <c r="C3190" s="15" t="s">
        <v>854</v>
      </c>
      <c r="D3190" s="15" t="s">
        <v>1008</v>
      </c>
      <c r="E3190" s="15"/>
      <c r="F3190" s="15" t="s">
        <v>971</v>
      </c>
      <c r="G3190" s="15" t="s">
        <v>112</v>
      </c>
      <c r="H3190" s="15"/>
    </row>
    <row r="3191" customFormat="false" ht="15" hidden="false" customHeight="true" outlineLevel="0" collapsed="false">
      <c r="A3191" s="15" t="s">
        <v>332</v>
      </c>
      <c r="B3191" s="15" t="s">
        <v>333</v>
      </c>
      <c r="C3191" s="15" t="s">
        <v>946</v>
      </c>
      <c r="D3191" s="15" t="s">
        <v>958</v>
      </c>
      <c r="E3191" s="15"/>
      <c r="F3191" s="15" t="s">
        <v>971</v>
      </c>
      <c r="G3191" s="15" t="s">
        <v>112</v>
      </c>
      <c r="H3191" s="15"/>
    </row>
    <row r="3192" customFormat="false" ht="15" hidden="false" customHeight="true" outlineLevel="0" collapsed="false">
      <c r="A3192" s="15" t="s">
        <v>332</v>
      </c>
      <c r="B3192" s="15" t="s">
        <v>333</v>
      </c>
      <c r="C3192" s="15" t="s">
        <v>762</v>
      </c>
      <c r="D3192" s="15" t="s">
        <v>755</v>
      </c>
      <c r="E3192" s="15"/>
      <c r="F3192" s="15" t="s">
        <v>971</v>
      </c>
      <c r="G3192" s="15" t="s">
        <v>112</v>
      </c>
      <c r="H3192" s="15"/>
    </row>
    <row r="3193" customFormat="false" ht="15" hidden="false" customHeight="true" outlineLevel="0" collapsed="false">
      <c r="A3193" s="15" t="s">
        <v>332</v>
      </c>
      <c r="B3193" s="15" t="s">
        <v>333</v>
      </c>
      <c r="C3193" s="15" t="s">
        <v>763</v>
      </c>
      <c r="D3193" s="15" t="s">
        <v>755</v>
      </c>
      <c r="E3193" s="15"/>
      <c r="F3193" s="15" t="s">
        <v>971</v>
      </c>
      <c r="G3193" s="15" t="s">
        <v>112</v>
      </c>
      <c r="H3193" s="15"/>
    </row>
    <row r="3194" customFormat="false" ht="15" hidden="false" customHeight="true" outlineLevel="0" collapsed="false">
      <c r="A3194" s="15" t="s">
        <v>332</v>
      </c>
      <c r="B3194" s="15" t="s">
        <v>333</v>
      </c>
      <c r="C3194" s="15" t="s">
        <v>843</v>
      </c>
      <c r="D3194" s="15" t="s">
        <v>1009</v>
      </c>
      <c r="E3194" s="15"/>
      <c r="F3194" s="15" t="s">
        <v>971</v>
      </c>
      <c r="G3194" s="15" t="s">
        <v>112</v>
      </c>
      <c r="H3194" s="15"/>
    </row>
    <row r="3195" customFormat="false" ht="26.25" hidden="false" customHeight="true" outlineLevel="0" collapsed="false">
      <c r="A3195" s="15" t="s">
        <v>332</v>
      </c>
      <c r="B3195" s="15" t="s">
        <v>333</v>
      </c>
      <c r="C3195" s="15" t="s">
        <v>1010</v>
      </c>
      <c r="D3195" s="15" t="s">
        <v>1011</v>
      </c>
      <c r="E3195" s="15"/>
      <c r="F3195" s="15" t="s">
        <v>971</v>
      </c>
      <c r="G3195" s="15" t="s">
        <v>112</v>
      </c>
      <c r="H3195" s="15" t="s">
        <v>1012</v>
      </c>
    </row>
    <row r="3196" customFormat="false" ht="15" hidden="false" customHeight="true" outlineLevel="0" collapsed="false">
      <c r="A3196" s="15" t="s">
        <v>332</v>
      </c>
      <c r="B3196" s="15" t="s">
        <v>333</v>
      </c>
      <c r="C3196" s="15" t="s">
        <v>1014</v>
      </c>
      <c r="D3196" s="15" t="s">
        <v>803</v>
      </c>
      <c r="E3196" s="15"/>
      <c r="F3196" s="15" t="s">
        <v>971</v>
      </c>
      <c r="G3196" s="15" t="s">
        <v>112</v>
      </c>
      <c r="H3196" s="15"/>
    </row>
    <row r="3197" customFormat="false" ht="15" hidden="false" customHeight="true" outlineLevel="0" collapsed="false">
      <c r="A3197" s="15" t="s">
        <v>335</v>
      </c>
      <c r="B3197" s="15" t="s">
        <v>336</v>
      </c>
      <c r="C3197" s="15" t="s">
        <v>769</v>
      </c>
      <c r="D3197" s="15" t="n">
        <v>5</v>
      </c>
      <c r="E3197" s="15" t="s">
        <v>721</v>
      </c>
      <c r="F3197" s="15" t="s">
        <v>995</v>
      </c>
      <c r="G3197" s="15" t="s">
        <v>112</v>
      </c>
      <c r="H3197" s="15"/>
    </row>
    <row r="3198" customFormat="false" ht="15" hidden="false" customHeight="true" outlineLevel="0" collapsed="false">
      <c r="A3198" s="15" t="s">
        <v>335</v>
      </c>
      <c r="B3198" s="15" t="s">
        <v>336</v>
      </c>
      <c r="C3198" s="15" t="s">
        <v>935</v>
      </c>
      <c r="D3198" s="15" t="s">
        <v>936</v>
      </c>
      <c r="E3198" s="15"/>
      <c r="F3198" s="15" t="s">
        <v>995</v>
      </c>
      <c r="G3198" s="15" t="s">
        <v>112</v>
      </c>
      <c r="H3198" s="15"/>
    </row>
    <row r="3199" customFormat="false" ht="15" hidden="false" customHeight="true" outlineLevel="0" collapsed="false">
      <c r="A3199" s="15" t="s">
        <v>335</v>
      </c>
      <c r="B3199" s="15" t="s">
        <v>336</v>
      </c>
      <c r="C3199" s="15" t="s">
        <v>722</v>
      </c>
      <c r="D3199" s="15" t="n">
        <v>502</v>
      </c>
      <c r="E3199" s="15" t="s">
        <v>723</v>
      </c>
      <c r="F3199" s="15" t="s">
        <v>995</v>
      </c>
      <c r="G3199" s="15" t="s">
        <v>112</v>
      </c>
      <c r="H3199" s="15"/>
    </row>
    <row r="3200" customFormat="false" ht="15" hidden="false" customHeight="true" outlineLevel="0" collapsed="false">
      <c r="A3200" s="15" t="s">
        <v>335</v>
      </c>
      <c r="B3200" s="15" t="s">
        <v>336</v>
      </c>
      <c r="C3200" s="15" t="s">
        <v>726</v>
      </c>
      <c r="D3200" s="15" t="n">
        <v>4607</v>
      </c>
      <c r="E3200" s="15" t="s">
        <v>725</v>
      </c>
      <c r="F3200" s="15" t="s">
        <v>995</v>
      </c>
      <c r="G3200" s="15" t="s">
        <v>112</v>
      </c>
      <c r="H3200" s="15"/>
    </row>
    <row r="3201" customFormat="false" ht="15" hidden="false" customHeight="true" outlineLevel="0" collapsed="false">
      <c r="A3201" s="15" t="s">
        <v>335</v>
      </c>
      <c r="B3201" s="15" t="s">
        <v>336</v>
      </c>
      <c r="C3201" s="15" t="s">
        <v>727</v>
      </c>
      <c r="D3201" s="15" t="n">
        <v>1922</v>
      </c>
      <c r="E3201" s="15" t="s">
        <v>725</v>
      </c>
      <c r="F3201" s="15" t="s">
        <v>995</v>
      </c>
      <c r="G3201" s="15" t="s">
        <v>112</v>
      </c>
      <c r="H3201" s="15"/>
    </row>
    <row r="3202" customFormat="false" ht="15" hidden="false" customHeight="true" outlineLevel="0" collapsed="false">
      <c r="A3202" s="15" t="s">
        <v>335</v>
      </c>
      <c r="B3202" s="15" t="s">
        <v>336</v>
      </c>
      <c r="C3202" s="15" t="s">
        <v>728</v>
      </c>
      <c r="D3202" s="15" t="n">
        <v>1740</v>
      </c>
      <c r="E3202" s="15" t="s">
        <v>725</v>
      </c>
      <c r="F3202" s="15" t="s">
        <v>995</v>
      </c>
      <c r="G3202" s="15" t="s">
        <v>112</v>
      </c>
      <c r="H3202" s="15"/>
    </row>
    <row r="3203" customFormat="false" ht="15" hidden="false" customHeight="true" outlineLevel="0" collapsed="false">
      <c r="A3203" s="15" t="s">
        <v>335</v>
      </c>
      <c r="B3203" s="15" t="s">
        <v>336</v>
      </c>
      <c r="C3203" s="15" t="s">
        <v>729</v>
      </c>
      <c r="D3203" s="15" t="n">
        <v>2741</v>
      </c>
      <c r="E3203" s="15" t="s">
        <v>725</v>
      </c>
      <c r="F3203" s="15" t="s">
        <v>995</v>
      </c>
      <c r="G3203" s="15" t="s">
        <v>112</v>
      </c>
      <c r="H3203" s="15"/>
    </row>
    <row r="3204" customFormat="false" ht="15" hidden="false" customHeight="true" outlineLevel="0" collapsed="false">
      <c r="A3204" s="15" t="s">
        <v>335</v>
      </c>
      <c r="B3204" s="15" t="s">
        <v>336</v>
      </c>
      <c r="C3204" s="15" t="s">
        <v>789</v>
      </c>
      <c r="D3204" s="15" t="s">
        <v>790</v>
      </c>
      <c r="E3204" s="15"/>
      <c r="F3204" s="15" t="s">
        <v>995</v>
      </c>
      <c r="G3204" s="15" t="s">
        <v>112</v>
      </c>
      <c r="H3204" s="15"/>
    </row>
    <row r="3205" customFormat="false" ht="15" hidden="false" customHeight="true" outlineLevel="0" collapsed="false">
      <c r="A3205" s="15" t="s">
        <v>335</v>
      </c>
      <c r="B3205" s="15" t="s">
        <v>336</v>
      </c>
      <c r="C3205" s="15" t="s">
        <v>923</v>
      </c>
      <c r="D3205" s="15" t="s">
        <v>996</v>
      </c>
      <c r="E3205" s="15"/>
      <c r="F3205" s="15" t="s">
        <v>995</v>
      </c>
      <c r="G3205" s="15" t="s">
        <v>112</v>
      </c>
      <c r="H3205" s="15"/>
    </row>
    <row r="3206" customFormat="false" ht="15" hidden="false" customHeight="true" outlineLevel="0" collapsed="false">
      <c r="A3206" s="15" t="s">
        <v>335</v>
      </c>
      <c r="B3206" s="15" t="s">
        <v>336</v>
      </c>
      <c r="C3206" s="15" t="s">
        <v>997</v>
      </c>
      <c r="D3206" s="15" t="n">
        <v>25.3</v>
      </c>
      <c r="E3206" s="15"/>
      <c r="F3206" s="15" t="s">
        <v>995</v>
      </c>
      <c r="G3206" s="15" t="s">
        <v>112</v>
      </c>
      <c r="H3206" s="15"/>
    </row>
    <row r="3207" customFormat="false" ht="15" hidden="false" customHeight="true" outlineLevel="0" collapsed="false">
      <c r="A3207" s="15" t="s">
        <v>335</v>
      </c>
      <c r="B3207" s="15" t="s">
        <v>336</v>
      </c>
      <c r="C3207" s="15" t="s">
        <v>998</v>
      </c>
      <c r="D3207" s="15" t="n">
        <v>26.4</v>
      </c>
      <c r="E3207" s="15"/>
      <c r="F3207" s="15" t="s">
        <v>995</v>
      </c>
      <c r="G3207" s="15" t="s">
        <v>112</v>
      </c>
      <c r="H3207" s="15"/>
    </row>
    <row r="3208" customFormat="false" ht="15" hidden="false" customHeight="true" outlineLevel="0" collapsed="false">
      <c r="A3208" s="15" t="s">
        <v>335</v>
      </c>
      <c r="B3208" s="15" t="s">
        <v>336</v>
      </c>
      <c r="C3208" s="15" t="s">
        <v>999</v>
      </c>
      <c r="D3208" s="15" t="n">
        <v>16.6</v>
      </c>
      <c r="E3208" s="15"/>
      <c r="F3208" s="15" t="s">
        <v>995</v>
      </c>
      <c r="G3208" s="15" t="s">
        <v>112</v>
      </c>
      <c r="H3208" s="15"/>
    </row>
    <row r="3209" customFormat="false" ht="15" hidden="false" customHeight="true" outlineLevel="0" collapsed="false">
      <c r="A3209" s="15" t="s">
        <v>335</v>
      </c>
      <c r="B3209" s="15" t="s">
        <v>336</v>
      </c>
      <c r="C3209" s="15" t="s">
        <v>780</v>
      </c>
      <c r="D3209" s="15" t="s">
        <v>1000</v>
      </c>
      <c r="E3209" s="15"/>
      <c r="F3209" s="15" t="s">
        <v>995</v>
      </c>
      <c r="G3209" s="15" t="s">
        <v>112</v>
      </c>
      <c r="H3209" s="15"/>
    </row>
    <row r="3210" customFormat="false" ht="15" hidden="false" customHeight="true" outlineLevel="0" collapsed="false">
      <c r="A3210" s="15" t="s">
        <v>335</v>
      </c>
      <c r="B3210" s="15" t="s">
        <v>336</v>
      </c>
      <c r="C3210" s="15" t="s">
        <v>960</v>
      </c>
      <c r="D3210" s="15" t="n">
        <v>3.3</v>
      </c>
      <c r="E3210" s="15"/>
      <c r="F3210" s="15" t="s">
        <v>995</v>
      </c>
      <c r="G3210" s="15" t="s">
        <v>112</v>
      </c>
      <c r="H3210" s="15"/>
    </row>
    <row r="3211" customFormat="false" ht="39" hidden="false" customHeight="true" outlineLevel="0" collapsed="false">
      <c r="A3211" s="15" t="s">
        <v>335</v>
      </c>
      <c r="B3211" s="15" t="s">
        <v>336</v>
      </c>
      <c r="C3211" s="15" t="s">
        <v>98</v>
      </c>
      <c r="D3211" s="15" t="s">
        <v>950</v>
      </c>
      <c r="E3211" s="15"/>
      <c r="F3211" s="15" t="s">
        <v>995</v>
      </c>
      <c r="G3211" s="15" t="s">
        <v>112</v>
      </c>
      <c r="H3211" s="15"/>
    </row>
    <row r="3212" customFormat="false" ht="15" hidden="false" customHeight="true" outlineLevel="0" collapsed="false">
      <c r="A3212" s="15" t="s">
        <v>335</v>
      </c>
      <c r="B3212" s="15" t="s">
        <v>336</v>
      </c>
      <c r="C3212" s="15" t="s">
        <v>835</v>
      </c>
      <c r="D3212" s="15" t="s">
        <v>836</v>
      </c>
      <c r="E3212" s="15"/>
      <c r="F3212" s="15" t="s">
        <v>995</v>
      </c>
      <c r="G3212" s="15" t="s">
        <v>112</v>
      </c>
      <c r="H3212" s="15"/>
    </row>
    <row r="3213" customFormat="false" ht="15" hidden="false" customHeight="true" outlineLevel="0" collapsed="false">
      <c r="A3213" s="15" t="s">
        <v>335</v>
      </c>
      <c r="B3213" s="15" t="s">
        <v>336</v>
      </c>
      <c r="C3213" s="15" t="s">
        <v>833</v>
      </c>
      <c r="D3213" s="15" t="s">
        <v>938</v>
      </c>
      <c r="E3213" s="15"/>
      <c r="F3213" s="15" t="s">
        <v>995</v>
      </c>
      <c r="G3213" s="15" t="s">
        <v>112</v>
      </c>
      <c r="H3213" s="15"/>
    </row>
    <row r="3214" customFormat="false" ht="15" hidden="false" customHeight="true" outlineLevel="0" collapsed="false">
      <c r="A3214" s="15" t="s">
        <v>335</v>
      </c>
      <c r="B3214" s="15" t="s">
        <v>336</v>
      </c>
      <c r="C3214" s="15" t="s">
        <v>84</v>
      </c>
      <c r="D3214" s="15" t="s">
        <v>1001</v>
      </c>
      <c r="E3214" s="15" t="s">
        <v>725</v>
      </c>
      <c r="F3214" s="15" t="s">
        <v>995</v>
      </c>
      <c r="G3214" s="15" t="s">
        <v>112</v>
      </c>
      <c r="H3214" s="15" t="s">
        <v>1002</v>
      </c>
    </row>
    <row r="3215" customFormat="false" ht="15" hidden="false" customHeight="true" outlineLevel="0" collapsed="false">
      <c r="A3215" s="15" t="s">
        <v>335</v>
      </c>
      <c r="B3215" s="15" t="s">
        <v>336</v>
      </c>
      <c r="C3215" s="15" t="s">
        <v>737</v>
      </c>
      <c r="D3215" s="15" t="n">
        <v>175</v>
      </c>
      <c r="E3215" s="15" t="s">
        <v>738</v>
      </c>
      <c r="F3215" s="15" t="s">
        <v>995</v>
      </c>
      <c r="G3215" s="15" t="s">
        <v>112</v>
      </c>
      <c r="H3215" s="15"/>
    </row>
    <row r="3216" customFormat="false" ht="15" hidden="false" customHeight="true" outlineLevel="0" collapsed="false">
      <c r="A3216" s="15" t="s">
        <v>335</v>
      </c>
      <c r="B3216" s="15" t="s">
        <v>336</v>
      </c>
      <c r="C3216" s="15" t="s">
        <v>714</v>
      </c>
      <c r="D3216" s="15" t="n">
        <v>315</v>
      </c>
      <c r="E3216" s="15" t="s">
        <v>715</v>
      </c>
      <c r="F3216" s="15" t="s">
        <v>995</v>
      </c>
      <c r="G3216" s="15" t="s">
        <v>112</v>
      </c>
      <c r="H3216" s="15"/>
    </row>
    <row r="3217" customFormat="false" ht="15" hidden="false" customHeight="true" outlineLevel="0" collapsed="false">
      <c r="A3217" s="15" t="s">
        <v>335</v>
      </c>
      <c r="B3217" s="15" t="s">
        <v>336</v>
      </c>
      <c r="C3217" s="15" t="s">
        <v>718</v>
      </c>
      <c r="D3217" s="15" t="s">
        <v>113</v>
      </c>
      <c r="E3217" s="15"/>
      <c r="F3217" s="15" t="s">
        <v>995</v>
      </c>
      <c r="G3217" s="15" t="s">
        <v>112</v>
      </c>
      <c r="H3217" s="15"/>
    </row>
    <row r="3218" customFormat="false" ht="15" hidden="false" customHeight="true" outlineLevel="0" collapsed="false">
      <c r="A3218" s="15" t="s">
        <v>335</v>
      </c>
      <c r="B3218" s="15" t="s">
        <v>336</v>
      </c>
      <c r="C3218" s="15" t="s">
        <v>724</v>
      </c>
      <c r="D3218" s="15" t="n">
        <v>67</v>
      </c>
      <c r="E3218" s="15" t="s">
        <v>723</v>
      </c>
      <c r="F3218" s="15" t="s">
        <v>995</v>
      </c>
      <c r="G3218" s="15" t="s">
        <v>112</v>
      </c>
      <c r="H3218" s="15"/>
    </row>
    <row r="3219" customFormat="false" ht="15" hidden="false" customHeight="true" outlineLevel="0" collapsed="false">
      <c r="A3219" s="15" t="s">
        <v>335</v>
      </c>
      <c r="B3219" s="15" t="s">
        <v>336</v>
      </c>
      <c r="C3219" s="15" t="s">
        <v>1003</v>
      </c>
      <c r="D3219" s="15" t="n">
        <v>28</v>
      </c>
      <c r="E3219" s="15"/>
      <c r="F3219" s="15" t="s">
        <v>995</v>
      </c>
      <c r="G3219" s="15" t="s">
        <v>112</v>
      </c>
      <c r="H3219" s="15"/>
    </row>
    <row r="3220" customFormat="false" ht="15" hidden="false" customHeight="true" outlineLevel="0" collapsed="false">
      <c r="A3220" s="15" t="s">
        <v>335</v>
      </c>
      <c r="B3220" s="15" t="s">
        <v>336</v>
      </c>
      <c r="C3220" s="15" t="s">
        <v>719</v>
      </c>
      <c r="D3220" s="15" t="n">
        <v>25</v>
      </c>
      <c r="E3220" s="15" t="s">
        <v>720</v>
      </c>
      <c r="F3220" s="15" t="s">
        <v>995</v>
      </c>
      <c r="G3220" s="15" t="s">
        <v>112</v>
      </c>
      <c r="H3220" s="15"/>
    </row>
    <row r="3221" customFormat="false" ht="15" hidden="false" customHeight="true" outlineLevel="0" collapsed="false">
      <c r="A3221" s="15" t="s">
        <v>335</v>
      </c>
      <c r="B3221" s="15" t="s">
        <v>336</v>
      </c>
      <c r="C3221" s="15" t="s">
        <v>739</v>
      </c>
      <c r="D3221" s="15" t="n">
        <v>100</v>
      </c>
      <c r="E3221" s="15" t="s">
        <v>738</v>
      </c>
      <c r="F3221" s="15" t="s">
        <v>995</v>
      </c>
      <c r="G3221" s="15" t="s">
        <v>112</v>
      </c>
      <c r="H3221" s="15"/>
    </row>
    <row r="3222" customFormat="false" ht="26.25" hidden="false" customHeight="true" outlineLevel="0" collapsed="false">
      <c r="A3222" s="15" t="s">
        <v>335</v>
      </c>
      <c r="B3222" s="15" t="s">
        <v>336</v>
      </c>
      <c r="C3222" s="15" t="s">
        <v>940</v>
      </c>
      <c r="D3222" s="15" t="n">
        <v>9.3</v>
      </c>
      <c r="E3222" s="15"/>
      <c r="F3222" s="15" t="s">
        <v>995</v>
      </c>
      <c r="G3222" s="15" t="s">
        <v>112</v>
      </c>
      <c r="H3222" s="15"/>
    </row>
    <row r="3223" customFormat="false" ht="15" hidden="false" customHeight="true" outlineLevel="0" collapsed="false">
      <c r="A3223" s="15" t="s">
        <v>335</v>
      </c>
      <c r="B3223" s="15" t="s">
        <v>336</v>
      </c>
      <c r="C3223" s="15" t="s">
        <v>733</v>
      </c>
      <c r="D3223" s="15" t="s">
        <v>1004</v>
      </c>
      <c r="E3223" s="15"/>
      <c r="F3223" s="15" t="s">
        <v>995</v>
      </c>
      <c r="G3223" s="15" t="s">
        <v>112</v>
      </c>
      <c r="H3223" s="15"/>
    </row>
    <row r="3224" customFormat="false" ht="15" hidden="false" customHeight="true" outlineLevel="0" collapsed="false">
      <c r="A3224" s="15" t="s">
        <v>335</v>
      </c>
      <c r="B3224" s="15" t="s">
        <v>336</v>
      </c>
      <c r="C3224" s="15" t="s">
        <v>102</v>
      </c>
      <c r="D3224" s="15" t="s">
        <v>1005</v>
      </c>
      <c r="E3224" s="15"/>
      <c r="F3224" s="15" t="s">
        <v>995</v>
      </c>
      <c r="G3224" s="15" t="s">
        <v>112</v>
      </c>
      <c r="H3224" s="15"/>
    </row>
    <row r="3225" customFormat="false" ht="15" hidden="false" customHeight="true" outlineLevel="0" collapsed="false">
      <c r="A3225" s="15" t="s">
        <v>335</v>
      </c>
      <c r="B3225" s="15" t="s">
        <v>336</v>
      </c>
      <c r="C3225" s="15" t="s">
        <v>776</v>
      </c>
      <c r="D3225" s="15" t="s">
        <v>800</v>
      </c>
      <c r="E3225" s="15"/>
      <c r="F3225" s="15" t="s">
        <v>995</v>
      </c>
      <c r="G3225" s="15" t="s">
        <v>112</v>
      </c>
      <c r="H3225" s="15"/>
    </row>
    <row r="3226" customFormat="false" ht="15" hidden="false" customHeight="true" outlineLevel="0" collapsed="false">
      <c r="A3226" s="15" t="s">
        <v>335</v>
      </c>
      <c r="B3226" s="15" t="s">
        <v>336</v>
      </c>
      <c r="C3226" s="15" t="s">
        <v>86</v>
      </c>
      <c r="D3226" s="15" t="n">
        <v>7</v>
      </c>
      <c r="E3226" s="15" t="s">
        <v>721</v>
      </c>
      <c r="F3226" s="15" t="s">
        <v>971</v>
      </c>
      <c r="G3226" s="15" t="s">
        <v>112</v>
      </c>
      <c r="H3226" s="15" t="s">
        <v>1015</v>
      </c>
    </row>
    <row r="3227" customFormat="false" ht="15" hidden="false" customHeight="true" outlineLevel="0" collapsed="false">
      <c r="A3227" s="15" t="s">
        <v>335</v>
      </c>
      <c r="B3227" s="15" t="s">
        <v>336</v>
      </c>
      <c r="C3227" s="15" t="s">
        <v>764</v>
      </c>
      <c r="D3227" s="15" t="s">
        <v>803</v>
      </c>
      <c r="E3227" s="15"/>
      <c r="F3227" s="15" t="s">
        <v>971</v>
      </c>
      <c r="G3227" s="15" t="s">
        <v>112</v>
      </c>
      <c r="H3227" s="15"/>
    </row>
    <row r="3228" customFormat="false" ht="15" hidden="false" customHeight="true" outlineLevel="0" collapsed="false">
      <c r="A3228" s="15" t="s">
        <v>335</v>
      </c>
      <c r="B3228" s="15" t="s">
        <v>336</v>
      </c>
      <c r="C3228" s="15" t="s">
        <v>749</v>
      </c>
      <c r="D3228" s="15" t="s">
        <v>750</v>
      </c>
      <c r="E3228" s="15"/>
      <c r="F3228" s="15" t="s">
        <v>971</v>
      </c>
      <c r="G3228" s="15" t="s">
        <v>112</v>
      </c>
      <c r="H3228" s="15"/>
    </row>
    <row r="3229" customFormat="false" ht="15" hidden="false" customHeight="true" outlineLevel="0" collapsed="false">
      <c r="A3229" s="15" t="s">
        <v>335</v>
      </c>
      <c r="B3229" s="15" t="s">
        <v>336</v>
      </c>
      <c r="C3229" s="15" t="s">
        <v>752</v>
      </c>
      <c r="D3229" s="15" t="s">
        <v>1016</v>
      </c>
      <c r="E3229" s="15"/>
      <c r="F3229" s="15" t="s">
        <v>971</v>
      </c>
      <c r="G3229" s="15" t="s">
        <v>112</v>
      </c>
      <c r="H3229" s="15"/>
    </row>
    <row r="3230" customFormat="false" ht="15" hidden="false" customHeight="true" outlineLevel="0" collapsed="false">
      <c r="A3230" s="15" t="s">
        <v>335</v>
      </c>
      <c r="B3230" s="15" t="s">
        <v>336</v>
      </c>
      <c r="C3230" s="15" t="s">
        <v>90</v>
      </c>
      <c r="D3230" s="15" t="s">
        <v>1013</v>
      </c>
      <c r="E3230" s="15"/>
      <c r="F3230" s="15" t="s">
        <v>971</v>
      </c>
      <c r="G3230" s="15" t="s">
        <v>112</v>
      </c>
      <c r="H3230" s="15"/>
    </row>
    <row r="3231" customFormat="false" ht="15" hidden="false" customHeight="true" outlineLevel="0" collapsed="false">
      <c r="A3231" s="15" t="s">
        <v>335</v>
      </c>
      <c r="B3231" s="15" t="s">
        <v>336</v>
      </c>
      <c r="C3231" s="15" t="s">
        <v>754</v>
      </c>
      <c r="D3231" s="15" t="s">
        <v>803</v>
      </c>
      <c r="E3231" s="15"/>
      <c r="F3231" s="15" t="s">
        <v>971</v>
      </c>
      <c r="G3231" s="15" t="s">
        <v>112</v>
      </c>
      <c r="H3231" s="15"/>
    </row>
    <row r="3232" customFormat="false" ht="26.25" hidden="false" customHeight="true" outlineLevel="0" collapsed="false">
      <c r="A3232" s="15" t="s">
        <v>335</v>
      </c>
      <c r="B3232" s="15" t="s">
        <v>336</v>
      </c>
      <c r="C3232" s="15" t="s">
        <v>756</v>
      </c>
      <c r="D3232" s="15" t="s">
        <v>1017</v>
      </c>
      <c r="E3232" s="15"/>
      <c r="F3232" s="15" t="s">
        <v>971</v>
      </c>
      <c r="G3232" s="15" t="s">
        <v>112</v>
      </c>
      <c r="H3232" s="15"/>
    </row>
    <row r="3233" customFormat="false" ht="15" hidden="false" customHeight="true" outlineLevel="0" collapsed="false">
      <c r="A3233" s="15" t="s">
        <v>335</v>
      </c>
      <c r="B3233" s="15" t="s">
        <v>336</v>
      </c>
      <c r="C3233" s="15" t="s">
        <v>757</v>
      </c>
      <c r="D3233" s="15" t="s">
        <v>1018</v>
      </c>
      <c r="E3233" s="15"/>
      <c r="F3233" s="15" t="s">
        <v>971</v>
      </c>
      <c r="G3233" s="15" t="s">
        <v>112</v>
      </c>
      <c r="H3233" s="15"/>
    </row>
    <row r="3234" customFormat="false" ht="15" hidden="false" customHeight="true" outlineLevel="0" collapsed="false">
      <c r="A3234" s="15" t="s">
        <v>335</v>
      </c>
      <c r="B3234" s="15" t="s">
        <v>336</v>
      </c>
      <c r="C3234" s="15" t="s">
        <v>759</v>
      </c>
      <c r="D3234" s="15" t="s">
        <v>1019</v>
      </c>
      <c r="E3234" s="15"/>
      <c r="F3234" s="15" t="s">
        <v>971</v>
      </c>
      <c r="G3234" s="15" t="s">
        <v>112</v>
      </c>
      <c r="H3234" s="15"/>
    </row>
    <row r="3235" customFormat="false" ht="15" hidden="false" customHeight="true" outlineLevel="0" collapsed="false">
      <c r="A3235" s="15" t="s">
        <v>335</v>
      </c>
      <c r="B3235" s="15" t="s">
        <v>336</v>
      </c>
      <c r="C3235" s="15" t="s">
        <v>743</v>
      </c>
      <c r="D3235" s="15" t="s">
        <v>957</v>
      </c>
      <c r="E3235" s="15"/>
      <c r="F3235" s="15" t="s">
        <v>971</v>
      </c>
      <c r="G3235" s="15" t="s">
        <v>112</v>
      </c>
      <c r="H3235" s="15"/>
    </row>
    <row r="3236" customFormat="false" ht="15" hidden="false" customHeight="true" outlineLevel="0" collapsed="false">
      <c r="A3236" s="15" t="s">
        <v>335</v>
      </c>
      <c r="B3236" s="15" t="s">
        <v>336</v>
      </c>
      <c r="C3236" s="15" t="s">
        <v>851</v>
      </c>
      <c r="D3236" s="15" t="s">
        <v>860</v>
      </c>
      <c r="E3236" s="15"/>
      <c r="F3236" s="15" t="s">
        <v>971</v>
      </c>
      <c r="G3236" s="15" t="s">
        <v>112</v>
      </c>
      <c r="H3236" s="15"/>
    </row>
    <row r="3237" customFormat="false" ht="15" hidden="false" customHeight="true" outlineLevel="0" collapsed="false">
      <c r="A3237" s="15" t="s">
        <v>335</v>
      </c>
      <c r="B3237" s="15" t="s">
        <v>336</v>
      </c>
      <c r="C3237" s="15" t="s">
        <v>848</v>
      </c>
      <c r="D3237" s="15" t="s">
        <v>849</v>
      </c>
      <c r="E3237" s="15"/>
      <c r="F3237" s="15" t="s">
        <v>971</v>
      </c>
      <c r="G3237" s="15" t="s">
        <v>112</v>
      </c>
      <c r="H3237" s="15"/>
    </row>
    <row r="3238" customFormat="false" ht="15" hidden="false" customHeight="true" outlineLevel="0" collapsed="false">
      <c r="A3238" s="15" t="s">
        <v>335</v>
      </c>
      <c r="B3238" s="15" t="s">
        <v>336</v>
      </c>
      <c r="C3238" s="15" t="s">
        <v>854</v>
      </c>
      <c r="D3238" s="15" t="s">
        <v>1008</v>
      </c>
      <c r="E3238" s="15"/>
      <c r="F3238" s="15" t="s">
        <v>971</v>
      </c>
      <c r="G3238" s="15" t="s">
        <v>112</v>
      </c>
      <c r="H3238" s="15"/>
    </row>
    <row r="3239" customFormat="false" ht="15" hidden="false" customHeight="true" outlineLevel="0" collapsed="false">
      <c r="A3239" s="15" t="s">
        <v>335</v>
      </c>
      <c r="B3239" s="15" t="s">
        <v>336</v>
      </c>
      <c r="C3239" s="15" t="s">
        <v>946</v>
      </c>
      <c r="D3239" s="15" t="s">
        <v>958</v>
      </c>
      <c r="E3239" s="15"/>
      <c r="F3239" s="15" t="s">
        <v>971</v>
      </c>
      <c r="G3239" s="15" t="s">
        <v>112</v>
      </c>
      <c r="H3239" s="15"/>
    </row>
    <row r="3240" customFormat="false" ht="15" hidden="false" customHeight="true" outlineLevel="0" collapsed="false">
      <c r="A3240" s="15" t="s">
        <v>335</v>
      </c>
      <c r="B3240" s="15" t="s">
        <v>336</v>
      </c>
      <c r="C3240" s="15" t="s">
        <v>762</v>
      </c>
      <c r="D3240" s="15" t="s">
        <v>755</v>
      </c>
      <c r="E3240" s="15"/>
      <c r="F3240" s="15" t="s">
        <v>971</v>
      </c>
      <c r="G3240" s="15" t="s">
        <v>112</v>
      </c>
      <c r="H3240" s="15"/>
    </row>
    <row r="3241" customFormat="false" ht="15" hidden="false" customHeight="true" outlineLevel="0" collapsed="false">
      <c r="A3241" s="15" t="s">
        <v>335</v>
      </c>
      <c r="B3241" s="15" t="s">
        <v>336</v>
      </c>
      <c r="C3241" s="15" t="s">
        <v>763</v>
      </c>
      <c r="D3241" s="15" t="s">
        <v>755</v>
      </c>
      <c r="E3241" s="15"/>
      <c r="F3241" s="15" t="s">
        <v>971</v>
      </c>
      <c r="G3241" s="15" t="s">
        <v>112</v>
      </c>
      <c r="H3241" s="15"/>
    </row>
    <row r="3242" customFormat="false" ht="15" hidden="false" customHeight="true" outlineLevel="0" collapsed="false">
      <c r="A3242" s="15" t="s">
        <v>335</v>
      </c>
      <c r="B3242" s="15" t="s">
        <v>336</v>
      </c>
      <c r="C3242" s="15" t="s">
        <v>843</v>
      </c>
      <c r="D3242" s="15" t="s">
        <v>1009</v>
      </c>
      <c r="E3242" s="15"/>
      <c r="F3242" s="15" t="s">
        <v>971</v>
      </c>
      <c r="G3242" s="15" t="s">
        <v>112</v>
      </c>
      <c r="H3242" s="15"/>
    </row>
    <row r="3243" customFormat="false" ht="26.25" hidden="false" customHeight="true" outlineLevel="0" collapsed="false">
      <c r="A3243" s="15" t="s">
        <v>335</v>
      </c>
      <c r="B3243" s="15" t="s">
        <v>336</v>
      </c>
      <c r="C3243" s="15" t="s">
        <v>1010</v>
      </c>
      <c r="D3243" s="15" t="s">
        <v>1011</v>
      </c>
      <c r="E3243" s="15"/>
      <c r="F3243" s="15" t="s">
        <v>971</v>
      </c>
      <c r="G3243" s="15" t="s">
        <v>112</v>
      </c>
      <c r="H3243" s="15" t="s">
        <v>1012</v>
      </c>
    </row>
    <row r="3244" customFormat="false" ht="15" hidden="false" customHeight="true" outlineLevel="0" collapsed="false">
      <c r="A3244" s="15" t="s">
        <v>335</v>
      </c>
      <c r="B3244" s="15" t="s">
        <v>336</v>
      </c>
      <c r="C3244" s="15" t="s">
        <v>1014</v>
      </c>
      <c r="D3244" s="15" t="s">
        <v>803</v>
      </c>
      <c r="E3244" s="15"/>
      <c r="F3244" s="15" t="s">
        <v>971</v>
      </c>
      <c r="G3244" s="15" t="s">
        <v>112</v>
      </c>
      <c r="H3244" s="15"/>
    </row>
    <row r="3245" customFormat="false" ht="15" hidden="false" customHeight="true" outlineLevel="0" collapsed="false">
      <c r="A3245" s="15" t="s">
        <v>335</v>
      </c>
      <c r="B3245" s="15" t="s">
        <v>336</v>
      </c>
      <c r="C3245" s="15" t="s">
        <v>857</v>
      </c>
      <c r="D3245" s="15" t="s">
        <v>803</v>
      </c>
      <c r="E3245" s="15"/>
      <c r="F3245" s="15" t="s">
        <v>971</v>
      </c>
      <c r="G3245" s="15" t="s">
        <v>112</v>
      </c>
      <c r="H3245" s="15"/>
    </row>
    <row r="3246" customFormat="false" ht="15" hidden="false" customHeight="true" outlineLevel="0" collapsed="false">
      <c r="A3246" s="15" t="s">
        <v>335</v>
      </c>
      <c r="B3246" s="15" t="s">
        <v>336</v>
      </c>
      <c r="C3246" s="15" t="s">
        <v>1020</v>
      </c>
      <c r="D3246" s="15" t="s">
        <v>1021</v>
      </c>
      <c r="E3246" s="15"/>
      <c r="F3246" s="15" t="s">
        <v>971</v>
      </c>
      <c r="G3246" s="15" t="s">
        <v>112</v>
      </c>
      <c r="H3246" s="15"/>
    </row>
    <row r="3247" customFormat="false" ht="15" hidden="false" customHeight="true" outlineLevel="0" collapsed="false">
      <c r="A3247" s="15" t="s">
        <v>335</v>
      </c>
      <c r="B3247" s="15" t="s">
        <v>336</v>
      </c>
      <c r="C3247" s="15" t="s">
        <v>853</v>
      </c>
      <c r="D3247" s="15" t="s">
        <v>803</v>
      </c>
      <c r="E3247" s="15"/>
      <c r="F3247" s="15" t="s">
        <v>971</v>
      </c>
      <c r="G3247" s="15" t="s">
        <v>112</v>
      </c>
      <c r="H3247" s="15"/>
    </row>
    <row r="3248" customFormat="false" ht="15" hidden="false" customHeight="true" outlineLevel="0" collapsed="false">
      <c r="A3248" s="15" t="s">
        <v>338</v>
      </c>
      <c r="B3248" s="15" t="s">
        <v>339</v>
      </c>
      <c r="C3248" s="15" t="s">
        <v>769</v>
      </c>
      <c r="D3248" s="15" t="n">
        <v>5</v>
      </c>
      <c r="E3248" s="15" t="s">
        <v>721</v>
      </c>
      <c r="F3248" s="15" t="s">
        <v>995</v>
      </c>
      <c r="G3248" s="15" t="s">
        <v>112</v>
      </c>
      <c r="H3248" s="15"/>
    </row>
    <row r="3249" customFormat="false" ht="15" hidden="false" customHeight="true" outlineLevel="0" collapsed="false">
      <c r="A3249" s="15" t="s">
        <v>338</v>
      </c>
      <c r="B3249" s="15" t="s">
        <v>339</v>
      </c>
      <c r="C3249" s="15" t="s">
        <v>935</v>
      </c>
      <c r="D3249" s="15" t="s">
        <v>936</v>
      </c>
      <c r="E3249" s="15"/>
      <c r="F3249" s="15" t="s">
        <v>995</v>
      </c>
      <c r="G3249" s="15" t="s">
        <v>112</v>
      </c>
      <c r="H3249" s="15"/>
    </row>
    <row r="3250" customFormat="false" ht="15" hidden="false" customHeight="true" outlineLevel="0" collapsed="false">
      <c r="A3250" s="15" t="s">
        <v>338</v>
      </c>
      <c r="B3250" s="15" t="s">
        <v>339</v>
      </c>
      <c r="C3250" s="15" t="s">
        <v>722</v>
      </c>
      <c r="D3250" s="15" t="n">
        <v>502</v>
      </c>
      <c r="E3250" s="15" t="s">
        <v>723</v>
      </c>
      <c r="F3250" s="15" t="s">
        <v>995</v>
      </c>
      <c r="G3250" s="15" t="s">
        <v>112</v>
      </c>
      <c r="H3250" s="15"/>
    </row>
    <row r="3251" customFormat="false" ht="15" hidden="false" customHeight="true" outlineLevel="0" collapsed="false">
      <c r="A3251" s="15" t="s">
        <v>338</v>
      </c>
      <c r="B3251" s="15" t="s">
        <v>339</v>
      </c>
      <c r="C3251" s="15" t="s">
        <v>726</v>
      </c>
      <c r="D3251" s="15" t="n">
        <v>4607</v>
      </c>
      <c r="E3251" s="15" t="s">
        <v>725</v>
      </c>
      <c r="F3251" s="15" t="s">
        <v>995</v>
      </c>
      <c r="G3251" s="15" t="s">
        <v>112</v>
      </c>
      <c r="H3251" s="15"/>
    </row>
    <row r="3252" customFormat="false" ht="15" hidden="false" customHeight="true" outlineLevel="0" collapsed="false">
      <c r="A3252" s="15" t="s">
        <v>338</v>
      </c>
      <c r="B3252" s="15" t="s">
        <v>339</v>
      </c>
      <c r="C3252" s="15" t="s">
        <v>727</v>
      </c>
      <c r="D3252" s="15" t="n">
        <v>1922</v>
      </c>
      <c r="E3252" s="15" t="s">
        <v>725</v>
      </c>
      <c r="F3252" s="15" t="s">
        <v>995</v>
      </c>
      <c r="G3252" s="15" t="s">
        <v>112</v>
      </c>
      <c r="H3252" s="15"/>
    </row>
    <row r="3253" customFormat="false" ht="15" hidden="false" customHeight="true" outlineLevel="0" collapsed="false">
      <c r="A3253" s="15" t="s">
        <v>338</v>
      </c>
      <c r="B3253" s="15" t="s">
        <v>339</v>
      </c>
      <c r="C3253" s="15" t="s">
        <v>728</v>
      </c>
      <c r="D3253" s="15" t="n">
        <v>1740</v>
      </c>
      <c r="E3253" s="15" t="s">
        <v>725</v>
      </c>
      <c r="F3253" s="15" t="s">
        <v>995</v>
      </c>
      <c r="G3253" s="15" t="s">
        <v>112</v>
      </c>
      <c r="H3253" s="15"/>
    </row>
    <row r="3254" customFormat="false" ht="15" hidden="false" customHeight="true" outlineLevel="0" collapsed="false">
      <c r="A3254" s="15" t="s">
        <v>338</v>
      </c>
      <c r="B3254" s="15" t="s">
        <v>339</v>
      </c>
      <c r="C3254" s="15" t="s">
        <v>729</v>
      </c>
      <c r="D3254" s="15" t="n">
        <v>2741</v>
      </c>
      <c r="E3254" s="15" t="s">
        <v>725</v>
      </c>
      <c r="F3254" s="15" t="s">
        <v>995</v>
      </c>
      <c r="G3254" s="15" t="s">
        <v>112</v>
      </c>
      <c r="H3254" s="15"/>
    </row>
    <row r="3255" customFormat="false" ht="15" hidden="false" customHeight="true" outlineLevel="0" collapsed="false">
      <c r="A3255" s="15" t="s">
        <v>338</v>
      </c>
      <c r="B3255" s="15" t="s">
        <v>339</v>
      </c>
      <c r="C3255" s="15" t="s">
        <v>789</v>
      </c>
      <c r="D3255" s="15" t="s">
        <v>790</v>
      </c>
      <c r="E3255" s="15"/>
      <c r="F3255" s="15" t="s">
        <v>995</v>
      </c>
      <c r="G3255" s="15" t="s">
        <v>112</v>
      </c>
      <c r="H3255" s="15"/>
    </row>
    <row r="3256" customFormat="false" ht="15" hidden="false" customHeight="true" outlineLevel="0" collapsed="false">
      <c r="A3256" s="15" t="s">
        <v>338</v>
      </c>
      <c r="B3256" s="15" t="s">
        <v>339</v>
      </c>
      <c r="C3256" s="15" t="s">
        <v>923</v>
      </c>
      <c r="D3256" s="15" t="s">
        <v>996</v>
      </c>
      <c r="E3256" s="15"/>
      <c r="F3256" s="15" t="s">
        <v>995</v>
      </c>
      <c r="G3256" s="15" t="s">
        <v>112</v>
      </c>
      <c r="H3256" s="15"/>
    </row>
    <row r="3257" customFormat="false" ht="15" hidden="false" customHeight="true" outlineLevel="0" collapsed="false">
      <c r="A3257" s="15" t="s">
        <v>338</v>
      </c>
      <c r="B3257" s="15" t="s">
        <v>339</v>
      </c>
      <c r="C3257" s="15" t="s">
        <v>997</v>
      </c>
      <c r="D3257" s="15" t="n">
        <v>25.3</v>
      </c>
      <c r="E3257" s="15"/>
      <c r="F3257" s="15" t="s">
        <v>995</v>
      </c>
      <c r="G3257" s="15" t="s">
        <v>112</v>
      </c>
      <c r="H3257" s="15"/>
    </row>
    <row r="3258" customFormat="false" ht="15" hidden="false" customHeight="true" outlineLevel="0" collapsed="false">
      <c r="A3258" s="15" t="s">
        <v>338</v>
      </c>
      <c r="B3258" s="15" t="s">
        <v>339</v>
      </c>
      <c r="C3258" s="15" t="s">
        <v>998</v>
      </c>
      <c r="D3258" s="15" t="n">
        <v>26.4</v>
      </c>
      <c r="E3258" s="15"/>
      <c r="F3258" s="15" t="s">
        <v>995</v>
      </c>
      <c r="G3258" s="15" t="s">
        <v>112</v>
      </c>
      <c r="H3258" s="15"/>
    </row>
    <row r="3259" customFormat="false" ht="15" hidden="false" customHeight="true" outlineLevel="0" collapsed="false">
      <c r="A3259" s="15" t="s">
        <v>338</v>
      </c>
      <c r="B3259" s="15" t="s">
        <v>339</v>
      </c>
      <c r="C3259" s="15" t="s">
        <v>999</v>
      </c>
      <c r="D3259" s="15" t="n">
        <v>16.6</v>
      </c>
      <c r="E3259" s="15"/>
      <c r="F3259" s="15" t="s">
        <v>995</v>
      </c>
      <c r="G3259" s="15" t="s">
        <v>112</v>
      </c>
      <c r="H3259" s="15"/>
    </row>
    <row r="3260" customFormat="false" ht="15" hidden="false" customHeight="true" outlineLevel="0" collapsed="false">
      <c r="A3260" s="15" t="s">
        <v>338</v>
      </c>
      <c r="B3260" s="15" t="s">
        <v>339</v>
      </c>
      <c r="C3260" s="15" t="s">
        <v>780</v>
      </c>
      <c r="D3260" s="15" t="s">
        <v>1000</v>
      </c>
      <c r="E3260" s="15"/>
      <c r="F3260" s="15" t="s">
        <v>995</v>
      </c>
      <c r="G3260" s="15" t="s">
        <v>112</v>
      </c>
      <c r="H3260" s="15"/>
    </row>
    <row r="3261" customFormat="false" ht="15" hidden="false" customHeight="true" outlineLevel="0" collapsed="false">
      <c r="A3261" s="15" t="s">
        <v>338</v>
      </c>
      <c r="B3261" s="15" t="s">
        <v>339</v>
      </c>
      <c r="C3261" s="15" t="s">
        <v>960</v>
      </c>
      <c r="D3261" s="15" t="n">
        <v>3.3</v>
      </c>
      <c r="E3261" s="15"/>
      <c r="F3261" s="15" t="s">
        <v>995</v>
      </c>
      <c r="G3261" s="15" t="s">
        <v>112</v>
      </c>
      <c r="H3261" s="15"/>
    </row>
    <row r="3262" customFormat="false" ht="39" hidden="false" customHeight="true" outlineLevel="0" collapsed="false">
      <c r="A3262" s="15" t="s">
        <v>338</v>
      </c>
      <c r="B3262" s="15" t="s">
        <v>339</v>
      </c>
      <c r="C3262" s="15" t="s">
        <v>98</v>
      </c>
      <c r="D3262" s="15" t="s">
        <v>950</v>
      </c>
      <c r="E3262" s="15"/>
      <c r="F3262" s="15" t="s">
        <v>995</v>
      </c>
      <c r="G3262" s="15" t="s">
        <v>112</v>
      </c>
      <c r="H3262" s="15"/>
    </row>
    <row r="3263" customFormat="false" ht="15" hidden="false" customHeight="true" outlineLevel="0" collapsed="false">
      <c r="A3263" s="15" t="s">
        <v>338</v>
      </c>
      <c r="B3263" s="15" t="s">
        <v>339</v>
      </c>
      <c r="C3263" s="15" t="s">
        <v>835</v>
      </c>
      <c r="D3263" s="15" t="s">
        <v>836</v>
      </c>
      <c r="E3263" s="15"/>
      <c r="F3263" s="15" t="s">
        <v>995</v>
      </c>
      <c r="G3263" s="15" t="s">
        <v>112</v>
      </c>
      <c r="H3263" s="15"/>
    </row>
    <row r="3264" customFormat="false" ht="15" hidden="false" customHeight="true" outlineLevel="0" collapsed="false">
      <c r="A3264" s="15" t="s">
        <v>338</v>
      </c>
      <c r="B3264" s="15" t="s">
        <v>339</v>
      </c>
      <c r="C3264" s="15" t="s">
        <v>833</v>
      </c>
      <c r="D3264" s="15" t="s">
        <v>938</v>
      </c>
      <c r="E3264" s="15"/>
      <c r="F3264" s="15" t="s">
        <v>995</v>
      </c>
      <c r="G3264" s="15" t="s">
        <v>112</v>
      </c>
      <c r="H3264" s="15"/>
    </row>
    <row r="3265" customFormat="false" ht="15" hidden="false" customHeight="true" outlineLevel="0" collapsed="false">
      <c r="A3265" s="15" t="s">
        <v>338</v>
      </c>
      <c r="B3265" s="15" t="s">
        <v>339</v>
      </c>
      <c r="C3265" s="15" t="s">
        <v>84</v>
      </c>
      <c r="D3265" s="15" t="s">
        <v>1001</v>
      </c>
      <c r="E3265" s="15" t="s">
        <v>725</v>
      </c>
      <c r="F3265" s="15" t="s">
        <v>995</v>
      </c>
      <c r="G3265" s="15" t="s">
        <v>112</v>
      </c>
      <c r="H3265" s="15" t="s">
        <v>1002</v>
      </c>
    </row>
    <row r="3266" customFormat="false" ht="15" hidden="false" customHeight="true" outlineLevel="0" collapsed="false">
      <c r="A3266" s="15" t="s">
        <v>338</v>
      </c>
      <c r="B3266" s="15" t="s">
        <v>339</v>
      </c>
      <c r="C3266" s="15" t="s">
        <v>737</v>
      </c>
      <c r="D3266" s="15" t="n">
        <v>175</v>
      </c>
      <c r="E3266" s="15" t="s">
        <v>738</v>
      </c>
      <c r="F3266" s="15" t="s">
        <v>995</v>
      </c>
      <c r="G3266" s="15" t="s">
        <v>112</v>
      </c>
      <c r="H3266" s="15"/>
    </row>
    <row r="3267" customFormat="false" ht="15" hidden="false" customHeight="true" outlineLevel="0" collapsed="false">
      <c r="A3267" s="15" t="s">
        <v>338</v>
      </c>
      <c r="B3267" s="15" t="s">
        <v>339</v>
      </c>
      <c r="C3267" s="15" t="s">
        <v>714</v>
      </c>
      <c r="D3267" s="15" t="n">
        <v>315</v>
      </c>
      <c r="E3267" s="15" t="s">
        <v>715</v>
      </c>
      <c r="F3267" s="15" t="s">
        <v>995</v>
      </c>
      <c r="G3267" s="15" t="s">
        <v>112</v>
      </c>
      <c r="H3267" s="15"/>
    </row>
    <row r="3268" customFormat="false" ht="15" hidden="false" customHeight="true" outlineLevel="0" collapsed="false">
      <c r="A3268" s="15" t="s">
        <v>338</v>
      </c>
      <c r="B3268" s="15" t="s">
        <v>339</v>
      </c>
      <c r="C3268" s="15" t="s">
        <v>718</v>
      </c>
      <c r="D3268" s="15" t="s">
        <v>113</v>
      </c>
      <c r="E3268" s="15"/>
      <c r="F3268" s="15" t="s">
        <v>995</v>
      </c>
      <c r="G3268" s="15" t="s">
        <v>112</v>
      </c>
      <c r="H3268" s="15"/>
    </row>
    <row r="3269" customFormat="false" ht="15" hidden="false" customHeight="true" outlineLevel="0" collapsed="false">
      <c r="A3269" s="15" t="s">
        <v>338</v>
      </c>
      <c r="B3269" s="15" t="s">
        <v>339</v>
      </c>
      <c r="C3269" s="15" t="s">
        <v>724</v>
      </c>
      <c r="D3269" s="15" t="n">
        <v>67</v>
      </c>
      <c r="E3269" s="15" t="s">
        <v>723</v>
      </c>
      <c r="F3269" s="15" t="s">
        <v>995</v>
      </c>
      <c r="G3269" s="15" t="s">
        <v>112</v>
      </c>
      <c r="H3269" s="15"/>
    </row>
    <row r="3270" customFormat="false" ht="15" hidden="false" customHeight="true" outlineLevel="0" collapsed="false">
      <c r="A3270" s="15" t="s">
        <v>338</v>
      </c>
      <c r="B3270" s="15" t="s">
        <v>339</v>
      </c>
      <c r="C3270" s="15" t="s">
        <v>1003</v>
      </c>
      <c r="D3270" s="15" t="n">
        <v>28</v>
      </c>
      <c r="E3270" s="15"/>
      <c r="F3270" s="15" t="s">
        <v>995</v>
      </c>
      <c r="G3270" s="15" t="s">
        <v>112</v>
      </c>
      <c r="H3270" s="15"/>
    </row>
    <row r="3271" customFormat="false" ht="15" hidden="false" customHeight="true" outlineLevel="0" collapsed="false">
      <c r="A3271" s="15" t="s">
        <v>338</v>
      </c>
      <c r="B3271" s="15" t="s">
        <v>339</v>
      </c>
      <c r="C3271" s="15" t="s">
        <v>719</v>
      </c>
      <c r="D3271" s="15" t="n">
        <v>25</v>
      </c>
      <c r="E3271" s="15" t="s">
        <v>720</v>
      </c>
      <c r="F3271" s="15" t="s">
        <v>995</v>
      </c>
      <c r="G3271" s="15" t="s">
        <v>112</v>
      </c>
      <c r="H3271" s="15"/>
    </row>
    <row r="3272" customFormat="false" ht="15" hidden="false" customHeight="true" outlineLevel="0" collapsed="false">
      <c r="A3272" s="15" t="s">
        <v>338</v>
      </c>
      <c r="B3272" s="15" t="s">
        <v>339</v>
      </c>
      <c r="C3272" s="15" t="s">
        <v>739</v>
      </c>
      <c r="D3272" s="15" t="n">
        <v>120</v>
      </c>
      <c r="E3272" s="15" t="s">
        <v>738</v>
      </c>
      <c r="F3272" s="15" t="s">
        <v>995</v>
      </c>
      <c r="G3272" s="15" t="s">
        <v>112</v>
      </c>
      <c r="H3272" s="15"/>
    </row>
    <row r="3273" customFormat="false" ht="26.25" hidden="false" customHeight="true" outlineLevel="0" collapsed="false">
      <c r="A3273" s="15" t="s">
        <v>338</v>
      </c>
      <c r="B3273" s="15" t="s">
        <v>339</v>
      </c>
      <c r="C3273" s="15" t="s">
        <v>940</v>
      </c>
      <c r="D3273" s="15" t="n">
        <v>10.7</v>
      </c>
      <c r="E3273" s="15"/>
      <c r="F3273" s="15" t="s">
        <v>995</v>
      </c>
      <c r="G3273" s="15" t="s">
        <v>112</v>
      </c>
      <c r="H3273" s="15"/>
    </row>
    <row r="3274" customFormat="false" ht="15" hidden="false" customHeight="true" outlineLevel="0" collapsed="false">
      <c r="A3274" s="15" t="s">
        <v>338</v>
      </c>
      <c r="B3274" s="15" t="s">
        <v>339</v>
      </c>
      <c r="C3274" s="15" t="s">
        <v>733</v>
      </c>
      <c r="D3274" s="15" t="s">
        <v>1022</v>
      </c>
      <c r="E3274" s="15"/>
      <c r="F3274" s="15" t="s">
        <v>995</v>
      </c>
      <c r="G3274" s="15" t="s">
        <v>112</v>
      </c>
      <c r="H3274" s="15"/>
    </row>
    <row r="3275" customFormat="false" ht="15" hidden="false" customHeight="true" outlineLevel="0" collapsed="false">
      <c r="A3275" s="15" t="s">
        <v>338</v>
      </c>
      <c r="B3275" s="15" t="s">
        <v>339</v>
      </c>
      <c r="C3275" s="15" t="s">
        <v>102</v>
      </c>
      <c r="D3275" s="15" t="s">
        <v>1005</v>
      </c>
      <c r="E3275" s="15"/>
      <c r="F3275" s="15" t="s">
        <v>995</v>
      </c>
      <c r="G3275" s="15" t="s">
        <v>112</v>
      </c>
      <c r="H3275" s="15"/>
    </row>
    <row r="3276" customFormat="false" ht="15" hidden="false" customHeight="true" outlineLevel="0" collapsed="false">
      <c r="A3276" s="15" t="s">
        <v>338</v>
      </c>
      <c r="B3276" s="15" t="s">
        <v>339</v>
      </c>
      <c r="C3276" s="15" t="s">
        <v>776</v>
      </c>
      <c r="D3276" s="15" t="s">
        <v>800</v>
      </c>
      <c r="E3276" s="15"/>
      <c r="F3276" s="15" t="s">
        <v>995</v>
      </c>
      <c r="G3276" s="15" t="s">
        <v>112</v>
      </c>
      <c r="H3276" s="15"/>
    </row>
    <row r="3277" customFormat="false" ht="15" hidden="false" customHeight="true" outlineLevel="0" collapsed="false">
      <c r="A3277" s="15" t="s">
        <v>338</v>
      </c>
      <c r="B3277" s="15" t="s">
        <v>339</v>
      </c>
      <c r="C3277" s="15" t="s">
        <v>86</v>
      </c>
      <c r="D3277" s="15" t="n">
        <v>7</v>
      </c>
      <c r="E3277" s="15" t="s">
        <v>721</v>
      </c>
      <c r="F3277" s="15" t="s">
        <v>971</v>
      </c>
      <c r="G3277" s="15" t="s">
        <v>112</v>
      </c>
      <c r="H3277" s="15" t="s">
        <v>1015</v>
      </c>
    </row>
    <row r="3278" customFormat="false" ht="15" hidden="false" customHeight="true" outlineLevel="0" collapsed="false">
      <c r="A3278" s="15" t="s">
        <v>338</v>
      </c>
      <c r="B3278" s="15" t="s">
        <v>339</v>
      </c>
      <c r="C3278" s="15" t="s">
        <v>764</v>
      </c>
      <c r="D3278" s="15" t="s">
        <v>803</v>
      </c>
      <c r="E3278" s="15"/>
      <c r="F3278" s="15" t="s">
        <v>971</v>
      </c>
      <c r="G3278" s="15" t="s">
        <v>112</v>
      </c>
      <c r="H3278" s="15"/>
    </row>
    <row r="3279" customFormat="false" ht="15" hidden="false" customHeight="true" outlineLevel="0" collapsed="false">
      <c r="A3279" s="15" t="s">
        <v>338</v>
      </c>
      <c r="B3279" s="15" t="s">
        <v>339</v>
      </c>
      <c r="C3279" s="15" t="s">
        <v>749</v>
      </c>
      <c r="D3279" s="15" t="s">
        <v>750</v>
      </c>
      <c r="E3279" s="15"/>
      <c r="F3279" s="15" t="s">
        <v>971</v>
      </c>
      <c r="G3279" s="15" t="s">
        <v>112</v>
      </c>
      <c r="H3279" s="15"/>
    </row>
    <row r="3280" customFormat="false" ht="15" hidden="false" customHeight="true" outlineLevel="0" collapsed="false">
      <c r="A3280" s="15" t="s">
        <v>338</v>
      </c>
      <c r="B3280" s="15" t="s">
        <v>339</v>
      </c>
      <c r="C3280" s="15" t="s">
        <v>752</v>
      </c>
      <c r="D3280" s="15" t="s">
        <v>1016</v>
      </c>
      <c r="E3280" s="15"/>
      <c r="F3280" s="15" t="s">
        <v>971</v>
      </c>
      <c r="G3280" s="15" t="s">
        <v>112</v>
      </c>
      <c r="H3280" s="15"/>
    </row>
    <row r="3281" customFormat="false" ht="15" hidden="false" customHeight="true" outlineLevel="0" collapsed="false">
      <c r="A3281" s="15" t="s">
        <v>338</v>
      </c>
      <c r="B3281" s="15" t="s">
        <v>339</v>
      </c>
      <c r="C3281" s="15" t="s">
        <v>90</v>
      </c>
      <c r="D3281" s="15" t="s">
        <v>1013</v>
      </c>
      <c r="E3281" s="15"/>
      <c r="F3281" s="15" t="s">
        <v>971</v>
      </c>
      <c r="G3281" s="15" t="s">
        <v>112</v>
      </c>
      <c r="H3281" s="15"/>
    </row>
    <row r="3282" customFormat="false" ht="15" hidden="false" customHeight="true" outlineLevel="0" collapsed="false">
      <c r="A3282" s="15" t="s">
        <v>338</v>
      </c>
      <c r="B3282" s="15" t="s">
        <v>339</v>
      </c>
      <c r="C3282" s="15" t="s">
        <v>754</v>
      </c>
      <c r="D3282" s="15" t="s">
        <v>803</v>
      </c>
      <c r="E3282" s="15"/>
      <c r="F3282" s="15" t="s">
        <v>971</v>
      </c>
      <c r="G3282" s="15" t="s">
        <v>112</v>
      </c>
      <c r="H3282" s="15"/>
    </row>
    <row r="3283" customFormat="false" ht="26.25" hidden="false" customHeight="true" outlineLevel="0" collapsed="false">
      <c r="A3283" s="15" t="s">
        <v>338</v>
      </c>
      <c r="B3283" s="15" t="s">
        <v>339</v>
      </c>
      <c r="C3283" s="15" t="s">
        <v>756</v>
      </c>
      <c r="D3283" s="15" t="s">
        <v>1017</v>
      </c>
      <c r="E3283" s="15"/>
      <c r="F3283" s="15" t="s">
        <v>971</v>
      </c>
      <c r="G3283" s="15" t="s">
        <v>112</v>
      </c>
      <c r="H3283" s="15"/>
    </row>
    <row r="3284" customFormat="false" ht="15" hidden="false" customHeight="true" outlineLevel="0" collapsed="false">
      <c r="A3284" s="15" t="s">
        <v>338</v>
      </c>
      <c r="B3284" s="15" t="s">
        <v>339</v>
      </c>
      <c r="C3284" s="15" t="s">
        <v>757</v>
      </c>
      <c r="D3284" s="15" t="s">
        <v>1018</v>
      </c>
      <c r="E3284" s="15"/>
      <c r="F3284" s="15" t="s">
        <v>971</v>
      </c>
      <c r="G3284" s="15" t="s">
        <v>112</v>
      </c>
      <c r="H3284" s="15"/>
    </row>
    <row r="3285" customFormat="false" ht="15" hidden="false" customHeight="true" outlineLevel="0" collapsed="false">
      <c r="A3285" s="15" t="s">
        <v>338</v>
      </c>
      <c r="B3285" s="15" t="s">
        <v>339</v>
      </c>
      <c r="C3285" s="15" t="s">
        <v>759</v>
      </c>
      <c r="D3285" s="15" t="s">
        <v>1019</v>
      </c>
      <c r="E3285" s="15"/>
      <c r="F3285" s="15" t="s">
        <v>971</v>
      </c>
      <c r="G3285" s="15" t="s">
        <v>112</v>
      </c>
      <c r="H3285" s="15"/>
    </row>
    <row r="3286" customFormat="false" ht="15" hidden="false" customHeight="true" outlineLevel="0" collapsed="false">
      <c r="A3286" s="15" t="s">
        <v>338</v>
      </c>
      <c r="B3286" s="15" t="s">
        <v>339</v>
      </c>
      <c r="C3286" s="15" t="s">
        <v>743</v>
      </c>
      <c r="D3286" s="15" t="s">
        <v>957</v>
      </c>
      <c r="E3286" s="15"/>
      <c r="F3286" s="15" t="s">
        <v>971</v>
      </c>
      <c r="G3286" s="15" t="s">
        <v>112</v>
      </c>
      <c r="H3286" s="15"/>
    </row>
    <row r="3287" customFormat="false" ht="15" hidden="false" customHeight="true" outlineLevel="0" collapsed="false">
      <c r="A3287" s="15" t="s">
        <v>338</v>
      </c>
      <c r="B3287" s="15" t="s">
        <v>339</v>
      </c>
      <c r="C3287" s="15" t="s">
        <v>851</v>
      </c>
      <c r="D3287" s="15" t="s">
        <v>860</v>
      </c>
      <c r="E3287" s="15"/>
      <c r="F3287" s="15" t="s">
        <v>971</v>
      </c>
      <c r="G3287" s="15" t="s">
        <v>112</v>
      </c>
      <c r="H3287" s="15"/>
    </row>
    <row r="3288" customFormat="false" ht="15" hidden="false" customHeight="true" outlineLevel="0" collapsed="false">
      <c r="A3288" s="15" t="s">
        <v>338</v>
      </c>
      <c r="B3288" s="15" t="s">
        <v>339</v>
      </c>
      <c r="C3288" s="15" t="s">
        <v>848</v>
      </c>
      <c r="D3288" s="15" t="s">
        <v>849</v>
      </c>
      <c r="E3288" s="15"/>
      <c r="F3288" s="15" t="s">
        <v>971</v>
      </c>
      <c r="G3288" s="15" t="s">
        <v>112</v>
      </c>
      <c r="H3288" s="15"/>
    </row>
    <row r="3289" customFormat="false" ht="15" hidden="false" customHeight="true" outlineLevel="0" collapsed="false">
      <c r="A3289" s="15" t="s">
        <v>338</v>
      </c>
      <c r="B3289" s="15" t="s">
        <v>339</v>
      </c>
      <c r="C3289" s="15" t="s">
        <v>854</v>
      </c>
      <c r="D3289" s="15" t="s">
        <v>1008</v>
      </c>
      <c r="E3289" s="15"/>
      <c r="F3289" s="15" t="s">
        <v>971</v>
      </c>
      <c r="G3289" s="15" t="s">
        <v>112</v>
      </c>
      <c r="H3289" s="15"/>
    </row>
    <row r="3290" customFormat="false" ht="15" hidden="false" customHeight="true" outlineLevel="0" collapsed="false">
      <c r="A3290" s="15" t="s">
        <v>338</v>
      </c>
      <c r="B3290" s="15" t="s">
        <v>339</v>
      </c>
      <c r="C3290" s="15" t="s">
        <v>946</v>
      </c>
      <c r="D3290" s="15" t="s">
        <v>958</v>
      </c>
      <c r="E3290" s="15"/>
      <c r="F3290" s="15" t="s">
        <v>971</v>
      </c>
      <c r="G3290" s="15" t="s">
        <v>112</v>
      </c>
      <c r="H3290" s="15"/>
    </row>
    <row r="3291" customFormat="false" ht="15" hidden="false" customHeight="true" outlineLevel="0" collapsed="false">
      <c r="A3291" s="15" t="s">
        <v>338</v>
      </c>
      <c r="B3291" s="15" t="s">
        <v>339</v>
      </c>
      <c r="C3291" s="15" t="s">
        <v>762</v>
      </c>
      <c r="D3291" s="15" t="s">
        <v>755</v>
      </c>
      <c r="E3291" s="15"/>
      <c r="F3291" s="15" t="s">
        <v>971</v>
      </c>
      <c r="G3291" s="15" t="s">
        <v>112</v>
      </c>
      <c r="H3291" s="15"/>
    </row>
    <row r="3292" customFormat="false" ht="15" hidden="false" customHeight="true" outlineLevel="0" collapsed="false">
      <c r="A3292" s="15" t="s">
        <v>338</v>
      </c>
      <c r="B3292" s="15" t="s">
        <v>339</v>
      </c>
      <c r="C3292" s="15" t="s">
        <v>763</v>
      </c>
      <c r="D3292" s="15" t="s">
        <v>755</v>
      </c>
      <c r="E3292" s="15"/>
      <c r="F3292" s="15" t="s">
        <v>971</v>
      </c>
      <c r="G3292" s="15" t="s">
        <v>112</v>
      </c>
      <c r="H3292" s="15"/>
    </row>
    <row r="3293" customFormat="false" ht="15" hidden="false" customHeight="true" outlineLevel="0" collapsed="false">
      <c r="A3293" s="15" t="s">
        <v>338</v>
      </c>
      <c r="B3293" s="15" t="s">
        <v>339</v>
      </c>
      <c r="C3293" s="15" t="s">
        <v>843</v>
      </c>
      <c r="D3293" s="15" t="s">
        <v>1009</v>
      </c>
      <c r="E3293" s="15"/>
      <c r="F3293" s="15" t="s">
        <v>971</v>
      </c>
      <c r="G3293" s="15" t="s">
        <v>112</v>
      </c>
      <c r="H3293" s="15"/>
    </row>
    <row r="3294" customFormat="false" ht="26.25" hidden="false" customHeight="true" outlineLevel="0" collapsed="false">
      <c r="A3294" s="15" t="s">
        <v>338</v>
      </c>
      <c r="B3294" s="15" t="s">
        <v>339</v>
      </c>
      <c r="C3294" s="15" t="s">
        <v>1010</v>
      </c>
      <c r="D3294" s="15" t="s">
        <v>1011</v>
      </c>
      <c r="E3294" s="15"/>
      <c r="F3294" s="15" t="s">
        <v>971</v>
      </c>
      <c r="G3294" s="15" t="s">
        <v>112</v>
      </c>
      <c r="H3294" s="15" t="s">
        <v>1012</v>
      </c>
    </row>
    <row r="3295" customFormat="false" ht="15" hidden="false" customHeight="true" outlineLevel="0" collapsed="false">
      <c r="A3295" s="15" t="s">
        <v>338</v>
      </c>
      <c r="B3295" s="15" t="s">
        <v>339</v>
      </c>
      <c r="C3295" s="15" t="s">
        <v>1014</v>
      </c>
      <c r="D3295" s="15" t="s">
        <v>803</v>
      </c>
      <c r="E3295" s="15"/>
      <c r="F3295" s="15" t="s">
        <v>971</v>
      </c>
      <c r="G3295" s="15" t="s">
        <v>112</v>
      </c>
      <c r="H3295" s="15"/>
    </row>
    <row r="3296" customFormat="false" ht="15" hidden="false" customHeight="true" outlineLevel="0" collapsed="false">
      <c r="A3296" s="15" t="s">
        <v>338</v>
      </c>
      <c r="B3296" s="15" t="s">
        <v>339</v>
      </c>
      <c r="C3296" s="15" t="s">
        <v>857</v>
      </c>
      <c r="D3296" s="15" t="s">
        <v>803</v>
      </c>
      <c r="E3296" s="15"/>
      <c r="F3296" s="15" t="s">
        <v>971</v>
      </c>
      <c r="G3296" s="15" t="s">
        <v>112</v>
      </c>
      <c r="H3296" s="15"/>
    </row>
    <row r="3297" customFormat="false" ht="15" hidden="false" customHeight="true" outlineLevel="0" collapsed="false">
      <c r="A3297" s="15" t="s">
        <v>338</v>
      </c>
      <c r="B3297" s="15" t="s">
        <v>339</v>
      </c>
      <c r="C3297" s="15" t="s">
        <v>1020</v>
      </c>
      <c r="D3297" s="15" t="s">
        <v>1021</v>
      </c>
      <c r="E3297" s="15"/>
      <c r="F3297" s="15" t="s">
        <v>971</v>
      </c>
      <c r="G3297" s="15" t="s">
        <v>112</v>
      </c>
      <c r="H3297" s="15"/>
    </row>
    <row r="3298" customFormat="false" ht="15" hidden="false" customHeight="true" outlineLevel="0" collapsed="false">
      <c r="A3298" s="15" t="s">
        <v>338</v>
      </c>
      <c r="B3298" s="15" t="s">
        <v>339</v>
      </c>
      <c r="C3298" s="15" t="s">
        <v>853</v>
      </c>
      <c r="D3298" s="15" t="s">
        <v>803</v>
      </c>
      <c r="E3298" s="15"/>
      <c r="F3298" s="15" t="s">
        <v>971</v>
      </c>
      <c r="G3298" s="15" t="s">
        <v>112</v>
      </c>
      <c r="H3298" s="15"/>
    </row>
    <row r="3299" customFormat="false" ht="15" hidden="false" customHeight="true" outlineLevel="0" collapsed="false">
      <c r="A3299" s="15" t="s">
        <v>346</v>
      </c>
      <c r="B3299" s="15" t="s">
        <v>347</v>
      </c>
      <c r="C3299" s="15" t="s">
        <v>769</v>
      </c>
      <c r="D3299" s="15" t="n">
        <v>5</v>
      </c>
      <c r="E3299" s="15" t="s">
        <v>721</v>
      </c>
      <c r="F3299" s="15" t="s">
        <v>995</v>
      </c>
      <c r="G3299" s="15" t="s">
        <v>112</v>
      </c>
      <c r="H3299" s="15"/>
    </row>
    <row r="3300" customFormat="false" ht="15" hidden="false" customHeight="true" outlineLevel="0" collapsed="false">
      <c r="A3300" s="15" t="s">
        <v>346</v>
      </c>
      <c r="B3300" s="15" t="s">
        <v>347</v>
      </c>
      <c r="C3300" s="15" t="s">
        <v>935</v>
      </c>
      <c r="D3300" s="15" t="s">
        <v>936</v>
      </c>
      <c r="E3300" s="15"/>
      <c r="F3300" s="15" t="s">
        <v>995</v>
      </c>
      <c r="G3300" s="15" t="s">
        <v>112</v>
      </c>
      <c r="H3300" s="15"/>
    </row>
    <row r="3301" customFormat="false" ht="15" hidden="false" customHeight="true" outlineLevel="0" collapsed="false">
      <c r="A3301" s="15" t="s">
        <v>346</v>
      </c>
      <c r="B3301" s="15" t="s">
        <v>347</v>
      </c>
      <c r="C3301" s="15" t="s">
        <v>722</v>
      </c>
      <c r="D3301" s="15" t="n">
        <v>502</v>
      </c>
      <c r="E3301" s="15" t="s">
        <v>723</v>
      </c>
      <c r="F3301" s="15" t="s">
        <v>995</v>
      </c>
      <c r="G3301" s="15" t="s">
        <v>112</v>
      </c>
      <c r="H3301" s="15"/>
    </row>
    <row r="3302" customFormat="false" ht="15" hidden="false" customHeight="true" outlineLevel="0" collapsed="false">
      <c r="A3302" s="15" t="s">
        <v>346</v>
      </c>
      <c r="B3302" s="15" t="s">
        <v>347</v>
      </c>
      <c r="C3302" s="15" t="s">
        <v>726</v>
      </c>
      <c r="D3302" s="15" t="n">
        <v>4607</v>
      </c>
      <c r="E3302" s="15" t="s">
        <v>725</v>
      </c>
      <c r="F3302" s="15" t="s">
        <v>995</v>
      </c>
      <c r="G3302" s="15" t="s">
        <v>112</v>
      </c>
      <c r="H3302" s="15"/>
    </row>
    <row r="3303" customFormat="false" ht="15" hidden="false" customHeight="true" outlineLevel="0" collapsed="false">
      <c r="A3303" s="15" t="s">
        <v>346</v>
      </c>
      <c r="B3303" s="15" t="s">
        <v>347</v>
      </c>
      <c r="C3303" s="15" t="s">
        <v>727</v>
      </c>
      <c r="D3303" s="15" t="n">
        <v>1922</v>
      </c>
      <c r="E3303" s="15" t="s">
        <v>725</v>
      </c>
      <c r="F3303" s="15" t="s">
        <v>995</v>
      </c>
      <c r="G3303" s="15" t="s">
        <v>112</v>
      </c>
      <c r="H3303" s="15"/>
    </row>
    <row r="3304" customFormat="false" ht="15" hidden="false" customHeight="true" outlineLevel="0" collapsed="false">
      <c r="A3304" s="15" t="s">
        <v>346</v>
      </c>
      <c r="B3304" s="15" t="s">
        <v>347</v>
      </c>
      <c r="C3304" s="15" t="s">
        <v>728</v>
      </c>
      <c r="D3304" s="15" t="n">
        <v>1740</v>
      </c>
      <c r="E3304" s="15" t="s">
        <v>725</v>
      </c>
      <c r="F3304" s="15" t="s">
        <v>995</v>
      </c>
      <c r="G3304" s="15" t="s">
        <v>112</v>
      </c>
      <c r="H3304" s="15"/>
    </row>
    <row r="3305" customFormat="false" ht="15" hidden="false" customHeight="true" outlineLevel="0" collapsed="false">
      <c r="A3305" s="15" t="s">
        <v>346</v>
      </c>
      <c r="B3305" s="15" t="s">
        <v>347</v>
      </c>
      <c r="C3305" s="15" t="s">
        <v>729</v>
      </c>
      <c r="D3305" s="15" t="n">
        <v>2741</v>
      </c>
      <c r="E3305" s="15" t="s">
        <v>725</v>
      </c>
      <c r="F3305" s="15" t="s">
        <v>995</v>
      </c>
      <c r="G3305" s="15" t="s">
        <v>112</v>
      </c>
      <c r="H3305" s="15"/>
    </row>
    <row r="3306" customFormat="false" ht="15" hidden="false" customHeight="true" outlineLevel="0" collapsed="false">
      <c r="A3306" s="15" t="s">
        <v>346</v>
      </c>
      <c r="B3306" s="15" t="s">
        <v>347</v>
      </c>
      <c r="C3306" s="15" t="s">
        <v>789</v>
      </c>
      <c r="D3306" s="15" t="s">
        <v>790</v>
      </c>
      <c r="E3306" s="15"/>
      <c r="F3306" s="15" t="s">
        <v>995</v>
      </c>
      <c r="G3306" s="15" t="s">
        <v>112</v>
      </c>
      <c r="H3306" s="15"/>
    </row>
    <row r="3307" customFormat="false" ht="15" hidden="false" customHeight="true" outlineLevel="0" collapsed="false">
      <c r="A3307" s="15" t="s">
        <v>346</v>
      </c>
      <c r="B3307" s="15" t="s">
        <v>347</v>
      </c>
      <c r="C3307" s="15" t="s">
        <v>923</v>
      </c>
      <c r="D3307" s="15" t="s">
        <v>996</v>
      </c>
      <c r="E3307" s="15"/>
      <c r="F3307" s="15" t="s">
        <v>995</v>
      </c>
      <c r="G3307" s="15" t="s">
        <v>112</v>
      </c>
      <c r="H3307" s="15"/>
    </row>
    <row r="3308" customFormat="false" ht="15" hidden="false" customHeight="true" outlineLevel="0" collapsed="false">
      <c r="A3308" s="15" t="s">
        <v>346</v>
      </c>
      <c r="B3308" s="15" t="s">
        <v>347</v>
      </c>
      <c r="C3308" s="15" t="s">
        <v>997</v>
      </c>
      <c r="D3308" s="15" t="n">
        <v>25.3</v>
      </c>
      <c r="E3308" s="15"/>
      <c r="F3308" s="15" t="s">
        <v>995</v>
      </c>
      <c r="G3308" s="15" t="s">
        <v>112</v>
      </c>
      <c r="H3308" s="15"/>
    </row>
    <row r="3309" customFormat="false" ht="15" hidden="false" customHeight="true" outlineLevel="0" collapsed="false">
      <c r="A3309" s="15" t="s">
        <v>346</v>
      </c>
      <c r="B3309" s="15" t="s">
        <v>347</v>
      </c>
      <c r="C3309" s="15" t="s">
        <v>998</v>
      </c>
      <c r="D3309" s="15" t="n">
        <v>26.4</v>
      </c>
      <c r="E3309" s="15"/>
      <c r="F3309" s="15" t="s">
        <v>995</v>
      </c>
      <c r="G3309" s="15" t="s">
        <v>112</v>
      </c>
      <c r="H3309" s="15"/>
    </row>
    <row r="3310" customFormat="false" ht="15" hidden="false" customHeight="true" outlineLevel="0" collapsed="false">
      <c r="A3310" s="15" t="s">
        <v>346</v>
      </c>
      <c r="B3310" s="15" t="s">
        <v>347</v>
      </c>
      <c r="C3310" s="15" t="s">
        <v>999</v>
      </c>
      <c r="D3310" s="15" t="n">
        <v>16.6</v>
      </c>
      <c r="E3310" s="15"/>
      <c r="F3310" s="15" t="s">
        <v>995</v>
      </c>
      <c r="G3310" s="15" t="s">
        <v>112</v>
      </c>
      <c r="H3310" s="15"/>
    </row>
    <row r="3311" customFormat="false" ht="15" hidden="false" customHeight="true" outlineLevel="0" collapsed="false">
      <c r="A3311" s="15" t="s">
        <v>346</v>
      </c>
      <c r="B3311" s="15" t="s">
        <v>347</v>
      </c>
      <c r="C3311" s="15" t="s">
        <v>780</v>
      </c>
      <c r="D3311" s="15" t="s">
        <v>1000</v>
      </c>
      <c r="E3311" s="15"/>
      <c r="F3311" s="15" t="s">
        <v>995</v>
      </c>
      <c r="G3311" s="15" t="s">
        <v>112</v>
      </c>
      <c r="H3311" s="15"/>
    </row>
    <row r="3312" customFormat="false" ht="15" hidden="false" customHeight="true" outlineLevel="0" collapsed="false">
      <c r="A3312" s="15" t="s">
        <v>346</v>
      </c>
      <c r="B3312" s="15" t="s">
        <v>347</v>
      </c>
      <c r="C3312" s="15" t="s">
        <v>960</v>
      </c>
      <c r="D3312" s="15" t="n">
        <v>3.3</v>
      </c>
      <c r="E3312" s="15"/>
      <c r="F3312" s="15" t="s">
        <v>995</v>
      </c>
      <c r="G3312" s="15" t="s">
        <v>112</v>
      </c>
      <c r="H3312" s="15"/>
    </row>
    <row r="3313" customFormat="false" ht="39" hidden="false" customHeight="true" outlineLevel="0" collapsed="false">
      <c r="A3313" s="15" t="s">
        <v>346</v>
      </c>
      <c r="B3313" s="15" t="s">
        <v>347</v>
      </c>
      <c r="C3313" s="15" t="s">
        <v>98</v>
      </c>
      <c r="D3313" s="15" t="s">
        <v>950</v>
      </c>
      <c r="E3313" s="15"/>
      <c r="F3313" s="15" t="s">
        <v>995</v>
      </c>
      <c r="G3313" s="15" t="s">
        <v>112</v>
      </c>
      <c r="H3313" s="15"/>
    </row>
    <row r="3314" customFormat="false" ht="15" hidden="false" customHeight="true" outlineLevel="0" collapsed="false">
      <c r="A3314" s="15" t="s">
        <v>346</v>
      </c>
      <c r="B3314" s="15" t="s">
        <v>347</v>
      </c>
      <c r="C3314" s="15" t="s">
        <v>835</v>
      </c>
      <c r="D3314" s="15" t="s">
        <v>836</v>
      </c>
      <c r="E3314" s="15"/>
      <c r="F3314" s="15" t="s">
        <v>995</v>
      </c>
      <c r="G3314" s="15" t="s">
        <v>112</v>
      </c>
      <c r="H3314" s="15"/>
    </row>
    <row r="3315" customFormat="false" ht="15" hidden="false" customHeight="true" outlineLevel="0" collapsed="false">
      <c r="A3315" s="15" t="s">
        <v>346</v>
      </c>
      <c r="B3315" s="15" t="s">
        <v>347</v>
      </c>
      <c r="C3315" s="15" t="s">
        <v>833</v>
      </c>
      <c r="D3315" s="15" t="s">
        <v>938</v>
      </c>
      <c r="E3315" s="15"/>
      <c r="F3315" s="15" t="s">
        <v>995</v>
      </c>
      <c r="G3315" s="15" t="s">
        <v>112</v>
      </c>
      <c r="H3315" s="15"/>
    </row>
    <row r="3316" customFormat="false" ht="15" hidden="false" customHeight="true" outlineLevel="0" collapsed="false">
      <c r="A3316" s="15" t="s">
        <v>346</v>
      </c>
      <c r="B3316" s="15" t="s">
        <v>347</v>
      </c>
      <c r="C3316" s="15" t="s">
        <v>84</v>
      </c>
      <c r="D3316" s="15" t="s">
        <v>1001</v>
      </c>
      <c r="E3316" s="15" t="s">
        <v>725</v>
      </c>
      <c r="F3316" s="15" t="s">
        <v>995</v>
      </c>
      <c r="G3316" s="15" t="s">
        <v>112</v>
      </c>
      <c r="H3316" s="15" t="s">
        <v>1002</v>
      </c>
    </row>
    <row r="3317" customFormat="false" ht="15" hidden="false" customHeight="true" outlineLevel="0" collapsed="false">
      <c r="A3317" s="15" t="s">
        <v>346</v>
      </c>
      <c r="B3317" s="15" t="s">
        <v>347</v>
      </c>
      <c r="C3317" s="15" t="s">
        <v>737</v>
      </c>
      <c r="D3317" s="15" t="n">
        <v>175</v>
      </c>
      <c r="E3317" s="15" t="s">
        <v>738</v>
      </c>
      <c r="F3317" s="15" t="s">
        <v>995</v>
      </c>
      <c r="G3317" s="15" t="s">
        <v>112</v>
      </c>
      <c r="H3317" s="15"/>
    </row>
    <row r="3318" customFormat="false" ht="15" hidden="false" customHeight="true" outlineLevel="0" collapsed="false">
      <c r="A3318" s="15" t="s">
        <v>346</v>
      </c>
      <c r="B3318" s="15" t="s">
        <v>347</v>
      </c>
      <c r="C3318" s="15" t="s">
        <v>714</v>
      </c>
      <c r="D3318" s="15" t="n">
        <v>315</v>
      </c>
      <c r="E3318" s="15" t="s">
        <v>715</v>
      </c>
      <c r="F3318" s="15" t="s">
        <v>995</v>
      </c>
      <c r="G3318" s="15" t="s">
        <v>112</v>
      </c>
      <c r="H3318" s="15"/>
    </row>
    <row r="3319" customFormat="false" ht="15" hidden="false" customHeight="true" outlineLevel="0" collapsed="false">
      <c r="A3319" s="15" t="s">
        <v>346</v>
      </c>
      <c r="B3319" s="15" t="s">
        <v>347</v>
      </c>
      <c r="C3319" s="15" t="s">
        <v>718</v>
      </c>
      <c r="D3319" s="15" t="s">
        <v>113</v>
      </c>
      <c r="E3319" s="15"/>
      <c r="F3319" s="15" t="s">
        <v>995</v>
      </c>
      <c r="G3319" s="15" t="s">
        <v>112</v>
      </c>
      <c r="H3319" s="15"/>
    </row>
    <row r="3320" customFormat="false" ht="15" hidden="false" customHeight="true" outlineLevel="0" collapsed="false">
      <c r="A3320" s="15" t="s">
        <v>346</v>
      </c>
      <c r="B3320" s="15" t="s">
        <v>347</v>
      </c>
      <c r="C3320" s="15" t="s">
        <v>724</v>
      </c>
      <c r="D3320" s="15" t="n">
        <v>67</v>
      </c>
      <c r="E3320" s="15" t="s">
        <v>723</v>
      </c>
      <c r="F3320" s="15" t="s">
        <v>995</v>
      </c>
      <c r="G3320" s="15" t="s">
        <v>112</v>
      </c>
      <c r="H3320" s="15"/>
    </row>
    <row r="3321" customFormat="false" ht="15" hidden="false" customHeight="true" outlineLevel="0" collapsed="false">
      <c r="A3321" s="15" t="s">
        <v>346</v>
      </c>
      <c r="B3321" s="15" t="s">
        <v>347</v>
      </c>
      <c r="C3321" s="15" t="s">
        <v>1003</v>
      </c>
      <c r="D3321" s="15" t="n">
        <v>28</v>
      </c>
      <c r="E3321" s="15"/>
      <c r="F3321" s="15" t="s">
        <v>995</v>
      </c>
      <c r="G3321" s="15" t="s">
        <v>112</v>
      </c>
      <c r="H3321" s="15"/>
    </row>
    <row r="3322" customFormat="false" ht="15" hidden="false" customHeight="true" outlineLevel="0" collapsed="false">
      <c r="A3322" s="15" t="s">
        <v>346</v>
      </c>
      <c r="B3322" s="15" t="s">
        <v>347</v>
      </c>
      <c r="C3322" s="15" t="s">
        <v>719</v>
      </c>
      <c r="D3322" s="15" t="n">
        <v>25</v>
      </c>
      <c r="E3322" s="15" t="s">
        <v>720</v>
      </c>
      <c r="F3322" s="15" t="s">
        <v>995</v>
      </c>
      <c r="G3322" s="15" t="s">
        <v>112</v>
      </c>
      <c r="H3322" s="15"/>
    </row>
    <row r="3323" customFormat="false" ht="15" hidden="false" customHeight="true" outlineLevel="0" collapsed="false">
      <c r="A3323" s="15" t="s">
        <v>346</v>
      </c>
      <c r="B3323" s="15" t="s">
        <v>347</v>
      </c>
      <c r="C3323" s="15" t="s">
        <v>739</v>
      </c>
      <c r="D3323" s="15" t="n">
        <v>120</v>
      </c>
      <c r="E3323" s="15" t="s">
        <v>738</v>
      </c>
      <c r="F3323" s="15" t="s">
        <v>995</v>
      </c>
      <c r="G3323" s="15" t="s">
        <v>112</v>
      </c>
      <c r="H3323" s="15"/>
    </row>
    <row r="3324" customFormat="false" ht="26.25" hidden="false" customHeight="true" outlineLevel="0" collapsed="false">
      <c r="A3324" s="15" t="s">
        <v>346</v>
      </c>
      <c r="B3324" s="15" t="s">
        <v>347</v>
      </c>
      <c r="C3324" s="15" t="s">
        <v>940</v>
      </c>
      <c r="D3324" s="15" t="n">
        <v>10.7</v>
      </c>
      <c r="E3324" s="15"/>
      <c r="F3324" s="15" t="s">
        <v>995</v>
      </c>
      <c r="G3324" s="15" t="s">
        <v>112</v>
      </c>
      <c r="H3324" s="15"/>
    </row>
    <row r="3325" customFormat="false" ht="15" hidden="false" customHeight="true" outlineLevel="0" collapsed="false">
      <c r="A3325" s="15" t="s">
        <v>346</v>
      </c>
      <c r="B3325" s="15" t="s">
        <v>347</v>
      </c>
      <c r="C3325" s="15" t="s">
        <v>733</v>
      </c>
      <c r="D3325" s="15" t="s">
        <v>1022</v>
      </c>
      <c r="E3325" s="15"/>
      <c r="F3325" s="15" t="s">
        <v>995</v>
      </c>
      <c r="G3325" s="15" t="s">
        <v>112</v>
      </c>
      <c r="H3325" s="15"/>
    </row>
    <row r="3326" customFormat="false" ht="15" hidden="false" customHeight="true" outlineLevel="0" collapsed="false">
      <c r="A3326" s="15" t="s">
        <v>346</v>
      </c>
      <c r="B3326" s="15" t="s">
        <v>347</v>
      </c>
      <c r="C3326" s="15" t="s">
        <v>102</v>
      </c>
      <c r="D3326" s="15" t="s">
        <v>1023</v>
      </c>
      <c r="E3326" s="15"/>
      <c r="F3326" s="15" t="s">
        <v>995</v>
      </c>
      <c r="G3326" s="15" t="s">
        <v>112</v>
      </c>
      <c r="H3326" s="15"/>
    </row>
    <row r="3327" customFormat="false" ht="15" hidden="false" customHeight="true" outlineLevel="0" collapsed="false">
      <c r="A3327" s="15" t="s">
        <v>346</v>
      </c>
      <c r="B3327" s="15" t="s">
        <v>347</v>
      </c>
      <c r="C3327" s="15" t="s">
        <v>776</v>
      </c>
      <c r="D3327" s="15" t="s">
        <v>800</v>
      </c>
      <c r="E3327" s="15"/>
      <c r="F3327" s="15" t="s">
        <v>995</v>
      </c>
      <c r="G3327" s="15" t="s">
        <v>112</v>
      </c>
      <c r="H3327" s="15"/>
    </row>
    <row r="3328" customFormat="false" ht="15" hidden="false" customHeight="true" outlineLevel="0" collapsed="false">
      <c r="A3328" s="15" t="s">
        <v>346</v>
      </c>
      <c r="B3328" s="15" t="s">
        <v>347</v>
      </c>
      <c r="C3328" s="15" t="s">
        <v>86</v>
      </c>
      <c r="D3328" s="15" t="n">
        <v>7</v>
      </c>
      <c r="E3328" s="15" t="s">
        <v>721</v>
      </c>
      <c r="F3328" s="15" t="s">
        <v>971</v>
      </c>
      <c r="G3328" s="15" t="s">
        <v>112</v>
      </c>
      <c r="H3328" s="15" t="s">
        <v>1015</v>
      </c>
    </row>
    <row r="3329" customFormat="false" ht="15" hidden="false" customHeight="true" outlineLevel="0" collapsed="false">
      <c r="A3329" s="15" t="s">
        <v>346</v>
      </c>
      <c r="B3329" s="15" t="s">
        <v>347</v>
      </c>
      <c r="C3329" s="15" t="s">
        <v>764</v>
      </c>
      <c r="D3329" s="15" t="s">
        <v>803</v>
      </c>
      <c r="E3329" s="15"/>
      <c r="F3329" s="15" t="s">
        <v>971</v>
      </c>
      <c r="G3329" s="15" t="s">
        <v>112</v>
      </c>
      <c r="H3329" s="15"/>
    </row>
    <row r="3330" customFormat="false" ht="26.25" hidden="false" customHeight="true" outlineLevel="0" collapsed="false">
      <c r="A3330" s="15" t="s">
        <v>346</v>
      </c>
      <c r="B3330" s="15" t="s">
        <v>347</v>
      </c>
      <c r="C3330" s="15" t="s">
        <v>749</v>
      </c>
      <c r="D3330" s="15" t="s">
        <v>1024</v>
      </c>
      <c r="E3330" s="15"/>
      <c r="F3330" s="15" t="s">
        <v>971</v>
      </c>
      <c r="G3330" s="15" t="s">
        <v>112</v>
      </c>
      <c r="H3330" s="15"/>
    </row>
    <row r="3331" customFormat="false" ht="15" hidden="false" customHeight="true" outlineLevel="0" collapsed="false">
      <c r="A3331" s="15" t="s">
        <v>346</v>
      </c>
      <c r="B3331" s="15" t="s">
        <v>347</v>
      </c>
      <c r="C3331" s="15" t="s">
        <v>752</v>
      </c>
      <c r="D3331" s="15" t="s">
        <v>1025</v>
      </c>
      <c r="E3331" s="15"/>
      <c r="F3331" s="15" t="s">
        <v>971</v>
      </c>
      <c r="G3331" s="15" t="s">
        <v>112</v>
      </c>
      <c r="H3331" s="15"/>
    </row>
    <row r="3332" customFormat="false" ht="15" hidden="false" customHeight="true" outlineLevel="0" collapsed="false">
      <c r="A3332" s="15" t="s">
        <v>346</v>
      </c>
      <c r="B3332" s="15" t="s">
        <v>347</v>
      </c>
      <c r="C3332" s="15" t="s">
        <v>90</v>
      </c>
      <c r="D3332" s="15" t="s">
        <v>1013</v>
      </c>
      <c r="E3332" s="15"/>
      <c r="F3332" s="15" t="s">
        <v>971</v>
      </c>
      <c r="G3332" s="15" t="s">
        <v>112</v>
      </c>
      <c r="H3332" s="15"/>
    </row>
    <row r="3333" customFormat="false" ht="15" hidden="false" customHeight="true" outlineLevel="0" collapsed="false">
      <c r="A3333" s="15" t="s">
        <v>346</v>
      </c>
      <c r="B3333" s="15" t="s">
        <v>347</v>
      </c>
      <c r="C3333" s="15" t="s">
        <v>754</v>
      </c>
      <c r="D3333" s="15" t="s">
        <v>803</v>
      </c>
      <c r="E3333" s="15"/>
      <c r="F3333" s="15" t="s">
        <v>971</v>
      </c>
      <c r="G3333" s="15" t="s">
        <v>112</v>
      </c>
      <c r="H3333" s="15"/>
    </row>
    <row r="3334" customFormat="false" ht="26.25" hidden="false" customHeight="true" outlineLevel="0" collapsed="false">
      <c r="A3334" s="15" t="s">
        <v>346</v>
      </c>
      <c r="B3334" s="15" t="s">
        <v>347</v>
      </c>
      <c r="C3334" s="15" t="s">
        <v>756</v>
      </c>
      <c r="D3334" s="15" t="s">
        <v>1017</v>
      </c>
      <c r="E3334" s="15"/>
      <c r="F3334" s="15" t="s">
        <v>971</v>
      </c>
      <c r="G3334" s="15" t="s">
        <v>112</v>
      </c>
      <c r="H3334" s="15"/>
    </row>
    <row r="3335" customFormat="false" ht="15" hidden="false" customHeight="true" outlineLevel="0" collapsed="false">
      <c r="A3335" s="15" t="s">
        <v>346</v>
      </c>
      <c r="B3335" s="15" t="s">
        <v>347</v>
      </c>
      <c r="C3335" s="15" t="s">
        <v>757</v>
      </c>
      <c r="D3335" s="15" t="s">
        <v>1018</v>
      </c>
      <c r="E3335" s="15"/>
      <c r="F3335" s="15" t="s">
        <v>971</v>
      </c>
      <c r="G3335" s="15" t="s">
        <v>112</v>
      </c>
      <c r="H3335" s="15"/>
    </row>
    <row r="3336" customFormat="false" ht="15" hidden="false" customHeight="true" outlineLevel="0" collapsed="false">
      <c r="A3336" s="15" t="s">
        <v>346</v>
      </c>
      <c r="B3336" s="15" t="s">
        <v>347</v>
      </c>
      <c r="C3336" s="15" t="s">
        <v>759</v>
      </c>
      <c r="D3336" s="15" t="s">
        <v>1026</v>
      </c>
      <c r="E3336" s="15"/>
      <c r="F3336" s="15" t="s">
        <v>971</v>
      </c>
      <c r="G3336" s="15" t="s">
        <v>112</v>
      </c>
      <c r="H3336" s="15"/>
    </row>
    <row r="3337" customFormat="false" ht="26.25" hidden="false" customHeight="true" outlineLevel="0" collapsed="false">
      <c r="A3337" s="15" t="s">
        <v>346</v>
      </c>
      <c r="B3337" s="15" t="s">
        <v>347</v>
      </c>
      <c r="C3337" s="15" t="s">
        <v>743</v>
      </c>
      <c r="D3337" s="15" t="s">
        <v>1027</v>
      </c>
      <c r="E3337" s="15"/>
      <c r="F3337" s="15" t="s">
        <v>971</v>
      </c>
      <c r="G3337" s="15" t="s">
        <v>112</v>
      </c>
      <c r="H3337" s="15"/>
    </row>
    <row r="3338" customFormat="false" ht="15" hidden="false" customHeight="true" outlineLevel="0" collapsed="false">
      <c r="A3338" s="15" t="s">
        <v>346</v>
      </c>
      <c r="B3338" s="15" t="s">
        <v>347</v>
      </c>
      <c r="C3338" s="15" t="s">
        <v>851</v>
      </c>
      <c r="D3338" s="15" t="s">
        <v>860</v>
      </c>
      <c r="E3338" s="15"/>
      <c r="F3338" s="15" t="s">
        <v>971</v>
      </c>
      <c r="G3338" s="15" t="s">
        <v>112</v>
      </c>
      <c r="H3338" s="15"/>
    </row>
    <row r="3339" customFormat="false" ht="15" hidden="false" customHeight="true" outlineLevel="0" collapsed="false">
      <c r="A3339" s="15" t="s">
        <v>346</v>
      </c>
      <c r="B3339" s="15" t="s">
        <v>347</v>
      </c>
      <c r="C3339" s="15" t="s">
        <v>848</v>
      </c>
      <c r="D3339" s="15" t="s">
        <v>849</v>
      </c>
      <c r="E3339" s="15"/>
      <c r="F3339" s="15" t="s">
        <v>971</v>
      </c>
      <c r="G3339" s="15" t="s">
        <v>112</v>
      </c>
      <c r="H3339" s="15"/>
    </row>
    <row r="3340" customFormat="false" ht="15" hidden="false" customHeight="true" outlineLevel="0" collapsed="false">
      <c r="A3340" s="15" t="s">
        <v>346</v>
      </c>
      <c r="B3340" s="15" t="s">
        <v>347</v>
      </c>
      <c r="C3340" s="15" t="s">
        <v>854</v>
      </c>
      <c r="D3340" s="15" t="s">
        <v>1008</v>
      </c>
      <c r="E3340" s="15"/>
      <c r="F3340" s="15" t="s">
        <v>971</v>
      </c>
      <c r="G3340" s="15" t="s">
        <v>112</v>
      </c>
      <c r="H3340" s="15"/>
    </row>
    <row r="3341" customFormat="false" ht="15" hidden="false" customHeight="true" outlineLevel="0" collapsed="false">
      <c r="A3341" s="15" t="s">
        <v>346</v>
      </c>
      <c r="B3341" s="15" t="s">
        <v>347</v>
      </c>
      <c r="C3341" s="15" t="s">
        <v>946</v>
      </c>
      <c r="D3341" s="15" t="s">
        <v>958</v>
      </c>
      <c r="E3341" s="15"/>
      <c r="F3341" s="15" t="s">
        <v>971</v>
      </c>
      <c r="G3341" s="15" t="s">
        <v>112</v>
      </c>
      <c r="H3341" s="15"/>
    </row>
    <row r="3342" customFormat="false" ht="26.25" hidden="false" customHeight="true" outlineLevel="0" collapsed="false">
      <c r="A3342" s="15" t="s">
        <v>346</v>
      </c>
      <c r="B3342" s="15" t="s">
        <v>347</v>
      </c>
      <c r="C3342" s="15" t="s">
        <v>762</v>
      </c>
      <c r="D3342" s="15" t="s">
        <v>1028</v>
      </c>
      <c r="E3342" s="15"/>
      <c r="F3342" s="15" t="s">
        <v>971</v>
      </c>
      <c r="G3342" s="15" t="s">
        <v>112</v>
      </c>
      <c r="H3342" s="15"/>
    </row>
    <row r="3343" customFormat="false" ht="15" hidden="false" customHeight="true" outlineLevel="0" collapsed="false">
      <c r="A3343" s="15" t="s">
        <v>346</v>
      </c>
      <c r="B3343" s="15" t="s">
        <v>347</v>
      </c>
      <c r="C3343" s="15" t="s">
        <v>763</v>
      </c>
      <c r="D3343" s="15" t="s">
        <v>807</v>
      </c>
      <c r="E3343" s="15"/>
      <c r="F3343" s="15" t="s">
        <v>971</v>
      </c>
      <c r="G3343" s="15" t="s">
        <v>112</v>
      </c>
      <c r="H3343" s="15"/>
    </row>
    <row r="3344" customFormat="false" ht="15" hidden="false" customHeight="true" outlineLevel="0" collapsed="false">
      <c r="A3344" s="15" t="s">
        <v>346</v>
      </c>
      <c r="B3344" s="15" t="s">
        <v>347</v>
      </c>
      <c r="C3344" s="15" t="s">
        <v>843</v>
      </c>
      <c r="D3344" s="15" t="s">
        <v>1009</v>
      </c>
      <c r="E3344" s="15"/>
      <c r="F3344" s="15" t="s">
        <v>971</v>
      </c>
      <c r="G3344" s="15" t="s">
        <v>112</v>
      </c>
      <c r="H3344" s="15"/>
    </row>
    <row r="3345" customFormat="false" ht="26.25" hidden="false" customHeight="true" outlineLevel="0" collapsed="false">
      <c r="A3345" s="15" t="s">
        <v>346</v>
      </c>
      <c r="B3345" s="15" t="s">
        <v>347</v>
      </c>
      <c r="C3345" s="15" t="s">
        <v>1010</v>
      </c>
      <c r="D3345" s="15" t="s">
        <v>1011</v>
      </c>
      <c r="E3345" s="15"/>
      <c r="F3345" s="15" t="s">
        <v>971</v>
      </c>
      <c r="G3345" s="15" t="s">
        <v>112</v>
      </c>
      <c r="H3345" s="15" t="s">
        <v>1012</v>
      </c>
    </row>
    <row r="3346" customFormat="false" ht="15" hidden="false" customHeight="true" outlineLevel="0" collapsed="false">
      <c r="A3346" s="15" t="s">
        <v>346</v>
      </c>
      <c r="B3346" s="15" t="s">
        <v>347</v>
      </c>
      <c r="C3346" s="15" t="s">
        <v>1014</v>
      </c>
      <c r="D3346" s="15" t="s">
        <v>803</v>
      </c>
      <c r="E3346" s="15"/>
      <c r="F3346" s="15" t="s">
        <v>971</v>
      </c>
      <c r="G3346" s="15" t="s">
        <v>112</v>
      </c>
      <c r="H3346" s="15"/>
    </row>
    <row r="3347" customFormat="false" ht="15" hidden="false" customHeight="true" outlineLevel="0" collapsed="false">
      <c r="A3347" s="15" t="s">
        <v>346</v>
      </c>
      <c r="B3347" s="15" t="s">
        <v>347</v>
      </c>
      <c r="C3347" s="15" t="s">
        <v>857</v>
      </c>
      <c r="D3347" s="15" t="s">
        <v>803</v>
      </c>
      <c r="E3347" s="15"/>
      <c r="F3347" s="15" t="s">
        <v>971</v>
      </c>
      <c r="G3347" s="15" t="s">
        <v>112</v>
      </c>
      <c r="H3347" s="15"/>
    </row>
    <row r="3348" customFormat="false" ht="15" hidden="false" customHeight="true" outlineLevel="0" collapsed="false">
      <c r="A3348" s="15" t="s">
        <v>346</v>
      </c>
      <c r="B3348" s="15" t="s">
        <v>347</v>
      </c>
      <c r="C3348" s="15" t="s">
        <v>1020</v>
      </c>
      <c r="D3348" s="15" t="s">
        <v>1021</v>
      </c>
      <c r="E3348" s="15"/>
      <c r="F3348" s="15" t="s">
        <v>971</v>
      </c>
      <c r="G3348" s="15" t="s">
        <v>112</v>
      </c>
      <c r="H3348" s="15"/>
    </row>
    <row r="3349" customFormat="false" ht="15" hidden="false" customHeight="true" outlineLevel="0" collapsed="false">
      <c r="A3349" s="15" t="s">
        <v>346</v>
      </c>
      <c r="B3349" s="15" t="s">
        <v>347</v>
      </c>
      <c r="C3349" s="15" t="s">
        <v>853</v>
      </c>
      <c r="D3349" s="15" t="s">
        <v>803</v>
      </c>
      <c r="E3349" s="15"/>
      <c r="F3349" s="15" t="s">
        <v>971</v>
      </c>
      <c r="G3349" s="15" t="s">
        <v>112</v>
      </c>
      <c r="H3349" s="15"/>
    </row>
    <row r="3350" customFormat="false" ht="15" hidden="false" customHeight="true" outlineLevel="0" collapsed="false">
      <c r="A3350" s="15" t="s">
        <v>346</v>
      </c>
      <c r="B3350" s="15" t="s">
        <v>347</v>
      </c>
      <c r="C3350" s="15" t="s">
        <v>886</v>
      </c>
      <c r="D3350" s="15" t="s">
        <v>803</v>
      </c>
      <c r="E3350" s="15"/>
      <c r="F3350" s="15" t="s">
        <v>971</v>
      </c>
      <c r="G3350" s="15" t="s">
        <v>112</v>
      </c>
      <c r="H3350" s="15"/>
    </row>
    <row r="3351" customFormat="false" ht="15" hidden="false" customHeight="true" outlineLevel="0" collapsed="false">
      <c r="A3351" s="15" t="s">
        <v>346</v>
      </c>
      <c r="B3351" s="15" t="s">
        <v>347</v>
      </c>
      <c r="C3351" s="15" t="s">
        <v>1029</v>
      </c>
      <c r="D3351" s="15" t="s">
        <v>1030</v>
      </c>
      <c r="E3351" s="15"/>
      <c r="F3351" s="15" t="s">
        <v>971</v>
      </c>
      <c r="G3351" s="15" t="s">
        <v>112</v>
      </c>
      <c r="H3351" s="15"/>
    </row>
    <row r="3352" customFormat="false" ht="15" hidden="false" customHeight="true" outlineLevel="0" collapsed="false">
      <c r="A3352" s="15" t="s">
        <v>346</v>
      </c>
      <c r="B3352" s="15" t="s">
        <v>347</v>
      </c>
      <c r="C3352" s="15" t="s">
        <v>1031</v>
      </c>
      <c r="D3352" s="15" t="s">
        <v>1032</v>
      </c>
      <c r="E3352" s="15"/>
      <c r="F3352" s="15" t="s">
        <v>971</v>
      </c>
      <c r="G3352" s="15" t="s">
        <v>112</v>
      </c>
      <c r="H3352" s="15"/>
    </row>
    <row r="3353" customFormat="false" ht="26.25" hidden="false" customHeight="true" outlineLevel="0" collapsed="false">
      <c r="A3353" s="15" t="s">
        <v>341</v>
      </c>
      <c r="B3353" s="15" t="s">
        <v>342</v>
      </c>
      <c r="C3353" s="15" t="s">
        <v>769</v>
      </c>
      <c r="D3353" s="15" t="n">
        <v>5</v>
      </c>
      <c r="E3353" s="15" t="s">
        <v>721</v>
      </c>
      <c r="F3353" s="15" t="s">
        <v>995</v>
      </c>
      <c r="G3353" s="15" t="s">
        <v>112</v>
      </c>
      <c r="H3353" s="15"/>
    </row>
    <row r="3354" customFormat="false" ht="26.25" hidden="false" customHeight="true" outlineLevel="0" collapsed="false">
      <c r="A3354" s="15" t="s">
        <v>341</v>
      </c>
      <c r="B3354" s="15" t="s">
        <v>342</v>
      </c>
      <c r="C3354" s="15" t="s">
        <v>935</v>
      </c>
      <c r="D3354" s="15" t="s">
        <v>936</v>
      </c>
      <c r="E3354" s="15"/>
      <c r="F3354" s="15" t="s">
        <v>995</v>
      </c>
      <c r="G3354" s="15" t="s">
        <v>112</v>
      </c>
      <c r="H3354" s="15"/>
    </row>
    <row r="3355" customFormat="false" ht="26.25" hidden="false" customHeight="true" outlineLevel="0" collapsed="false">
      <c r="A3355" s="15" t="s">
        <v>341</v>
      </c>
      <c r="B3355" s="15" t="s">
        <v>342</v>
      </c>
      <c r="C3355" s="15" t="s">
        <v>722</v>
      </c>
      <c r="D3355" s="15" t="n">
        <v>502</v>
      </c>
      <c r="E3355" s="15" t="s">
        <v>723</v>
      </c>
      <c r="F3355" s="15" t="s">
        <v>995</v>
      </c>
      <c r="G3355" s="15" t="s">
        <v>112</v>
      </c>
      <c r="H3355" s="15"/>
    </row>
    <row r="3356" customFormat="false" ht="26.25" hidden="false" customHeight="true" outlineLevel="0" collapsed="false">
      <c r="A3356" s="15" t="s">
        <v>341</v>
      </c>
      <c r="B3356" s="15" t="s">
        <v>342</v>
      </c>
      <c r="C3356" s="15" t="s">
        <v>726</v>
      </c>
      <c r="D3356" s="15" t="n">
        <v>4607</v>
      </c>
      <c r="E3356" s="15" t="s">
        <v>725</v>
      </c>
      <c r="F3356" s="15" t="s">
        <v>995</v>
      </c>
      <c r="G3356" s="15" t="s">
        <v>112</v>
      </c>
      <c r="H3356" s="15"/>
    </row>
    <row r="3357" customFormat="false" ht="26.25" hidden="false" customHeight="true" outlineLevel="0" collapsed="false">
      <c r="A3357" s="15" t="s">
        <v>341</v>
      </c>
      <c r="B3357" s="15" t="s">
        <v>342</v>
      </c>
      <c r="C3357" s="15" t="s">
        <v>727</v>
      </c>
      <c r="D3357" s="15" t="n">
        <v>1922</v>
      </c>
      <c r="E3357" s="15" t="s">
        <v>725</v>
      </c>
      <c r="F3357" s="15" t="s">
        <v>995</v>
      </c>
      <c r="G3357" s="15" t="s">
        <v>112</v>
      </c>
      <c r="H3357" s="15"/>
    </row>
    <row r="3358" customFormat="false" ht="26.25" hidden="false" customHeight="true" outlineLevel="0" collapsed="false">
      <c r="A3358" s="15" t="s">
        <v>341</v>
      </c>
      <c r="B3358" s="15" t="s">
        <v>342</v>
      </c>
      <c r="C3358" s="15" t="s">
        <v>728</v>
      </c>
      <c r="D3358" s="15" t="n">
        <v>1740</v>
      </c>
      <c r="E3358" s="15" t="s">
        <v>725</v>
      </c>
      <c r="F3358" s="15" t="s">
        <v>995</v>
      </c>
      <c r="G3358" s="15" t="s">
        <v>112</v>
      </c>
      <c r="H3358" s="15"/>
    </row>
    <row r="3359" customFormat="false" ht="26.25" hidden="false" customHeight="true" outlineLevel="0" collapsed="false">
      <c r="A3359" s="15" t="s">
        <v>341</v>
      </c>
      <c r="B3359" s="15" t="s">
        <v>342</v>
      </c>
      <c r="C3359" s="15" t="s">
        <v>729</v>
      </c>
      <c r="D3359" s="15" t="n">
        <v>2741</v>
      </c>
      <c r="E3359" s="15" t="s">
        <v>725</v>
      </c>
      <c r="F3359" s="15" t="s">
        <v>995</v>
      </c>
      <c r="G3359" s="15" t="s">
        <v>112</v>
      </c>
      <c r="H3359" s="15"/>
    </row>
    <row r="3360" customFormat="false" ht="26.25" hidden="false" customHeight="true" outlineLevel="0" collapsed="false">
      <c r="A3360" s="15" t="s">
        <v>341</v>
      </c>
      <c r="B3360" s="15" t="s">
        <v>342</v>
      </c>
      <c r="C3360" s="15" t="s">
        <v>789</v>
      </c>
      <c r="D3360" s="15" t="s">
        <v>790</v>
      </c>
      <c r="E3360" s="15"/>
      <c r="F3360" s="15" t="s">
        <v>995</v>
      </c>
      <c r="G3360" s="15" t="s">
        <v>112</v>
      </c>
      <c r="H3360" s="15"/>
    </row>
    <row r="3361" customFormat="false" ht="26.25" hidden="false" customHeight="true" outlineLevel="0" collapsed="false">
      <c r="A3361" s="15" t="s">
        <v>341</v>
      </c>
      <c r="B3361" s="15" t="s">
        <v>342</v>
      </c>
      <c r="C3361" s="15" t="s">
        <v>923</v>
      </c>
      <c r="D3361" s="15" t="s">
        <v>996</v>
      </c>
      <c r="E3361" s="15"/>
      <c r="F3361" s="15" t="s">
        <v>995</v>
      </c>
      <c r="G3361" s="15" t="s">
        <v>112</v>
      </c>
      <c r="H3361" s="15"/>
    </row>
    <row r="3362" customFormat="false" ht="26.25" hidden="false" customHeight="true" outlineLevel="0" collapsed="false">
      <c r="A3362" s="15" t="s">
        <v>341</v>
      </c>
      <c r="B3362" s="15" t="s">
        <v>342</v>
      </c>
      <c r="C3362" s="15" t="s">
        <v>997</v>
      </c>
      <c r="D3362" s="15" t="n">
        <v>25.3</v>
      </c>
      <c r="E3362" s="15"/>
      <c r="F3362" s="15" t="s">
        <v>995</v>
      </c>
      <c r="G3362" s="15" t="s">
        <v>112</v>
      </c>
      <c r="H3362" s="15"/>
    </row>
    <row r="3363" customFormat="false" ht="26.25" hidden="false" customHeight="true" outlineLevel="0" collapsed="false">
      <c r="A3363" s="15" t="s">
        <v>341</v>
      </c>
      <c r="B3363" s="15" t="s">
        <v>342</v>
      </c>
      <c r="C3363" s="15" t="s">
        <v>998</v>
      </c>
      <c r="D3363" s="15" t="n">
        <v>26.4</v>
      </c>
      <c r="E3363" s="15"/>
      <c r="F3363" s="15" t="s">
        <v>995</v>
      </c>
      <c r="G3363" s="15" t="s">
        <v>112</v>
      </c>
      <c r="H3363" s="15"/>
    </row>
    <row r="3364" customFormat="false" ht="26.25" hidden="false" customHeight="true" outlineLevel="0" collapsed="false">
      <c r="A3364" s="15" t="s">
        <v>341</v>
      </c>
      <c r="B3364" s="15" t="s">
        <v>342</v>
      </c>
      <c r="C3364" s="15" t="s">
        <v>999</v>
      </c>
      <c r="D3364" s="15" t="n">
        <v>16.6</v>
      </c>
      <c r="E3364" s="15"/>
      <c r="F3364" s="15" t="s">
        <v>995</v>
      </c>
      <c r="G3364" s="15" t="s">
        <v>112</v>
      </c>
      <c r="H3364" s="15"/>
    </row>
    <row r="3365" customFormat="false" ht="26.25" hidden="false" customHeight="true" outlineLevel="0" collapsed="false">
      <c r="A3365" s="15" t="s">
        <v>341</v>
      </c>
      <c r="B3365" s="15" t="s">
        <v>342</v>
      </c>
      <c r="C3365" s="15" t="s">
        <v>780</v>
      </c>
      <c r="D3365" s="15" t="s">
        <v>1000</v>
      </c>
      <c r="E3365" s="15"/>
      <c r="F3365" s="15" t="s">
        <v>995</v>
      </c>
      <c r="G3365" s="15" t="s">
        <v>112</v>
      </c>
      <c r="H3365" s="15"/>
    </row>
    <row r="3366" customFormat="false" ht="26.25" hidden="false" customHeight="true" outlineLevel="0" collapsed="false">
      <c r="A3366" s="15" t="s">
        <v>341</v>
      </c>
      <c r="B3366" s="15" t="s">
        <v>342</v>
      </c>
      <c r="C3366" s="15" t="s">
        <v>960</v>
      </c>
      <c r="D3366" s="15" t="n">
        <v>3.3</v>
      </c>
      <c r="E3366" s="15"/>
      <c r="F3366" s="15" t="s">
        <v>995</v>
      </c>
      <c r="G3366" s="15" t="s">
        <v>112</v>
      </c>
      <c r="H3366" s="15"/>
    </row>
    <row r="3367" customFormat="false" ht="39" hidden="false" customHeight="true" outlineLevel="0" collapsed="false">
      <c r="A3367" s="15" t="s">
        <v>341</v>
      </c>
      <c r="B3367" s="15" t="s">
        <v>342</v>
      </c>
      <c r="C3367" s="15" t="s">
        <v>98</v>
      </c>
      <c r="D3367" s="15" t="s">
        <v>950</v>
      </c>
      <c r="E3367" s="15"/>
      <c r="F3367" s="15" t="s">
        <v>995</v>
      </c>
      <c r="G3367" s="15" t="s">
        <v>112</v>
      </c>
      <c r="H3367" s="15"/>
    </row>
    <row r="3368" customFormat="false" ht="26.25" hidden="false" customHeight="true" outlineLevel="0" collapsed="false">
      <c r="A3368" s="15" t="s">
        <v>341</v>
      </c>
      <c r="B3368" s="15" t="s">
        <v>342</v>
      </c>
      <c r="C3368" s="15" t="s">
        <v>835</v>
      </c>
      <c r="D3368" s="15" t="s">
        <v>836</v>
      </c>
      <c r="E3368" s="15"/>
      <c r="F3368" s="15" t="s">
        <v>995</v>
      </c>
      <c r="G3368" s="15" t="s">
        <v>112</v>
      </c>
      <c r="H3368" s="15"/>
    </row>
    <row r="3369" customFormat="false" ht="26.25" hidden="false" customHeight="true" outlineLevel="0" collapsed="false">
      <c r="A3369" s="15" t="s">
        <v>341</v>
      </c>
      <c r="B3369" s="15" t="s">
        <v>342</v>
      </c>
      <c r="C3369" s="15" t="s">
        <v>833</v>
      </c>
      <c r="D3369" s="15" t="s">
        <v>938</v>
      </c>
      <c r="E3369" s="15"/>
      <c r="F3369" s="15" t="s">
        <v>995</v>
      </c>
      <c r="G3369" s="15" t="s">
        <v>112</v>
      </c>
      <c r="H3369" s="15"/>
    </row>
    <row r="3370" customFormat="false" ht="26.25" hidden="false" customHeight="true" outlineLevel="0" collapsed="false">
      <c r="A3370" s="15" t="s">
        <v>341</v>
      </c>
      <c r="B3370" s="15" t="s">
        <v>342</v>
      </c>
      <c r="C3370" s="15" t="s">
        <v>84</v>
      </c>
      <c r="D3370" s="15" t="s">
        <v>1001</v>
      </c>
      <c r="E3370" s="15" t="s">
        <v>725</v>
      </c>
      <c r="F3370" s="15" t="s">
        <v>995</v>
      </c>
      <c r="G3370" s="15" t="s">
        <v>112</v>
      </c>
      <c r="H3370" s="15" t="s">
        <v>1002</v>
      </c>
    </row>
    <row r="3371" customFormat="false" ht="26.25" hidden="false" customHeight="true" outlineLevel="0" collapsed="false">
      <c r="A3371" s="15" t="s">
        <v>341</v>
      </c>
      <c r="B3371" s="15" t="s">
        <v>342</v>
      </c>
      <c r="C3371" s="15" t="s">
        <v>737</v>
      </c>
      <c r="D3371" s="15" t="s">
        <v>1033</v>
      </c>
      <c r="E3371" s="15" t="s">
        <v>738</v>
      </c>
      <c r="F3371" s="15" t="s">
        <v>995</v>
      </c>
      <c r="G3371" s="15" t="s">
        <v>112</v>
      </c>
      <c r="H3371" s="15"/>
    </row>
    <row r="3372" customFormat="false" ht="26.25" hidden="false" customHeight="true" outlineLevel="0" collapsed="false">
      <c r="A3372" s="15" t="s">
        <v>341</v>
      </c>
      <c r="B3372" s="15" t="s">
        <v>342</v>
      </c>
      <c r="C3372" s="15" t="s">
        <v>714</v>
      </c>
      <c r="D3372" s="15" t="n">
        <v>504</v>
      </c>
      <c r="E3372" s="15" t="s">
        <v>715</v>
      </c>
      <c r="F3372" s="15" t="s">
        <v>995</v>
      </c>
      <c r="G3372" s="15" t="s">
        <v>112</v>
      </c>
      <c r="H3372" s="15"/>
    </row>
    <row r="3373" customFormat="false" ht="26.25" hidden="false" customHeight="true" outlineLevel="0" collapsed="false">
      <c r="A3373" s="15" t="s">
        <v>341</v>
      </c>
      <c r="B3373" s="15" t="s">
        <v>342</v>
      </c>
      <c r="C3373" s="15" t="s">
        <v>718</v>
      </c>
      <c r="D3373" s="15" t="s">
        <v>1034</v>
      </c>
      <c r="E3373" s="15"/>
      <c r="F3373" s="15" t="s">
        <v>995</v>
      </c>
      <c r="G3373" s="15" t="s">
        <v>112</v>
      </c>
      <c r="H3373" s="15"/>
    </row>
    <row r="3374" customFormat="false" ht="26.25" hidden="false" customHeight="true" outlineLevel="0" collapsed="false">
      <c r="A3374" s="15" t="s">
        <v>341</v>
      </c>
      <c r="B3374" s="15" t="s">
        <v>342</v>
      </c>
      <c r="C3374" s="15" t="s">
        <v>724</v>
      </c>
      <c r="D3374" s="15" t="n">
        <v>35</v>
      </c>
      <c r="E3374" s="15" t="s">
        <v>723</v>
      </c>
      <c r="F3374" s="15" t="s">
        <v>995</v>
      </c>
      <c r="G3374" s="15" t="s">
        <v>112</v>
      </c>
      <c r="H3374" s="15"/>
    </row>
    <row r="3375" customFormat="false" ht="26.25" hidden="false" customHeight="true" outlineLevel="0" collapsed="false">
      <c r="A3375" s="15" t="s">
        <v>341</v>
      </c>
      <c r="B3375" s="15" t="s">
        <v>342</v>
      </c>
      <c r="C3375" s="15" t="s">
        <v>1003</v>
      </c>
      <c r="D3375" s="15" t="n">
        <v>47</v>
      </c>
      <c r="E3375" s="15"/>
      <c r="F3375" s="15" t="s">
        <v>995</v>
      </c>
      <c r="G3375" s="15" t="s">
        <v>112</v>
      </c>
      <c r="H3375" s="15"/>
    </row>
    <row r="3376" customFormat="false" ht="26.25" hidden="false" customHeight="true" outlineLevel="0" collapsed="false">
      <c r="A3376" s="15" t="s">
        <v>341</v>
      </c>
      <c r="B3376" s="15" t="s">
        <v>342</v>
      </c>
      <c r="C3376" s="15" t="s">
        <v>719</v>
      </c>
      <c r="D3376" s="15" t="n">
        <v>25</v>
      </c>
      <c r="E3376" s="15" t="s">
        <v>720</v>
      </c>
      <c r="F3376" s="15" t="s">
        <v>995</v>
      </c>
      <c r="G3376" s="15" t="s">
        <v>112</v>
      </c>
      <c r="H3376" s="15"/>
    </row>
    <row r="3377" customFormat="false" ht="26.25" hidden="false" customHeight="true" outlineLevel="0" collapsed="false">
      <c r="A3377" s="15" t="s">
        <v>341</v>
      </c>
      <c r="B3377" s="15" t="s">
        <v>342</v>
      </c>
      <c r="C3377" s="15" t="s">
        <v>739</v>
      </c>
      <c r="D3377" s="15" t="n">
        <v>120</v>
      </c>
      <c r="E3377" s="15" t="s">
        <v>738</v>
      </c>
      <c r="F3377" s="15" t="s">
        <v>995</v>
      </c>
      <c r="G3377" s="15" t="s">
        <v>112</v>
      </c>
      <c r="H3377" s="15"/>
    </row>
    <row r="3378" customFormat="false" ht="26.25" hidden="false" customHeight="true" outlineLevel="0" collapsed="false">
      <c r="A3378" s="15" t="s">
        <v>341</v>
      </c>
      <c r="B3378" s="15" t="s">
        <v>342</v>
      </c>
      <c r="C3378" s="15" t="s">
        <v>940</v>
      </c>
      <c r="D3378" s="15" t="n">
        <v>10.7</v>
      </c>
      <c r="E3378" s="15"/>
      <c r="F3378" s="15" t="s">
        <v>995</v>
      </c>
      <c r="G3378" s="15" t="s">
        <v>112</v>
      </c>
      <c r="H3378" s="15"/>
    </row>
    <row r="3379" customFormat="false" ht="26.25" hidden="false" customHeight="true" outlineLevel="0" collapsed="false">
      <c r="A3379" s="15" t="s">
        <v>341</v>
      </c>
      <c r="B3379" s="15" t="s">
        <v>342</v>
      </c>
      <c r="C3379" s="15" t="s">
        <v>733</v>
      </c>
      <c r="D3379" s="15" t="s">
        <v>1035</v>
      </c>
      <c r="E3379" s="15"/>
      <c r="F3379" s="15" t="s">
        <v>995</v>
      </c>
      <c r="G3379" s="15" t="s">
        <v>112</v>
      </c>
      <c r="H3379" s="15"/>
    </row>
    <row r="3380" customFormat="false" ht="26.25" hidden="false" customHeight="true" outlineLevel="0" collapsed="false">
      <c r="A3380" s="15" t="s">
        <v>341</v>
      </c>
      <c r="B3380" s="15" t="s">
        <v>342</v>
      </c>
      <c r="C3380" s="15" t="s">
        <v>102</v>
      </c>
      <c r="D3380" s="15" t="s">
        <v>1036</v>
      </c>
      <c r="E3380" s="15"/>
      <c r="F3380" s="15" t="s">
        <v>995</v>
      </c>
      <c r="G3380" s="15" t="s">
        <v>112</v>
      </c>
      <c r="H3380" s="15"/>
    </row>
    <row r="3381" customFormat="false" ht="26.25" hidden="false" customHeight="true" outlineLevel="0" collapsed="false">
      <c r="A3381" s="15" t="s">
        <v>341</v>
      </c>
      <c r="B3381" s="15" t="s">
        <v>342</v>
      </c>
      <c r="C3381" s="15" t="s">
        <v>776</v>
      </c>
      <c r="D3381" s="15" t="s">
        <v>800</v>
      </c>
      <c r="E3381" s="15"/>
      <c r="F3381" s="15" t="s">
        <v>995</v>
      </c>
      <c r="G3381" s="15" t="s">
        <v>112</v>
      </c>
      <c r="H3381" s="15"/>
    </row>
    <row r="3382" customFormat="false" ht="26.25" hidden="false" customHeight="true" outlineLevel="0" collapsed="false">
      <c r="A3382" s="15" t="s">
        <v>341</v>
      </c>
      <c r="B3382" s="15" t="s">
        <v>342</v>
      </c>
      <c r="C3382" s="15" t="s">
        <v>86</v>
      </c>
      <c r="D3382" s="15" t="n">
        <v>7</v>
      </c>
      <c r="E3382" s="15" t="s">
        <v>721</v>
      </c>
      <c r="F3382" s="15" t="s">
        <v>971</v>
      </c>
      <c r="G3382" s="15" t="s">
        <v>112</v>
      </c>
      <c r="H3382" s="15" t="s">
        <v>1015</v>
      </c>
    </row>
    <row r="3383" customFormat="false" ht="26.25" hidden="false" customHeight="true" outlineLevel="0" collapsed="false">
      <c r="A3383" s="15" t="s">
        <v>341</v>
      </c>
      <c r="B3383" s="15" t="s">
        <v>342</v>
      </c>
      <c r="C3383" s="15" t="s">
        <v>764</v>
      </c>
      <c r="D3383" s="15" t="s">
        <v>803</v>
      </c>
      <c r="E3383" s="15"/>
      <c r="F3383" s="15" t="s">
        <v>971</v>
      </c>
      <c r="G3383" s="15" t="s">
        <v>112</v>
      </c>
      <c r="H3383" s="15"/>
    </row>
    <row r="3384" customFormat="false" ht="26.25" hidden="false" customHeight="true" outlineLevel="0" collapsed="false">
      <c r="A3384" s="15" t="s">
        <v>341</v>
      </c>
      <c r="B3384" s="15" t="s">
        <v>342</v>
      </c>
      <c r="C3384" s="15" t="s">
        <v>749</v>
      </c>
      <c r="D3384" s="15" t="s">
        <v>750</v>
      </c>
      <c r="E3384" s="15"/>
      <c r="F3384" s="15" t="s">
        <v>971</v>
      </c>
      <c r="G3384" s="15" t="s">
        <v>112</v>
      </c>
      <c r="H3384" s="15"/>
    </row>
    <row r="3385" customFormat="false" ht="26.25" hidden="false" customHeight="true" outlineLevel="0" collapsed="false">
      <c r="A3385" s="15" t="s">
        <v>341</v>
      </c>
      <c r="B3385" s="15" t="s">
        <v>342</v>
      </c>
      <c r="C3385" s="15" t="s">
        <v>752</v>
      </c>
      <c r="D3385" s="15" t="s">
        <v>1016</v>
      </c>
      <c r="E3385" s="15"/>
      <c r="F3385" s="15" t="s">
        <v>971</v>
      </c>
      <c r="G3385" s="15" t="s">
        <v>112</v>
      </c>
      <c r="H3385" s="15"/>
    </row>
    <row r="3386" customFormat="false" ht="26.25" hidden="false" customHeight="true" outlineLevel="0" collapsed="false">
      <c r="A3386" s="15" t="s">
        <v>341</v>
      </c>
      <c r="B3386" s="15" t="s">
        <v>342</v>
      </c>
      <c r="C3386" s="15" t="s">
        <v>90</v>
      </c>
      <c r="D3386" s="15" t="s">
        <v>1013</v>
      </c>
      <c r="E3386" s="15"/>
      <c r="F3386" s="15" t="s">
        <v>971</v>
      </c>
      <c r="G3386" s="15" t="s">
        <v>112</v>
      </c>
      <c r="H3386" s="15"/>
    </row>
    <row r="3387" customFormat="false" ht="26.25" hidden="false" customHeight="true" outlineLevel="0" collapsed="false">
      <c r="A3387" s="15" t="s">
        <v>341</v>
      </c>
      <c r="B3387" s="15" t="s">
        <v>342</v>
      </c>
      <c r="C3387" s="15" t="s">
        <v>754</v>
      </c>
      <c r="D3387" s="15" t="s">
        <v>803</v>
      </c>
      <c r="E3387" s="15"/>
      <c r="F3387" s="15" t="s">
        <v>971</v>
      </c>
      <c r="G3387" s="15" t="s">
        <v>112</v>
      </c>
      <c r="H3387" s="15"/>
    </row>
    <row r="3388" customFormat="false" ht="26.25" hidden="false" customHeight="true" outlineLevel="0" collapsed="false">
      <c r="A3388" s="15" t="s">
        <v>341</v>
      </c>
      <c r="B3388" s="15" t="s">
        <v>342</v>
      </c>
      <c r="C3388" s="15" t="s">
        <v>756</v>
      </c>
      <c r="D3388" s="15" t="s">
        <v>1017</v>
      </c>
      <c r="E3388" s="15"/>
      <c r="F3388" s="15" t="s">
        <v>971</v>
      </c>
      <c r="G3388" s="15" t="s">
        <v>112</v>
      </c>
      <c r="H3388" s="15"/>
    </row>
    <row r="3389" customFormat="false" ht="26.25" hidden="false" customHeight="true" outlineLevel="0" collapsed="false">
      <c r="A3389" s="15" t="s">
        <v>341</v>
      </c>
      <c r="B3389" s="15" t="s">
        <v>342</v>
      </c>
      <c r="C3389" s="15" t="s">
        <v>757</v>
      </c>
      <c r="D3389" s="15" t="s">
        <v>1018</v>
      </c>
      <c r="E3389" s="15"/>
      <c r="F3389" s="15" t="s">
        <v>971</v>
      </c>
      <c r="G3389" s="15" t="s">
        <v>112</v>
      </c>
      <c r="H3389" s="15"/>
    </row>
    <row r="3390" customFormat="false" ht="26.25" hidden="false" customHeight="true" outlineLevel="0" collapsed="false">
      <c r="A3390" s="15" t="s">
        <v>341</v>
      </c>
      <c r="B3390" s="15" t="s">
        <v>342</v>
      </c>
      <c r="C3390" s="15" t="s">
        <v>759</v>
      </c>
      <c r="D3390" s="15" t="s">
        <v>1019</v>
      </c>
      <c r="E3390" s="15"/>
      <c r="F3390" s="15" t="s">
        <v>971</v>
      </c>
      <c r="G3390" s="15" t="s">
        <v>112</v>
      </c>
      <c r="H3390" s="15"/>
    </row>
    <row r="3391" customFormat="false" ht="26.25" hidden="false" customHeight="true" outlineLevel="0" collapsed="false">
      <c r="A3391" s="15" t="s">
        <v>341</v>
      </c>
      <c r="B3391" s="15" t="s">
        <v>342</v>
      </c>
      <c r="C3391" s="15" t="s">
        <v>743</v>
      </c>
      <c r="D3391" s="15" t="s">
        <v>957</v>
      </c>
      <c r="E3391" s="15"/>
      <c r="F3391" s="15" t="s">
        <v>971</v>
      </c>
      <c r="G3391" s="15" t="s">
        <v>112</v>
      </c>
      <c r="H3391" s="15"/>
    </row>
    <row r="3392" customFormat="false" ht="26.25" hidden="false" customHeight="true" outlineLevel="0" collapsed="false">
      <c r="A3392" s="15" t="s">
        <v>341</v>
      </c>
      <c r="B3392" s="15" t="s">
        <v>342</v>
      </c>
      <c r="C3392" s="15" t="s">
        <v>851</v>
      </c>
      <c r="D3392" s="15" t="s">
        <v>860</v>
      </c>
      <c r="E3392" s="15"/>
      <c r="F3392" s="15" t="s">
        <v>971</v>
      </c>
      <c r="G3392" s="15" t="s">
        <v>112</v>
      </c>
      <c r="H3392" s="15"/>
    </row>
    <row r="3393" customFormat="false" ht="26.25" hidden="false" customHeight="true" outlineLevel="0" collapsed="false">
      <c r="A3393" s="15" t="s">
        <v>341</v>
      </c>
      <c r="B3393" s="15" t="s">
        <v>342</v>
      </c>
      <c r="C3393" s="15" t="s">
        <v>848</v>
      </c>
      <c r="D3393" s="15" t="s">
        <v>849</v>
      </c>
      <c r="E3393" s="15"/>
      <c r="F3393" s="15" t="s">
        <v>971</v>
      </c>
      <c r="G3393" s="15" t="s">
        <v>112</v>
      </c>
      <c r="H3393" s="15"/>
    </row>
    <row r="3394" customFormat="false" ht="26.25" hidden="false" customHeight="true" outlineLevel="0" collapsed="false">
      <c r="A3394" s="15" t="s">
        <v>341</v>
      </c>
      <c r="B3394" s="15" t="s">
        <v>342</v>
      </c>
      <c r="C3394" s="15" t="s">
        <v>854</v>
      </c>
      <c r="D3394" s="15" t="s">
        <v>1008</v>
      </c>
      <c r="E3394" s="15"/>
      <c r="F3394" s="15" t="s">
        <v>971</v>
      </c>
      <c r="G3394" s="15" t="s">
        <v>112</v>
      </c>
      <c r="H3394" s="15"/>
    </row>
    <row r="3395" customFormat="false" ht="26.25" hidden="false" customHeight="true" outlineLevel="0" collapsed="false">
      <c r="A3395" s="15" t="s">
        <v>341</v>
      </c>
      <c r="B3395" s="15" t="s">
        <v>342</v>
      </c>
      <c r="C3395" s="15" t="s">
        <v>946</v>
      </c>
      <c r="D3395" s="15" t="s">
        <v>958</v>
      </c>
      <c r="E3395" s="15"/>
      <c r="F3395" s="15" t="s">
        <v>971</v>
      </c>
      <c r="G3395" s="15" t="s">
        <v>112</v>
      </c>
      <c r="H3395" s="15"/>
    </row>
    <row r="3396" customFormat="false" ht="26.25" hidden="false" customHeight="true" outlineLevel="0" collapsed="false">
      <c r="A3396" s="15" t="s">
        <v>341</v>
      </c>
      <c r="B3396" s="15" t="s">
        <v>342</v>
      </c>
      <c r="C3396" s="15" t="s">
        <v>762</v>
      </c>
      <c r="D3396" s="15" t="s">
        <v>755</v>
      </c>
      <c r="E3396" s="15"/>
      <c r="F3396" s="15" t="s">
        <v>971</v>
      </c>
      <c r="G3396" s="15" t="s">
        <v>112</v>
      </c>
      <c r="H3396" s="15"/>
    </row>
    <row r="3397" customFormat="false" ht="26.25" hidden="false" customHeight="true" outlineLevel="0" collapsed="false">
      <c r="A3397" s="15" t="s">
        <v>341</v>
      </c>
      <c r="B3397" s="15" t="s">
        <v>342</v>
      </c>
      <c r="C3397" s="15" t="s">
        <v>763</v>
      </c>
      <c r="D3397" s="15" t="s">
        <v>755</v>
      </c>
      <c r="E3397" s="15"/>
      <c r="F3397" s="15" t="s">
        <v>971</v>
      </c>
      <c r="G3397" s="15" t="s">
        <v>112</v>
      </c>
      <c r="H3397" s="15"/>
    </row>
    <row r="3398" customFormat="false" ht="26.25" hidden="false" customHeight="true" outlineLevel="0" collapsed="false">
      <c r="A3398" s="15" t="s">
        <v>341</v>
      </c>
      <c r="B3398" s="15" t="s">
        <v>342</v>
      </c>
      <c r="C3398" s="15" t="s">
        <v>843</v>
      </c>
      <c r="D3398" s="15" t="s">
        <v>1009</v>
      </c>
      <c r="E3398" s="15"/>
      <c r="F3398" s="15" t="s">
        <v>971</v>
      </c>
      <c r="G3398" s="15" t="s">
        <v>112</v>
      </c>
      <c r="H3398" s="15"/>
    </row>
    <row r="3399" customFormat="false" ht="26.25" hidden="false" customHeight="true" outlineLevel="0" collapsed="false">
      <c r="A3399" s="15" t="s">
        <v>341</v>
      </c>
      <c r="B3399" s="15" t="s">
        <v>342</v>
      </c>
      <c r="C3399" s="15" t="s">
        <v>1010</v>
      </c>
      <c r="D3399" s="15" t="s">
        <v>1011</v>
      </c>
      <c r="E3399" s="15"/>
      <c r="F3399" s="15" t="s">
        <v>971</v>
      </c>
      <c r="G3399" s="15" t="s">
        <v>112</v>
      </c>
      <c r="H3399" s="15" t="s">
        <v>1012</v>
      </c>
    </row>
    <row r="3400" customFormat="false" ht="26.25" hidden="false" customHeight="true" outlineLevel="0" collapsed="false">
      <c r="A3400" s="15" t="s">
        <v>341</v>
      </c>
      <c r="B3400" s="15" t="s">
        <v>342</v>
      </c>
      <c r="C3400" s="15" t="s">
        <v>1014</v>
      </c>
      <c r="D3400" s="15" t="s">
        <v>803</v>
      </c>
      <c r="E3400" s="15"/>
      <c r="F3400" s="15" t="s">
        <v>971</v>
      </c>
      <c r="G3400" s="15" t="s">
        <v>112</v>
      </c>
      <c r="H3400" s="15"/>
    </row>
    <row r="3401" customFormat="false" ht="26.25" hidden="false" customHeight="true" outlineLevel="0" collapsed="false">
      <c r="A3401" s="15" t="s">
        <v>341</v>
      </c>
      <c r="B3401" s="15" t="s">
        <v>342</v>
      </c>
      <c r="C3401" s="15" t="s">
        <v>857</v>
      </c>
      <c r="D3401" s="15" t="s">
        <v>803</v>
      </c>
      <c r="E3401" s="15"/>
      <c r="F3401" s="15" t="s">
        <v>971</v>
      </c>
      <c r="G3401" s="15" t="s">
        <v>112</v>
      </c>
      <c r="H3401" s="15"/>
    </row>
    <row r="3402" customFormat="false" ht="26.25" hidden="false" customHeight="true" outlineLevel="0" collapsed="false">
      <c r="A3402" s="15" t="s">
        <v>341</v>
      </c>
      <c r="B3402" s="15" t="s">
        <v>342</v>
      </c>
      <c r="C3402" s="15" t="s">
        <v>1020</v>
      </c>
      <c r="D3402" s="15" t="s">
        <v>1021</v>
      </c>
      <c r="E3402" s="15"/>
      <c r="F3402" s="15" t="s">
        <v>971</v>
      </c>
      <c r="G3402" s="15" t="s">
        <v>112</v>
      </c>
      <c r="H3402" s="15"/>
    </row>
    <row r="3403" customFormat="false" ht="26.25" hidden="false" customHeight="true" outlineLevel="0" collapsed="false">
      <c r="A3403" s="15" t="s">
        <v>341</v>
      </c>
      <c r="B3403" s="15" t="s">
        <v>342</v>
      </c>
      <c r="C3403" s="15" t="s">
        <v>853</v>
      </c>
      <c r="D3403" s="15" t="s">
        <v>803</v>
      </c>
      <c r="E3403" s="15"/>
      <c r="F3403" s="15" t="s">
        <v>971</v>
      </c>
      <c r="G3403" s="15" t="s">
        <v>112</v>
      </c>
      <c r="H3403" s="15"/>
    </row>
    <row r="3404" customFormat="false" ht="26.25" hidden="false" customHeight="true" outlineLevel="0" collapsed="false">
      <c r="A3404" s="15" t="s">
        <v>341</v>
      </c>
      <c r="B3404" s="15" t="s">
        <v>342</v>
      </c>
      <c r="C3404" s="15" t="s">
        <v>1037</v>
      </c>
      <c r="D3404" s="15" t="s">
        <v>803</v>
      </c>
      <c r="E3404" s="15"/>
      <c r="F3404" s="15" t="s">
        <v>971</v>
      </c>
      <c r="G3404" s="15" t="s">
        <v>112</v>
      </c>
      <c r="H3404" s="15"/>
    </row>
    <row r="3405" customFormat="false" ht="26.25" hidden="false" customHeight="true" outlineLevel="0" collapsed="false">
      <c r="A3405" s="15" t="s">
        <v>341</v>
      </c>
      <c r="B3405" s="15" t="s">
        <v>342</v>
      </c>
      <c r="C3405" s="15" t="s">
        <v>1038</v>
      </c>
      <c r="D3405" s="15" t="s">
        <v>803</v>
      </c>
      <c r="E3405" s="15"/>
      <c r="F3405" s="15" t="s">
        <v>971</v>
      </c>
      <c r="G3405" s="15" t="s">
        <v>112</v>
      </c>
      <c r="H3405" s="15"/>
    </row>
    <row r="3406" customFormat="false" ht="26.25" hidden="false" customHeight="true" outlineLevel="0" collapsed="false">
      <c r="A3406" s="15" t="s">
        <v>349</v>
      </c>
      <c r="B3406" s="15" t="s">
        <v>350</v>
      </c>
      <c r="C3406" s="15" t="s">
        <v>769</v>
      </c>
      <c r="D3406" s="15" t="n">
        <v>5</v>
      </c>
      <c r="E3406" s="15" t="s">
        <v>721</v>
      </c>
      <c r="F3406" s="15" t="s">
        <v>995</v>
      </c>
      <c r="G3406" s="15" t="s">
        <v>112</v>
      </c>
      <c r="H3406" s="15"/>
    </row>
    <row r="3407" customFormat="false" ht="26.25" hidden="false" customHeight="true" outlineLevel="0" collapsed="false">
      <c r="A3407" s="15" t="s">
        <v>349</v>
      </c>
      <c r="B3407" s="15" t="s">
        <v>350</v>
      </c>
      <c r="C3407" s="15" t="s">
        <v>935</v>
      </c>
      <c r="D3407" s="15" t="s">
        <v>936</v>
      </c>
      <c r="E3407" s="15"/>
      <c r="F3407" s="15" t="s">
        <v>995</v>
      </c>
      <c r="G3407" s="15" t="s">
        <v>112</v>
      </c>
      <c r="H3407" s="15"/>
    </row>
    <row r="3408" customFormat="false" ht="26.25" hidden="false" customHeight="true" outlineLevel="0" collapsed="false">
      <c r="A3408" s="15" t="s">
        <v>349</v>
      </c>
      <c r="B3408" s="15" t="s">
        <v>350</v>
      </c>
      <c r="C3408" s="15" t="s">
        <v>722</v>
      </c>
      <c r="D3408" s="15" t="n">
        <v>502</v>
      </c>
      <c r="E3408" s="15" t="s">
        <v>723</v>
      </c>
      <c r="F3408" s="15" t="s">
        <v>995</v>
      </c>
      <c r="G3408" s="15" t="s">
        <v>112</v>
      </c>
      <c r="H3408" s="15"/>
    </row>
    <row r="3409" customFormat="false" ht="26.25" hidden="false" customHeight="true" outlineLevel="0" collapsed="false">
      <c r="A3409" s="15" t="s">
        <v>349</v>
      </c>
      <c r="B3409" s="15" t="s">
        <v>350</v>
      </c>
      <c r="C3409" s="15" t="s">
        <v>726</v>
      </c>
      <c r="D3409" s="15" t="n">
        <v>4607</v>
      </c>
      <c r="E3409" s="15" t="s">
        <v>725</v>
      </c>
      <c r="F3409" s="15" t="s">
        <v>995</v>
      </c>
      <c r="G3409" s="15" t="s">
        <v>112</v>
      </c>
      <c r="H3409" s="15"/>
    </row>
    <row r="3410" customFormat="false" ht="26.25" hidden="false" customHeight="true" outlineLevel="0" collapsed="false">
      <c r="A3410" s="15" t="s">
        <v>349</v>
      </c>
      <c r="B3410" s="15" t="s">
        <v>350</v>
      </c>
      <c r="C3410" s="15" t="s">
        <v>727</v>
      </c>
      <c r="D3410" s="15" t="n">
        <v>1922</v>
      </c>
      <c r="E3410" s="15" t="s">
        <v>725</v>
      </c>
      <c r="F3410" s="15" t="s">
        <v>995</v>
      </c>
      <c r="G3410" s="15" t="s">
        <v>112</v>
      </c>
      <c r="H3410" s="15"/>
    </row>
    <row r="3411" customFormat="false" ht="26.25" hidden="false" customHeight="true" outlineLevel="0" collapsed="false">
      <c r="A3411" s="15" t="s">
        <v>349</v>
      </c>
      <c r="B3411" s="15" t="s">
        <v>350</v>
      </c>
      <c r="C3411" s="15" t="s">
        <v>728</v>
      </c>
      <c r="D3411" s="15" t="n">
        <v>1740</v>
      </c>
      <c r="E3411" s="15" t="s">
        <v>725</v>
      </c>
      <c r="F3411" s="15" t="s">
        <v>995</v>
      </c>
      <c r="G3411" s="15" t="s">
        <v>112</v>
      </c>
      <c r="H3411" s="15"/>
    </row>
    <row r="3412" customFormat="false" ht="26.25" hidden="false" customHeight="true" outlineLevel="0" collapsed="false">
      <c r="A3412" s="15" t="s">
        <v>349</v>
      </c>
      <c r="B3412" s="15" t="s">
        <v>350</v>
      </c>
      <c r="C3412" s="15" t="s">
        <v>729</v>
      </c>
      <c r="D3412" s="15" t="n">
        <v>2741</v>
      </c>
      <c r="E3412" s="15" t="s">
        <v>725</v>
      </c>
      <c r="F3412" s="15" t="s">
        <v>995</v>
      </c>
      <c r="G3412" s="15" t="s">
        <v>112</v>
      </c>
      <c r="H3412" s="15"/>
    </row>
    <row r="3413" customFormat="false" ht="26.25" hidden="false" customHeight="true" outlineLevel="0" collapsed="false">
      <c r="A3413" s="15" t="s">
        <v>349</v>
      </c>
      <c r="B3413" s="15" t="s">
        <v>350</v>
      </c>
      <c r="C3413" s="15" t="s">
        <v>789</v>
      </c>
      <c r="D3413" s="15" t="s">
        <v>790</v>
      </c>
      <c r="E3413" s="15"/>
      <c r="F3413" s="15" t="s">
        <v>995</v>
      </c>
      <c r="G3413" s="15" t="s">
        <v>112</v>
      </c>
      <c r="H3413" s="15"/>
    </row>
    <row r="3414" customFormat="false" ht="26.25" hidden="false" customHeight="true" outlineLevel="0" collapsed="false">
      <c r="A3414" s="15" t="s">
        <v>349</v>
      </c>
      <c r="B3414" s="15" t="s">
        <v>350</v>
      </c>
      <c r="C3414" s="15" t="s">
        <v>923</v>
      </c>
      <c r="D3414" s="15" t="s">
        <v>996</v>
      </c>
      <c r="E3414" s="15"/>
      <c r="F3414" s="15" t="s">
        <v>995</v>
      </c>
      <c r="G3414" s="15" t="s">
        <v>112</v>
      </c>
      <c r="H3414" s="15"/>
    </row>
    <row r="3415" customFormat="false" ht="26.25" hidden="false" customHeight="true" outlineLevel="0" collapsed="false">
      <c r="A3415" s="15" t="s">
        <v>349</v>
      </c>
      <c r="B3415" s="15" t="s">
        <v>350</v>
      </c>
      <c r="C3415" s="15" t="s">
        <v>997</v>
      </c>
      <c r="D3415" s="15" t="n">
        <v>25.3</v>
      </c>
      <c r="E3415" s="15"/>
      <c r="F3415" s="15" t="s">
        <v>995</v>
      </c>
      <c r="G3415" s="15" t="s">
        <v>112</v>
      </c>
      <c r="H3415" s="15"/>
    </row>
    <row r="3416" customFormat="false" ht="26.25" hidden="false" customHeight="true" outlineLevel="0" collapsed="false">
      <c r="A3416" s="15" t="s">
        <v>349</v>
      </c>
      <c r="B3416" s="15" t="s">
        <v>350</v>
      </c>
      <c r="C3416" s="15" t="s">
        <v>998</v>
      </c>
      <c r="D3416" s="15" t="n">
        <v>26.4</v>
      </c>
      <c r="E3416" s="15"/>
      <c r="F3416" s="15" t="s">
        <v>995</v>
      </c>
      <c r="G3416" s="15" t="s">
        <v>112</v>
      </c>
      <c r="H3416" s="15"/>
    </row>
    <row r="3417" customFormat="false" ht="26.25" hidden="false" customHeight="true" outlineLevel="0" collapsed="false">
      <c r="A3417" s="15" t="s">
        <v>349</v>
      </c>
      <c r="B3417" s="15" t="s">
        <v>350</v>
      </c>
      <c r="C3417" s="15" t="s">
        <v>999</v>
      </c>
      <c r="D3417" s="15" t="n">
        <v>16.6</v>
      </c>
      <c r="E3417" s="15"/>
      <c r="F3417" s="15" t="s">
        <v>995</v>
      </c>
      <c r="G3417" s="15" t="s">
        <v>112</v>
      </c>
      <c r="H3417" s="15"/>
    </row>
    <row r="3418" customFormat="false" ht="26.25" hidden="false" customHeight="true" outlineLevel="0" collapsed="false">
      <c r="A3418" s="15" t="s">
        <v>349</v>
      </c>
      <c r="B3418" s="15" t="s">
        <v>350</v>
      </c>
      <c r="C3418" s="15" t="s">
        <v>780</v>
      </c>
      <c r="D3418" s="15" t="s">
        <v>1000</v>
      </c>
      <c r="E3418" s="15"/>
      <c r="F3418" s="15" t="s">
        <v>995</v>
      </c>
      <c r="G3418" s="15" t="s">
        <v>112</v>
      </c>
      <c r="H3418" s="15"/>
    </row>
    <row r="3419" customFormat="false" ht="26.25" hidden="false" customHeight="true" outlineLevel="0" collapsed="false">
      <c r="A3419" s="15" t="s">
        <v>349</v>
      </c>
      <c r="B3419" s="15" t="s">
        <v>350</v>
      </c>
      <c r="C3419" s="15" t="s">
        <v>960</v>
      </c>
      <c r="D3419" s="15" t="n">
        <v>3.3</v>
      </c>
      <c r="E3419" s="15"/>
      <c r="F3419" s="15" t="s">
        <v>995</v>
      </c>
      <c r="G3419" s="15" t="s">
        <v>112</v>
      </c>
      <c r="H3419" s="15"/>
    </row>
    <row r="3420" customFormat="false" ht="39" hidden="false" customHeight="true" outlineLevel="0" collapsed="false">
      <c r="A3420" s="15" t="s">
        <v>349</v>
      </c>
      <c r="B3420" s="15" t="s">
        <v>350</v>
      </c>
      <c r="C3420" s="15" t="s">
        <v>98</v>
      </c>
      <c r="D3420" s="15" t="s">
        <v>950</v>
      </c>
      <c r="E3420" s="15"/>
      <c r="F3420" s="15" t="s">
        <v>995</v>
      </c>
      <c r="G3420" s="15" t="s">
        <v>112</v>
      </c>
      <c r="H3420" s="15"/>
    </row>
    <row r="3421" customFormat="false" ht="26.25" hidden="false" customHeight="true" outlineLevel="0" collapsed="false">
      <c r="A3421" s="15" t="s">
        <v>349</v>
      </c>
      <c r="B3421" s="15" t="s">
        <v>350</v>
      </c>
      <c r="C3421" s="15" t="s">
        <v>835</v>
      </c>
      <c r="D3421" s="15" t="s">
        <v>836</v>
      </c>
      <c r="E3421" s="15"/>
      <c r="F3421" s="15" t="s">
        <v>995</v>
      </c>
      <c r="G3421" s="15" t="s">
        <v>112</v>
      </c>
      <c r="H3421" s="15"/>
    </row>
    <row r="3422" customFormat="false" ht="26.25" hidden="false" customHeight="true" outlineLevel="0" collapsed="false">
      <c r="A3422" s="15" t="s">
        <v>349</v>
      </c>
      <c r="B3422" s="15" t="s">
        <v>350</v>
      </c>
      <c r="C3422" s="15" t="s">
        <v>833</v>
      </c>
      <c r="D3422" s="15" t="s">
        <v>938</v>
      </c>
      <c r="E3422" s="15"/>
      <c r="F3422" s="15" t="s">
        <v>995</v>
      </c>
      <c r="G3422" s="15" t="s">
        <v>112</v>
      </c>
      <c r="H3422" s="15"/>
    </row>
    <row r="3423" customFormat="false" ht="26.25" hidden="false" customHeight="true" outlineLevel="0" collapsed="false">
      <c r="A3423" s="15" t="s">
        <v>349</v>
      </c>
      <c r="B3423" s="15" t="s">
        <v>350</v>
      </c>
      <c r="C3423" s="15" t="s">
        <v>84</v>
      </c>
      <c r="D3423" s="15" t="s">
        <v>1001</v>
      </c>
      <c r="E3423" s="15" t="s">
        <v>725</v>
      </c>
      <c r="F3423" s="15" t="s">
        <v>995</v>
      </c>
      <c r="G3423" s="15" t="s">
        <v>112</v>
      </c>
      <c r="H3423" s="15" t="s">
        <v>1002</v>
      </c>
    </row>
    <row r="3424" customFormat="false" ht="26.25" hidden="false" customHeight="true" outlineLevel="0" collapsed="false">
      <c r="A3424" s="15" t="s">
        <v>349</v>
      </c>
      <c r="B3424" s="15" t="s">
        <v>350</v>
      </c>
      <c r="C3424" s="15" t="s">
        <v>737</v>
      </c>
      <c r="D3424" s="15" t="s">
        <v>1033</v>
      </c>
      <c r="E3424" s="15" t="s">
        <v>738</v>
      </c>
      <c r="F3424" s="15" t="s">
        <v>995</v>
      </c>
      <c r="G3424" s="15" t="s">
        <v>112</v>
      </c>
      <c r="H3424" s="15"/>
    </row>
    <row r="3425" customFormat="false" ht="26.25" hidden="false" customHeight="true" outlineLevel="0" collapsed="false">
      <c r="A3425" s="15" t="s">
        <v>349</v>
      </c>
      <c r="B3425" s="15" t="s">
        <v>350</v>
      </c>
      <c r="C3425" s="15" t="s">
        <v>714</v>
      </c>
      <c r="D3425" s="15" t="n">
        <v>504</v>
      </c>
      <c r="E3425" s="15" t="s">
        <v>715</v>
      </c>
      <c r="F3425" s="15" t="s">
        <v>995</v>
      </c>
      <c r="G3425" s="15" t="s">
        <v>112</v>
      </c>
      <c r="H3425" s="15"/>
    </row>
    <row r="3426" customFormat="false" ht="26.25" hidden="false" customHeight="true" outlineLevel="0" collapsed="false">
      <c r="A3426" s="15" t="s">
        <v>349</v>
      </c>
      <c r="B3426" s="15" t="s">
        <v>350</v>
      </c>
      <c r="C3426" s="15" t="s">
        <v>718</v>
      </c>
      <c r="D3426" s="15" t="s">
        <v>1034</v>
      </c>
      <c r="E3426" s="15"/>
      <c r="F3426" s="15" t="s">
        <v>995</v>
      </c>
      <c r="G3426" s="15" t="s">
        <v>112</v>
      </c>
      <c r="H3426" s="15"/>
    </row>
    <row r="3427" customFormat="false" ht="26.25" hidden="false" customHeight="true" outlineLevel="0" collapsed="false">
      <c r="A3427" s="15" t="s">
        <v>349</v>
      </c>
      <c r="B3427" s="15" t="s">
        <v>350</v>
      </c>
      <c r="C3427" s="15" t="s">
        <v>724</v>
      </c>
      <c r="D3427" s="15" t="n">
        <v>35</v>
      </c>
      <c r="E3427" s="15" t="s">
        <v>723</v>
      </c>
      <c r="F3427" s="15" t="s">
        <v>995</v>
      </c>
      <c r="G3427" s="15" t="s">
        <v>112</v>
      </c>
      <c r="H3427" s="15"/>
    </row>
    <row r="3428" customFormat="false" ht="26.25" hidden="false" customHeight="true" outlineLevel="0" collapsed="false">
      <c r="A3428" s="15" t="s">
        <v>349</v>
      </c>
      <c r="B3428" s="15" t="s">
        <v>350</v>
      </c>
      <c r="C3428" s="15" t="s">
        <v>1003</v>
      </c>
      <c r="D3428" s="15" t="n">
        <v>47</v>
      </c>
      <c r="E3428" s="15"/>
      <c r="F3428" s="15" t="s">
        <v>995</v>
      </c>
      <c r="G3428" s="15" t="s">
        <v>112</v>
      </c>
      <c r="H3428" s="15"/>
    </row>
    <row r="3429" customFormat="false" ht="26.25" hidden="false" customHeight="true" outlineLevel="0" collapsed="false">
      <c r="A3429" s="15" t="s">
        <v>349</v>
      </c>
      <c r="B3429" s="15" t="s">
        <v>350</v>
      </c>
      <c r="C3429" s="15" t="s">
        <v>719</v>
      </c>
      <c r="D3429" s="15" t="n">
        <v>25</v>
      </c>
      <c r="E3429" s="15" t="s">
        <v>720</v>
      </c>
      <c r="F3429" s="15" t="s">
        <v>995</v>
      </c>
      <c r="G3429" s="15" t="s">
        <v>112</v>
      </c>
      <c r="H3429" s="15"/>
    </row>
    <row r="3430" customFormat="false" ht="26.25" hidden="false" customHeight="true" outlineLevel="0" collapsed="false">
      <c r="A3430" s="15" t="s">
        <v>349</v>
      </c>
      <c r="B3430" s="15" t="s">
        <v>350</v>
      </c>
      <c r="C3430" s="15" t="s">
        <v>739</v>
      </c>
      <c r="D3430" s="15" t="n">
        <v>120</v>
      </c>
      <c r="E3430" s="15" t="s">
        <v>738</v>
      </c>
      <c r="F3430" s="15" t="s">
        <v>995</v>
      </c>
      <c r="G3430" s="15" t="s">
        <v>112</v>
      </c>
      <c r="H3430" s="15"/>
    </row>
    <row r="3431" customFormat="false" ht="26.25" hidden="false" customHeight="true" outlineLevel="0" collapsed="false">
      <c r="A3431" s="15" t="s">
        <v>349</v>
      </c>
      <c r="B3431" s="15" t="s">
        <v>350</v>
      </c>
      <c r="C3431" s="15" t="s">
        <v>940</v>
      </c>
      <c r="D3431" s="15" t="n">
        <v>10.7</v>
      </c>
      <c r="E3431" s="15"/>
      <c r="F3431" s="15" t="s">
        <v>995</v>
      </c>
      <c r="G3431" s="15" t="s">
        <v>112</v>
      </c>
      <c r="H3431" s="15"/>
    </row>
    <row r="3432" customFormat="false" ht="26.25" hidden="false" customHeight="true" outlineLevel="0" collapsed="false">
      <c r="A3432" s="15" t="s">
        <v>349</v>
      </c>
      <c r="B3432" s="15" t="s">
        <v>350</v>
      </c>
      <c r="C3432" s="15" t="s">
        <v>733</v>
      </c>
      <c r="D3432" s="15" t="s">
        <v>1035</v>
      </c>
      <c r="E3432" s="15"/>
      <c r="F3432" s="15" t="s">
        <v>995</v>
      </c>
      <c r="G3432" s="15" t="s">
        <v>112</v>
      </c>
      <c r="H3432" s="15"/>
    </row>
    <row r="3433" customFormat="false" ht="26.25" hidden="false" customHeight="true" outlineLevel="0" collapsed="false">
      <c r="A3433" s="15" t="s">
        <v>349</v>
      </c>
      <c r="B3433" s="15" t="s">
        <v>350</v>
      </c>
      <c r="C3433" s="15" t="s">
        <v>102</v>
      </c>
      <c r="D3433" s="15" t="s">
        <v>1036</v>
      </c>
      <c r="E3433" s="15"/>
      <c r="F3433" s="15" t="s">
        <v>995</v>
      </c>
      <c r="G3433" s="15" t="s">
        <v>112</v>
      </c>
      <c r="H3433" s="15"/>
    </row>
    <row r="3434" customFormat="false" ht="26.25" hidden="false" customHeight="true" outlineLevel="0" collapsed="false">
      <c r="A3434" s="15" t="s">
        <v>349</v>
      </c>
      <c r="B3434" s="15" t="s">
        <v>350</v>
      </c>
      <c r="C3434" s="15" t="s">
        <v>776</v>
      </c>
      <c r="D3434" s="15" t="s">
        <v>800</v>
      </c>
      <c r="E3434" s="15"/>
      <c r="F3434" s="15" t="s">
        <v>995</v>
      </c>
      <c r="G3434" s="15" t="s">
        <v>112</v>
      </c>
      <c r="H3434" s="15"/>
    </row>
    <row r="3435" customFormat="false" ht="26.25" hidden="false" customHeight="true" outlineLevel="0" collapsed="false">
      <c r="A3435" s="15" t="s">
        <v>349</v>
      </c>
      <c r="B3435" s="15" t="s">
        <v>350</v>
      </c>
      <c r="C3435" s="15" t="s">
        <v>86</v>
      </c>
      <c r="D3435" s="15" t="n">
        <v>7</v>
      </c>
      <c r="E3435" s="15" t="s">
        <v>721</v>
      </c>
      <c r="F3435" s="15" t="s">
        <v>971</v>
      </c>
      <c r="G3435" s="15" t="s">
        <v>112</v>
      </c>
      <c r="H3435" s="15" t="s">
        <v>1015</v>
      </c>
    </row>
    <row r="3436" customFormat="false" ht="26.25" hidden="false" customHeight="true" outlineLevel="0" collapsed="false">
      <c r="A3436" s="15" t="s">
        <v>349</v>
      </c>
      <c r="B3436" s="15" t="s">
        <v>350</v>
      </c>
      <c r="C3436" s="15" t="s">
        <v>764</v>
      </c>
      <c r="D3436" s="15" t="s">
        <v>803</v>
      </c>
      <c r="E3436" s="15"/>
      <c r="F3436" s="15" t="s">
        <v>971</v>
      </c>
      <c r="G3436" s="15" t="s">
        <v>112</v>
      </c>
      <c r="H3436" s="15"/>
    </row>
    <row r="3437" customFormat="false" ht="26.25" hidden="false" customHeight="true" outlineLevel="0" collapsed="false">
      <c r="A3437" s="15" t="s">
        <v>349</v>
      </c>
      <c r="B3437" s="15" t="s">
        <v>350</v>
      </c>
      <c r="C3437" s="15" t="s">
        <v>749</v>
      </c>
      <c r="D3437" s="15" t="s">
        <v>1024</v>
      </c>
      <c r="E3437" s="15"/>
      <c r="F3437" s="15" t="s">
        <v>971</v>
      </c>
      <c r="G3437" s="15" t="s">
        <v>112</v>
      </c>
      <c r="H3437" s="15"/>
    </row>
    <row r="3438" customFormat="false" ht="26.25" hidden="false" customHeight="true" outlineLevel="0" collapsed="false">
      <c r="A3438" s="15" t="s">
        <v>349</v>
      </c>
      <c r="B3438" s="15" t="s">
        <v>350</v>
      </c>
      <c r="C3438" s="15" t="s">
        <v>752</v>
      </c>
      <c r="D3438" s="15" t="s">
        <v>1025</v>
      </c>
      <c r="E3438" s="15"/>
      <c r="F3438" s="15" t="s">
        <v>971</v>
      </c>
      <c r="G3438" s="15" t="s">
        <v>112</v>
      </c>
      <c r="H3438" s="15"/>
    </row>
    <row r="3439" customFormat="false" ht="26.25" hidden="false" customHeight="true" outlineLevel="0" collapsed="false">
      <c r="A3439" s="15" t="s">
        <v>349</v>
      </c>
      <c r="B3439" s="15" t="s">
        <v>350</v>
      </c>
      <c r="C3439" s="15" t="s">
        <v>90</v>
      </c>
      <c r="D3439" s="15" t="s">
        <v>1013</v>
      </c>
      <c r="E3439" s="15"/>
      <c r="F3439" s="15" t="s">
        <v>971</v>
      </c>
      <c r="G3439" s="15" t="s">
        <v>112</v>
      </c>
      <c r="H3439" s="15"/>
    </row>
    <row r="3440" customFormat="false" ht="26.25" hidden="false" customHeight="true" outlineLevel="0" collapsed="false">
      <c r="A3440" s="15" t="s">
        <v>349</v>
      </c>
      <c r="B3440" s="15" t="s">
        <v>350</v>
      </c>
      <c r="C3440" s="15" t="s">
        <v>754</v>
      </c>
      <c r="D3440" s="15" t="s">
        <v>803</v>
      </c>
      <c r="E3440" s="15"/>
      <c r="F3440" s="15" t="s">
        <v>971</v>
      </c>
      <c r="G3440" s="15" t="s">
        <v>112</v>
      </c>
      <c r="H3440" s="15"/>
    </row>
    <row r="3441" customFormat="false" ht="26.25" hidden="false" customHeight="true" outlineLevel="0" collapsed="false">
      <c r="A3441" s="15" t="s">
        <v>349</v>
      </c>
      <c r="B3441" s="15" t="s">
        <v>350</v>
      </c>
      <c r="C3441" s="15" t="s">
        <v>756</v>
      </c>
      <c r="D3441" s="15" t="s">
        <v>1017</v>
      </c>
      <c r="E3441" s="15"/>
      <c r="F3441" s="15" t="s">
        <v>971</v>
      </c>
      <c r="G3441" s="15" t="s">
        <v>112</v>
      </c>
      <c r="H3441" s="15"/>
    </row>
    <row r="3442" customFormat="false" ht="26.25" hidden="false" customHeight="true" outlineLevel="0" collapsed="false">
      <c r="A3442" s="15" t="s">
        <v>349</v>
      </c>
      <c r="B3442" s="15" t="s">
        <v>350</v>
      </c>
      <c r="C3442" s="15" t="s">
        <v>757</v>
      </c>
      <c r="D3442" s="15" t="s">
        <v>1018</v>
      </c>
      <c r="E3442" s="15"/>
      <c r="F3442" s="15" t="s">
        <v>971</v>
      </c>
      <c r="G3442" s="15" t="s">
        <v>112</v>
      </c>
      <c r="H3442" s="15"/>
    </row>
    <row r="3443" customFormat="false" ht="26.25" hidden="false" customHeight="true" outlineLevel="0" collapsed="false">
      <c r="A3443" s="15" t="s">
        <v>349</v>
      </c>
      <c r="B3443" s="15" t="s">
        <v>350</v>
      </c>
      <c r="C3443" s="15" t="s">
        <v>759</v>
      </c>
      <c r="D3443" s="15" t="s">
        <v>1026</v>
      </c>
      <c r="E3443" s="15"/>
      <c r="F3443" s="15" t="s">
        <v>971</v>
      </c>
      <c r="G3443" s="15" t="s">
        <v>112</v>
      </c>
      <c r="H3443" s="15"/>
    </row>
    <row r="3444" customFormat="false" ht="26.25" hidden="false" customHeight="true" outlineLevel="0" collapsed="false">
      <c r="A3444" s="15" t="s">
        <v>349</v>
      </c>
      <c r="B3444" s="15" t="s">
        <v>350</v>
      </c>
      <c r="C3444" s="15" t="s">
        <v>743</v>
      </c>
      <c r="D3444" s="15" t="s">
        <v>1027</v>
      </c>
      <c r="E3444" s="15"/>
      <c r="F3444" s="15" t="s">
        <v>971</v>
      </c>
      <c r="G3444" s="15" t="s">
        <v>112</v>
      </c>
      <c r="H3444" s="15"/>
    </row>
    <row r="3445" customFormat="false" ht="26.25" hidden="false" customHeight="true" outlineLevel="0" collapsed="false">
      <c r="A3445" s="15" t="s">
        <v>349</v>
      </c>
      <c r="B3445" s="15" t="s">
        <v>350</v>
      </c>
      <c r="C3445" s="15" t="s">
        <v>851</v>
      </c>
      <c r="D3445" s="15" t="s">
        <v>860</v>
      </c>
      <c r="E3445" s="15"/>
      <c r="F3445" s="15" t="s">
        <v>971</v>
      </c>
      <c r="G3445" s="15" t="s">
        <v>112</v>
      </c>
      <c r="H3445" s="15"/>
    </row>
    <row r="3446" customFormat="false" ht="26.25" hidden="false" customHeight="true" outlineLevel="0" collapsed="false">
      <c r="A3446" s="15" t="s">
        <v>349</v>
      </c>
      <c r="B3446" s="15" t="s">
        <v>350</v>
      </c>
      <c r="C3446" s="15" t="s">
        <v>848</v>
      </c>
      <c r="D3446" s="15" t="s">
        <v>849</v>
      </c>
      <c r="E3446" s="15"/>
      <c r="F3446" s="15" t="s">
        <v>971</v>
      </c>
      <c r="G3446" s="15" t="s">
        <v>112</v>
      </c>
      <c r="H3446" s="15"/>
    </row>
    <row r="3447" customFormat="false" ht="26.25" hidden="false" customHeight="true" outlineLevel="0" collapsed="false">
      <c r="A3447" s="15" t="s">
        <v>349</v>
      </c>
      <c r="B3447" s="15" t="s">
        <v>350</v>
      </c>
      <c r="C3447" s="15" t="s">
        <v>854</v>
      </c>
      <c r="D3447" s="15" t="s">
        <v>1008</v>
      </c>
      <c r="E3447" s="15"/>
      <c r="F3447" s="15" t="s">
        <v>971</v>
      </c>
      <c r="G3447" s="15" t="s">
        <v>112</v>
      </c>
      <c r="H3447" s="15"/>
    </row>
    <row r="3448" customFormat="false" ht="26.25" hidden="false" customHeight="true" outlineLevel="0" collapsed="false">
      <c r="A3448" s="15" t="s">
        <v>349</v>
      </c>
      <c r="B3448" s="15" t="s">
        <v>350</v>
      </c>
      <c r="C3448" s="15" t="s">
        <v>946</v>
      </c>
      <c r="D3448" s="15" t="s">
        <v>958</v>
      </c>
      <c r="E3448" s="15"/>
      <c r="F3448" s="15" t="s">
        <v>971</v>
      </c>
      <c r="G3448" s="15" t="s">
        <v>112</v>
      </c>
      <c r="H3448" s="15"/>
    </row>
    <row r="3449" customFormat="false" ht="26.25" hidden="false" customHeight="true" outlineLevel="0" collapsed="false">
      <c r="A3449" s="15" t="s">
        <v>349</v>
      </c>
      <c r="B3449" s="15" t="s">
        <v>350</v>
      </c>
      <c r="C3449" s="15" t="s">
        <v>762</v>
      </c>
      <c r="D3449" s="15" t="s">
        <v>1028</v>
      </c>
      <c r="E3449" s="15"/>
      <c r="F3449" s="15" t="s">
        <v>971</v>
      </c>
      <c r="G3449" s="15" t="s">
        <v>112</v>
      </c>
      <c r="H3449" s="15"/>
    </row>
    <row r="3450" customFormat="false" ht="26.25" hidden="false" customHeight="true" outlineLevel="0" collapsed="false">
      <c r="A3450" s="15" t="s">
        <v>349</v>
      </c>
      <c r="B3450" s="15" t="s">
        <v>350</v>
      </c>
      <c r="C3450" s="15" t="s">
        <v>763</v>
      </c>
      <c r="D3450" s="15" t="s">
        <v>807</v>
      </c>
      <c r="E3450" s="15"/>
      <c r="F3450" s="15" t="s">
        <v>971</v>
      </c>
      <c r="G3450" s="15" t="s">
        <v>112</v>
      </c>
      <c r="H3450" s="15"/>
    </row>
    <row r="3451" customFormat="false" ht="26.25" hidden="false" customHeight="true" outlineLevel="0" collapsed="false">
      <c r="A3451" s="15" t="s">
        <v>349</v>
      </c>
      <c r="B3451" s="15" t="s">
        <v>350</v>
      </c>
      <c r="C3451" s="15" t="s">
        <v>843</v>
      </c>
      <c r="D3451" s="15" t="s">
        <v>1009</v>
      </c>
      <c r="E3451" s="15"/>
      <c r="F3451" s="15" t="s">
        <v>971</v>
      </c>
      <c r="G3451" s="15" t="s">
        <v>112</v>
      </c>
      <c r="H3451" s="15"/>
    </row>
    <row r="3452" customFormat="false" ht="26.25" hidden="false" customHeight="true" outlineLevel="0" collapsed="false">
      <c r="A3452" s="15" t="s">
        <v>349</v>
      </c>
      <c r="B3452" s="15" t="s">
        <v>350</v>
      </c>
      <c r="C3452" s="15" t="s">
        <v>1010</v>
      </c>
      <c r="D3452" s="15" t="s">
        <v>1011</v>
      </c>
      <c r="E3452" s="15"/>
      <c r="F3452" s="15" t="s">
        <v>971</v>
      </c>
      <c r="G3452" s="15" t="s">
        <v>112</v>
      </c>
      <c r="H3452" s="15" t="s">
        <v>1012</v>
      </c>
    </row>
    <row r="3453" customFormat="false" ht="26.25" hidden="false" customHeight="true" outlineLevel="0" collapsed="false">
      <c r="A3453" s="15" t="s">
        <v>349</v>
      </c>
      <c r="B3453" s="15" t="s">
        <v>350</v>
      </c>
      <c r="C3453" s="15" t="s">
        <v>1014</v>
      </c>
      <c r="D3453" s="15" t="s">
        <v>803</v>
      </c>
      <c r="E3453" s="15"/>
      <c r="F3453" s="15" t="s">
        <v>971</v>
      </c>
      <c r="G3453" s="15" t="s">
        <v>112</v>
      </c>
      <c r="H3453" s="15"/>
    </row>
    <row r="3454" customFormat="false" ht="26.25" hidden="false" customHeight="true" outlineLevel="0" collapsed="false">
      <c r="A3454" s="15" t="s">
        <v>349</v>
      </c>
      <c r="B3454" s="15" t="s">
        <v>350</v>
      </c>
      <c r="C3454" s="15" t="s">
        <v>857</v>
      </c>
      <c r="D3454" s="15" t="s">
        <v>803</v>
      </c>
      <c r="E3454" s="15"/>
      <c r="F3454" s="15" t="s">
        <v>971</v>
      </c>
      <c r="G3454" s="15" t="s">
        <v>112</v>
      </c>
      <c r="H3454" s="15"/>
    </row>
    <row r="3455" customFormat="false" ht="26.25" hidden="false" customHeight="true" outlineLevel="0" collapsed="false">
      <c r="A3455" s="15" t="s">
        <v>349</v>
      </c>
      <c r="B3455" s="15" t="s">
        <v>350</v>
      </c>
      <c r="C3455" s="15" t="s">
        <v>1020</v>
      </c>
      <c r="D3455" s="15" t="s">
        <v>1021</v>
      </c>
      <c r="E3455" s="15"/>
      <c r="F3455" s="15" t="s">
        <v>971</v>
      </c>
      <c r="G3455" s="15" t="s">
        <v>112</v>
      </c>
      <c r="H3455" s="15"/>
    </row>
    <row r="3456" customFormat="false" ht="26.25" hidden="false" customHeight="true" outlineLevel="0" collapsed="false">
      <c r="A3456" s="15" t="s">
        <v>349</v>
      </c>
      <c r="B3456" s="15" t="s">
        <v>350</v>
      </c>
      <c r="C3456" s="15" t="s">
        <v>853</v>
      </c>
      <c r="D3456" s="15" t="s">
        <v>803</v>
      </c>
      <c r="E3456" s="15"/>
      <c r="F3456" s="15" t="s">
        <v>971</v>
      </c>
      <c r="G3456" s="15" t="s">
        <v>112</v>
      </c>
      <c r="H3456" s="15"/>
    </row>
    <row r="3457" customFormat="false" ht="26.25" hidden="false" customHeight="true" outlineLevel="0" collapsed="false">
      <c r="A3457" s="15" t="s">
        <v>349</v>
      </c>
      <c r="B3457" s="15" t="s">
        <v>350</v>
      </c>
      <c r="C3457" s="15" t="s">
        <v>886</v>
      </c>
      <c r="D3457" s="15" t="s">
        <v>803</v>
      </c>
      <c r="E3457" s="15"/>
      <c r="F3457" s="15" t="s">
        <v>971</v>
      </c>
      <c r="G3457" s="15" t="s">
        <v>112</v>
      </c>
      <c r="H3457" s="15"/>
    </row>
    <row r="3458" customFormat="false" ht="26.25" hidden="false" customHeight="true" outlineLevel="0" collapsed="false">
      <c r="A3458" s="15" t="s">
        <v>349</v>
      </c>
      <c r="B3458" s="15" t="s">
        <v>350</v>
      </c>
      <c r="C3458" s="15" t="s">
        <v>1029</v>
      </c>
      <c r="D3458" s="15" t="s">
        <v>1030</v>
      </c>
      <c r="E3458" s="15"/>
      <c r="F3458" s="15" t="s">
        <v>971</v>
      </c>
      <c r="G3458" s="15" t="s">
        <v>112</v>
      </c>
      <c r="H3458" s="15"/>
    </row>
    <row r="3459" customFormat="false" ht="26.25" hidden="false" customHeight="true" outlineLevel="0" collapsed="false">
      <c r="A3459" s="15" t="s">
        <v>349</v>
      </c>
      <c r="B3459" s="15" t="s">
        <v>350</v>
      </c>
      <c r="C3459" s="15" t="s">
        <v>1031</v>
      </c>
      <c r="D3459" s="15" t="s">
        <v>1032</v>
      </c>
      <c r="E3459" s="15"/>
      <c r="F3459" s="15" t="s">
        <v>971</v>
      </c>
      <c r="G3459" s="15" t="s">
        <v>112</v>
      </c>
      <c r="H3459" s="15"/>
    </row>
    <row r="3460" customFormat="false" ht="26.25" hidden="false" customHeight="true" outlineLevel="0" collapsed="false">
      <c r="A3460" s="15" t="s">
        <v>349</v>
      </c>
      <c r="B3460" s="15" t="s">
        <v>350</v>
      </c>
      <c r="C3460" s="15" t="s">
        <v>1037</v>
      </c>
      <c r="D3460" s="15" t="s">
        <v>803</v>
      </c>
      <c r="E3460" s="15"/>
      <c r="F3460" s="15" t="s">
        <v>971</v>
      </c>
      <c r="G3460" s="15" t="s">
        <v>112</v>
      </c>
      <c r="H3460" s="15"/>
    </row>
    <row r="3461" customFormat="false" ht="26.25" hidden="false" customHeight="true" outlineLevel="0" collapsed="false">
      <c r="A3461" s="15" t="s">
        <v>349</v>
      </c>
      <c r="B3461" s="15" t="s">
        <v>350</v>
      </c>
      <c r="C3461" s="15" t="s">
        <v>1038</v>
      </c>
      <c r="D3461" s="15" t="s">
        <v>803</v>
      </c>
      <c r="E3461" s="15"/>
      <c r="F3461" s="15" t="s">
        <v>971</v>
      </c>
      <c r="G3461" s="15" t="s">
        <v>112</v>
      </c>
      <c r="H3461" s="15"/>
    </row>
    <row r="3462" customFormat="false" ht="15" hidden="false" customHeight="true" outlineLevel="0" collapsed="false">
      <c r="A3462" s="15" t="s">
        <v>398</v>
      </c>
      <c r="B3462" s="15" t="s">
        <v>400</v>
      </c>
      <c r="C3462" s="15" t="s">
        <v>769</v>
      </c>
      <c r="D3462" s="15" t="n">
        <v>5</v>
      </c>
      <c r="E3462" s="15" t="s">
        <v>721</v>
      </c>
      <c r="F3462" s="15" t="s">
        <v>1039</v>
      </c>
      <c r="G3462" s="15" t="s">
        <v>112</v>
      </c>
      <c r="H3462" s="15"/>
    </row>
    <row r="3463" customFormat="false" ht="15" hidden="false" customHeight="true" outlineLevel="0" collapsed="false">
      <c r="A3463" s="15" t="s">
        <v>398</v>
      </c>
      <c r="B3463" s="15" t="s">
        <v>400</v>
      </c>
      <c r="C3463" s="15" t="s">
        <v>935</v>
      </c>
      <c r="D3463" s="15" t="s">
        <v>936</v>
      </c>
      <c r="E3463" s="15"/>
      <c r="F3463" s="15" t="s">
        <v>1039</v>
      </c>
      <c r="G3463" s="15" t="s">
        <v>112</v>
      </c>
      <c r="H3463" s="15"/>
    </row>
    <row r="3464" customFormat="false" ht="15" hidden="false" customHeight="true" outlineLevel="0" collapsed="false">
      <c r="A3464" s="15" t="s">
        <v>398</v>
      </c>
      <c r="B3464" s="15" t="s">
        <v>400</v>
      </c>
      <c r="C3464" s="15" t="s">
        <v>84</v>
      </c>
      <c r="D3464" s="15" t="n">
        <v>205</v>
      </c>
      <c r="E3464" s="15" t="s">
        <v>725</v>
      </c>
      <c r="F3464" s="15" t="s">
        <v>1039</v>
      </c>
      <c r="G3464" s="15" t="s">
        <v>112</v>
      </c>
      <c r="H3464" s="15"/>
    </row>
    <row r="3465" customFormat="false" ht="15" hidden="false" customHeight="true" outlineLevel="0" collapsed="false">
      <c r="A3465" s="15" t="s">
        <v>398</v>
      </c>
      <c r="B3465" s="15" t="s">
        <v>400</v>
      </c>
      <c r="C3465" s="15" t="s">
        <v>722</v>
      </c>
      <c r="D3465" s="15" t="n">
        <v>622</v>
      </c>
      <c r="E3465" s="15" t="s">
        <v>723</v>
      </c>
      <c r="F3465" s="15" t="s">
        <v>1039</v>
      </c>
      <c r="G3465" s="15" t="s">
        <v>112</v>
      </c>
      <c r="H3465" s="15"/>
    </row>
    <row r="3466" customFormat="false" ht="15" hidden="false" customHeight="true" outlineLevel="0" collapsed="false">
      <c r="A3466" s="15" t="s">
        <v>398</v>
      </c>
      <c r="B3466" s="15" t="s">
        <v>400</v>
      </c>
      <c r="C3466" s="15" t="s">
        <v>726</v>
      </c>
      <c r="D3466" s="15" t="n">
        <v>4340</v>
      </c>
      <c r="E3466" s="15" t="s">
        <v>725</v>
      </c>
      <c r="F3466" s="15" t="s">
        <v>1039</v>
      </c>
      <c r="G3466" s="15" t="s">
        <v>112</v>
      </c>
      <c r="H3466" s="15"/>
    </row>
    <row r="3467" customFormat="false" ht="15" hidden="false" customHeight="true" outlineLevel="0" collapsed="false">
      <c r="A3467" s="15" t="s">
        <v>398</v>
      </c>
      <c r="B3467" s="15" t="s">
        <v>400</v>
      </c>
      <c r="C3467" s="15" t="s">
        <v>727</v>
      </c>
      <c r="D3467" s="15" t="n">
        <v>1841</v>
      </c>
      <c r="E3467" s="15" t="s">
        <v>725</v>
      </c>
      <c r="F3467" s="15" t="s">
        <v>1039</v>
      </c>
      <c r="G3467" s="15" t="s">
        <v>112</v>
      </c>
      <c r="H3467" s="15"/>
    </row>
    <row r="3468" customFormat="false" ht="15" hidden="false" customHeight="true" outlineLevel="0" collapsed="false">
      <c r="A3468" s="15" t="s">
        <v>398</v>
      </c>
      <c r="B3468" s="15" t="s">
        <v>400</v>
      </c>
      <c r="C3468" s="15" t="s">
        <v>728</v>
      </c>
      <c r="D3468" s="15" t="n">
        <v>1750</v>
      </c>
      <c r="E3468" s="15" t="s">
        <v>725</v>
      </c>
      <c r="F3468" s="15" t="s">
        <v>1039</v>
      </c>
      <c r="G3468" s="15" t="s">
        <v>112</v>
      </c>
      <c r="H3468" s="15"/>
    </row>
    <row r="3469" customFormat="false" ht="15" hidden="false" customHeight="true" outlineLevel="0" collapsed="false">
      <c r="A3469" s="15" t="s">
        <v>398</v>
      </c>
      <c r="B3469" s="15" t="s">
        <v>400</v>
      </c>
      <c r="C3469" s="15" t="s">
        <v>729</v>
      </c>
      <c r="D3469" s="15" t="n">
        <v>2730</v>
      </c>
      <c r="E3469" s="15" t="s">
        <v>725</v>
      </c>
      <c r="F3469" s="15" t="s">
        <v>1039</v>
      </c>
      <c r="G3469" s="15" t="s">
        <v>112</v>
      </c>
      <c r="H3469" s="15"/>
    </row>
    <row r="3470" customFormat="false" ht="15" hidden="false" customHeight="true" outlineLevel="0" collapsed="false">
      <c r="A3470" s="15" t="s">
        <v>398</v>
      </c>
      <c r="B3470" s="15" t="s">
        <v>400</v>
      </c>
      <c r="C3470" s="15" t="s">
        <v>789</v>
      </c>
      <c r="D3470" s="15" t="s">
        <v>790</v>
      </c>
      <c r="E3470" s="15"/>
      <c r="F3470" s="15" t="s">
        <v>1039</v>
      </c>
      <c r="G3470" s="15" t="s">
        <v>112</v>
      </c>
      <c r="H3470" s="15"/>
    </row>
    <row r="3471" customFormat="false" ht="15" hidden="false" customHeight="true" outlineLevel="0" collapsed="false">
      <c r="A3471" s="15" t="s">
        <v>398</v>
      </c>
      <c r="B3471" s="15" t="s">
        <v>400</v>
      </c>
      <c r="C3471" s="15" t="s">
        <v>960</v>
      </c>
      <c r="D3471" s="15" t="n">
        <v>3.3</v>
      </c>
      <c r="E3471" s="15"/>
      <c r="F3471" s="15" t="s">
        <v>1039</v>
      </c>
      <c r="G3471" s="15" t="s">
        <v>112</v>
      </c>
      <c r="H3471" s="15"/>
    </row>
    <row r="3472" customFormat="false" ht="39" hidden="false" customHeight="true" outlineLevel="0" collapsed="false">
      <c r="A3472" s="15" t="s">
        <v>398</v>
      </c>
      <c r="B3472" s="15" t="s">
        <v>400</v>
      </c>
      <c r="C3472" s="15" t="s">
        <v>98</v>
      </c>
      <c r="D3472" s="15" t="s">
        <v>950</v>
      </c>
      <c r="E3472" s="15"/>
      <c r="F3472" s="15" t="s">
        <v>1039</v>
      </c>
      <c r="G3472" s="15" t="s">
        <v>112</v>
      </c>
      <c r="H3472" s="15"/>
    </row>
    <row r="3473" customFormat="false" ht="15" hidden="false" customHeight="true" outlineLevel="0" collapsed="false">
      <c r="A3473" s="15" t="s">
        <v>398</v>
      </c>
      <c r="B3473" s="15" t="s">
        <v>400</v>
      </c>
      <c r="C3473" s="15" t="s">
        <v>835</v>
      </c>
      <c r="D3473" s="15" t="s">
        <v>836</v>
      </c>
      <c r="E3473" s="15"/>
      <c r="F3473" s="15" t="s">
        <v>1039</v>
      </c>
      <c r="G3473" s="15" t="s">
        <v>112</v>
      </c>
      <c r="H3473" s="15"/>
    </row>
    <row r="3474" customFormat="false" ht="15" hidden="false" customHeight="true" outlineLevel="0" collapsed="false">
      <c r="A3474" s="15" t="s">
        <v>398</v>
      </c>
      <c r="B3474" s="15" t="s">
        <v>400</v>
      </c>
      <c r="C3474" s="15" t="s">
        <v>833</v>
      </c>
      <c r="D3474" s="15" t="s">
        <v>938</v>
      </c>
      <c r="E3474" s="15"/>
      <c r="F3474" s="15" t="s">
        <v>1039</v>
      </c>
      <c r="G3474" s="15" t="s">
        <v>112</v>
      </c>
      <c r="H3474" s="15"/>
    </row>
    <row r="3475" customFormat="false" ht="15" hidden="false" customHeight="true" outlineLevel="0" collapsed="false">
      <c r="A3475" s="15" t="s">
        <v>398</v>
      </c>
      <c r="B3475" s="15" t="s">
        <v>400</v>
      </c>
      <c r="C3475" s="15" t="s">
        <v>86</v>
      </c>
      <c r="D3475" s="15" t="n">
        <v>6</v>
      </c>
      <c r="E3475" s="15" t="s">
        <v>721</v>
      </c>
      <c r="F3475" s="15" t="s">
        <v>1039</v>
      </c>
      <c r="G3475" s="15" t="s">
        <v>112</v>
      </c>
      <c r="H3475" s="15"/>
    </row>
    <row r="3476" customFormat="false" ht="26.25" hidden="false" customHeight="true" outlineLevel="0" collapsed="false">
      <c r="A3476" s="15" t="s">
        <v>398</v>
      </c>
      <c r="B3476" s="15" t="s">
        <v>400</v>
      </c>
      <c r="C3476" s="15" t="s">
        <v>737</v>
      </c>
      <c r="D3476" s="15" t="n">
        <v>175</v>
      </c>
      <c r="E3476" s="15" t="s">
        <v>738</v>
      </c>
      <c r="F3476" s="15" t="s">
        <v>1039</v>
      </c>
      <c r="G3476" s="15" t="s">
        <v>112</v>
      </c>
      <c r="H3476" s="15" t="s">
        <v>1040</v>
      </c>
    </row>
    <row r="3477" customFormat="false" ht="15" hidden="false" customHeight="true" outlineLevel="0" collapsed="false">
      <c r="A3477" s="15" t="s">
        <v>398</v>
      </c>
      <c r="B3477" s="15" t="s">
        <v>400</v>
      </c>
      <c r="C3477" s="15" t="s">
        <v>714</v>
      </c>
      <c r="D3477" s="15" t="n">
        <v>315</v>
      </c>
      <c r="E3477" s="15" t="s">
        <v>715</v>
      </c>
      <c r="F3477" s="15" t="s">
        <v>1039</v>
      </c>
      <c r="G3477" s="15" t="s">
        <v>112</v>
      </c>
      <c r="H3477" s="15"/>
    </row>
    <row r="3478" customFormat="false" ht="15" hidden="false" customHeight="true" outlineLevel="0" collapsed="false">
      <c r="A3478" s="15" t="s">
        <v>398</v>
      </c>
      <c r="B3478" s="15" t="s">
        <v>400</v>
      </c>
      <c r="C3478" s="15" t="s">
        <v>718</v>
      </c>
      <c r="D3478" s="15" t="s">
        <v>113</v>
      </c>
      <c r="E3478" s="15"/>
      <c r="F3478" s="15" t="s">
        <v>1039</v>
      </c>
      <c r="G3478" s="15" t="s">
        <v>112</v>
      </c>
      <c r="H3478" s="15"/>
    </row>
    <row r="3479" customFormat="false" ht="15" hidden="false" customHeight="true" outlineLevel="0" collapsed="false">
      <c r="A3479" s="15" t="s">
        <v>398</v>
      </c>
      <c r="B3479" s="15" t="s">
        <v>400</v>
      </c>
      <c r="C3479" s="15" t="s">
        <v>724</v>
      </c>
      <c r="D3479" s="15" t="n">
        <v>55</v>
      </c>
      <c r="E3479" s="15" t="s">
        <v>723</v>
      </c>
      <c r="F3479" s="15" t="s">
        <v>1039</v>
      </c>
      <c r="G3479" s="15" t="s">
        <v>112</v>
      </c>
      <c r="H3479" s="15"/>
    </row>
    <row r="3480" customFormat="false" ht="15" hidden="false" customHeight="true" outlineLevel="0" collapsed="false">
      <c r="A3480" s="15" t="s">
        <v>398</v>
      </c>
      <c r="B3480" s="15" t="s">
        <v>400</v>
      </c>
      <c r="C3480" s="15" t="s">
        <v>1003</v>
      </c>
      <c r="D3480" s="15" t="n">
        <v>34</v>
      </c>
      <c r="E3480" s="15"/>
      <c r="F3480" s="15" t="s">
        <v>1039</v>
      </c>
      <c r="G3480" s="15" t="s">
        <v>112</v>
      </c>
      <c r="H3480" s="15"/>
    </row>
    <row r="3481" customFormat="false" ht="15" hidden="false" customHeight="true" outlineLevel="0" collapsed="false">
      <c r="A3481" s="15" t="s">
        <v>398</v>
      </c>
      <c r="B3481" s="15" t="s">
        <v>400</v>
      </c>
      <c r="C3481" s="15" t="s">
        <v>719</v>
      </c>
      <c r="D3481" s="15" t="n">
        <v>25</v>
      </c>
      <c r="E3481" s="15" t="s">
        <v>720</v>
      </c>
      <c r="F3481" s="15" t="s">
        <v>1039</v>
      </c>
      <c r="G3481" s="15" t="s">
        <v>112</v>
      </c>
      <c r="H3481" s="15"/>
    </row>
    <row r="3482" customFormat="false" ht="15" hidden="false" customHeight="true" outlineLevel="0" collapsed="false">
      <c r="A3482" s="15" t="s">
        <v>398</v>
      </c>
      <c r="B3482" s="15" t="s">
        <v>400</v>
      </c>
      <c r="C3482" s="15" t="s">
        <v>739</v>
      </c>
      <c r="D3482" s="15" t="s">
        <v>1041</v>
      </c>
      <c r="E3482" s="15" t="s">
        <v>738</v>
      </c>
      <c r="F3482" s="15" t="s">
        <v>1039</v>
      </c>
      <c r="G3482" s="15" t="s">
        <v>112</v>
      </c>
      <c r="H3482" s="15"/>
    </row>
    <row r="3483" customFormat="false" ht="26.25" hidden="false" customHeight="true" outlineLevel="0" collapsed="false">
      <c r="A3483" s="15" t="s">
        <v>398</v>
      </c>
      <c r="B3483" s="15" t="s">
        <v>400</v>
      </c>
      <c r="C3483" s="15" t="s">
        <v>940</v>
      </c>
      <c r="D3483" s="15" t="n">
        <v>8.9</v>
      </c>
      <c r="E3483" s="15"/>
      <c r="F3483" s="15" t="s">
        <v>1039</v>
      </c>
      <c r="G3483" s="15" t="s">
        <v>112</v>
      </c>
      <c r="H3483" s="15"/>
    </row>
    <row r="3484" customFormat="false" ht="15" hidden="false" customHeight="true" outlineLevel="0" collapsed="false">
      <c r="A3484" s="15" t="s">
        <v>398</v>
      </c>
      <c r="B3484" s="15" t="s">
        <v>400</v>
      </c>
      <c r="C3484" s="15" t="s">
        <v>733</v>
      </c>
      <c r="D3484" s="15" t="s">
        <v>1042</v>
      </c>
      <c r="E3484" s="15"/>
      <c r="F3484" s="15" t="s">
        <v>1039</v>
      </c>
      <c r="G3484" s="15" t="s">
        <v>112</v>
      </c>
      <c r="H3484" s="15"/>
    </row>
    <row r="3485" customFormat="false" ht="26.25" hidden="false" customHeight="true" outlineLevel="0" collapsed="false">
      <c r="A3485" s="15" t="s">
        <v>398</v>
      </c>
      <c r="B3485" s="15" t="s">
        <v>400</v>
      </c>
      <c r="C3485" s="15" t="s">
        <v>102</v>
      </c>
      <c r="D3485" s="15" t="s">
        <v>750</v>
      </c>
      <c r="E3485" s="15"/>
      <c r="F3485" s="15" t="s">
        <v>1039</v>
      </c>
      <c r="G3485" s="15" t="s">
        <v>112</v>
      </c>
      <c r="H3485" s="15" t="s">
        <v>1043</v>
      </c>
    </row>
    <row r="3486" customFormat="false" ht="15" hidden="false" customHeight="true" outlineLevel="0" collapsed="false">
      <c r="A3486" s="15" t="s">
        <v>398</v>
      </c>
      <c r="B3486" s="15" t="s">
        <v>400</v>
      </c>
      <c r="C3486" s="15" t="s">
        <v>776</v>
      </c>
      <c r="D3486" s="15" t="s">
        <v>1044</v>
      </c>
      <c r="E3486" s="15"/>
      <c r="F3486" s="15" t="s">
        <v>1039</v>
      </c>
      <c r="G3486" s="15" t="s">
        <v>112</v>
      </c>
      <c r="H3486" s="15"/>
    </row>
    <row r="3487" customFormat="false" ht="15" hidden="false" customHeight="true" outlineLevel="0" collapsed="false">
      <c r="A3487" s="15" t="s">
        <v>398</v>
      </c>
      <c r="B3487" s="15" t="s">
        <v>400</v>
      </c>
      <c r="C3487" s="15" t="s">
        <v>749</v>
      </c>
      <c r="D3487" s="15" t="s">
        <v>750</v>
      </c>
      <c r="E3487" s="15"/>
      <c r="F3487" s="15" t="s">
        <v>971</v>
      </c>
      <c r="G3487" s="15" t="s">
        <v>112</v>
      </c>
      <c r="H3487" s="15"/>
    </row>
    <row r="3488" customFormat="false" ht="15" hidden="false" customHeight="true" outlineLevel="0" collapsed="false">
      <c r="A3488" s="15" t="s">
        <v>398</v>
      </c>
      <c r="B3488" s="15" t="s">
        <v>400</v>
      </c>
      <c r="C3488" s="15" t="s">
        <v>752</v>
      </c>
      <c r="D3488" s="15" t="s">
        <v>1045</v>
      </c>
      <c r="E3488" s="15"/>
      <c r="F3488" s="15" t="s">
        <v>971</v>
      </c>
      <c r="G3488" s="15" t="s">
        <v>112</v>
      </c>
      <c r="H3488" s="15"/>
    </row>
    <row r="3489" customFormat="false" ht="15" hidden="false" customHeight="true" outlineLevel="0" collapsed="false">
      <c r="A3489" s="15" t="s">
        <v>398</v>
      </c>
      <c r="B3489" s="15" t="s">
        <v>400</v>
      </c>
      <c r="C3489" s="15" t="s">
        <v>90</v>
      </c>
      <c r="D3489" s="15" t="s">
        <v>750</v>
      </c>
      <c r="E3489" s="15"/>
      <c r="F3489" s="15" t="s">
        <v>971</v>
      </c>
      <c r="G3489" s="15" t="s">
        <v>112</v>
      </c>
      <c r="H3489" s="15"/>
    </row>
    <row r="3490" customFormat="false" ht="15" hidden="false" customHeight="true" outlineLevel="0" collapsed="false">
      <c r="A3490" s="15" t="s">
        <v>398</v>
      </c>
      <c r="B3490" s="15" t="s">
        <v>400</v>
      </c>
      <c r="C3490" s="15" t="s">
        <v>743</v>
      </c>
      <c r="D3490" s="15" t="s">
        <v>957</v>
      </c>
      <c r="E3490" s="15"/>
      <c r="F3490" s="15" t="s">
        <v>971</v>
      </c>
      <c r="G3490" s="15" t="s">
        <v>112</v>
      </c>
      <c r="H3490" s="15"/>
    </row>
    <row r="3491" customFormat="false" ht="15" hidden="false" customHeight="true" outlineLevel="0" collapsed="false">
      <c r="A3491" s="15" t="s">
        <v>398</v>
      </c>
      <c r="B3491" s="15" t="s">
        <v>400</v>
      </c>
      <c r="C3491" s="15" t="s">
        <v>759</v>
      </c>
      <c r="D3491" s="15" t="s">
        <v>1046</v>
      </c>
      <c r="E3491" s="15"/>
      <c r="F3491" s="15" t="s">
        <v>971</v>
      </c>
      <c r="G3491" s="15" t="s">
        <v>112</v>
      </c>
      <c r="H3491" s="15"/>
    </row>
    <row r="3492" customFormat="false" ht="15" hidden="false" customHeight="true" outlineLevel="0" collapsed="false">
      <c r="A3492" s="15" t="s">
        <v>398</v>
      </c>
      <c r="B3492" s="15" t="s">
        <v>400</v>
      </c>
      <c r="C3492" s="15" t="s">
        <v>754</v>
      </c>
      <c r="D3492" s="15" t="s">
        <v>755</v>
      </c>
      <c r="E3492" s="15"/>
      <c r="F3492" s="15" t="s">
        <v>971</v>
      </c>
      <c r="G3492" s="15" t="s">
        <v>112</v>
      </c>
      <c r="H3492" s="15"/>
    </row>
    <row r="3493" customFormat="false" ht="15" hidden="false" customHeight="true" outlineLevel="0" collapsed="false">
      <c r="A3493" s="15" t="s">
        <v>398</v>
      </c>
      <c r="B3493" s="15" t="s">
        <v>400</v>
      </c>
      <c r="C3493" s="15" t="s">
        <v>756</v>
      </c>
      <c r="D3493" s="15" t="s">
        <v>755</v>
      </c>
      <c r="E3493" s="15"/>
      <c r="F3493" s="15" t="s">
        <v>971</v>
      </c>
      <c r="G3493" s="15" t="s">
        <v>112</v>
      </c>
      <c r="H3493" s="15"/>
    </row>
    <row r="3494" customFormat="false" ht="15" hidden="false" customHeight="true" outlineLevel="0" collapsed="false">
      <c r="A3494" s="15" t="s">
        <v>398</v>
      </c>
      <c r="B3494" s="15" t="s">
        <v>400</v>
      </c>
      <c r="C3494" s="15" t="s">
        <v>757</v>
      </c>
      <c r="D3494" s="15" t="s">
        <v>1047</v>
      </c>
      <c r="E3494" s="15"/>
      <c r="F3494" s="15" t="s">
        <v>971</v>
      </c>
      <c r="G3494" s="15" t="s">
        <v>112</v>
      </c>
      <c r="H3494" s="15"/>
    </row>
    <row r="3495" customFormat="false" ht="15" hidden="false" customHeight="true" outlineLevel="0" collapsed="false">
      <c r="A3495" s="15" t="s">
        <v>398</v>
      </c>
      <c r="B3495" s="15" t="s">
        <v>400</v>
      </c>
      <c r="C3495" s="15" t="s">
        <v>851</v>
      </c>
      <c r="D3495" s="15" t="s">
        <v>1047</v>
      </c>
      <c r="E3495" s="15"/>
      <c r="F3495" s="15" t="s">
        <v>971</v>
      </c>
      <c r="G3495" s="15" t="s">
        <v>112</v>
      </c>
      <c r="H3495" s="15"/>
    </row>
    <row r="3496" customFormat="false" ht="15" hidden="false" customHeight="true" outlineLevel="0" collapsed="false">
      <c r="A3496" s="15" t="s">
        <v>398</v>
      </c>
      <c r="B3496" s="15" t="s">
        <v>400</v>
      </c>
      <c r="C3496" s="15" t="s">
        <v>946</v>
      </c>
      <c r="D3496" s="15" t="s">
        <v>755</v>
      </c>
      <c r="E3496" s="15"/>
      <c r="F3496" s="15" t="s">
        <v>971</v>
      </c>
      <c r="G3496" s="15" t="s">
        <v>112</v>
      </c>
      <c r="H3496" s="15"/>
    </row>
    <row r="3497" customFormat="false" ht="15" hidden="false" customHeight="true" outlineLevel="0" collapsed="false">
      <c r="A3497" s="15" t="s">
        <v>398</v>
      </c>
      <c r="B3497" s="15" t="s">
        <v>400</v>
      </c>
      <c r="C3497" s="15" t="s">
        <v>853</v>
      </c>
      <c r="D3497" s="15" t="s">
        <v>755</v>
      </c>
      <c r="E3497" s="15"/>
      <c r="F3497" s="15" t="s">
        <v>971</v>
      </c>
      <c r="G3497" s="15" t="s">
        <v>112</v>
      </c>
      <c r="H3497" s="15"/>
    </row>
    <row r="3498" customFormat="false" ht="15" hidden="false" customHeight="true" outlineLevel="0" collapsed="false">
      <c r="A3498" s="15" t="s">
        <v>398</v>
      </c>
      <c r="B3498" s="15" t="s">
        <v>400</v>
      </c>
      <c r="C3498" s="15" t="s">
        <v>857</v>
      </c>
      <c r="D3498" s="15" t="s">
        <v>755</v>
      </c>
      <c r="E3498" s="15"/>
      <c r="F3498" s="15" t="s">
        <v>971</v>
      </c>
      <c r="G3498" s="15" t="s">
        <v>112</v>
      </c>
      <c r="H3498" s="15"/>
    </row>
    <row r="3499" customFormat="false" ht="15" hidden="false" customHeight="true" outlineLevel="0" collapsed="false">
      <c r="A3499" s="15" t="s">
        <v>398</v>
      </c>
      <c r="B3499" s="15" t="s">
        <v>400</v>
      </c>
      <c r="C3499" s="15" t="s">
        <v>761</v>
      </c>
      <c r="D3499" s="15" t="s">
        <v>755</v>
      </c>
      <c r="E3499" s="15"/>
      <c r="F3499" s="15" t="s">
        <v>971</v>
      </c>
      <c r="G3499" s="15" t="s">
        <v>112</v>
      </c>
      <c r="H3499" s="15"/>
    </row>
    <row r="3500" customFormat="false" ht="15" hidden="false" customHeight="true" outlineLevel="0" collapsed="false">
      <c r="A3500" s="15" t="s">
        <v>398</v>
      </c>
      <c r="B3500" s="15" t="s">
        <v>400</v>
      </c>
      <c r="C3500" s="15" t="s">
        <v>762</v>
      </c>
      <c r="D3500" s="15" t="s">
        <v>755</v>
      </c>
      <c r="E3500" s="15"/>
      <c r="F3500" s="15" t="s">
        <v>971</v>
      </c>
      <c r="G3500" s="15" t="s">
        <v>112</v>
      </c>
      <c r="H3500" s="15"/>
    </row>
    <row r="3501" customFormat="false" ht="26.25" hidden="false" customHeight="true" outlineLevel="0" collapsed="false">
      <c r="A3501" s="15" t="s">
        <v>398</v>
      </c>
      <c r="B3501" s="15" t="s">
        <v>400</v>
      </c>
      <c r="C3501" s="15" t="s">
        <v>843</v>
      </c>
      <c r="D3501" s="15" t="s">
        <v>1048</v>
      </c>
      <c r="E3501" s="15"/>
      <c r="F3501" s="15" t="s">
        <v>971</v>
      </c>
      <c r="G3501" s="15" t="s">
        <v>112</v>
      </c>
      <c r="H3501" s="15"/>
    </row>
    <row r="3502" customFormat="false" ht="26.25" hidden="false" customHeight="true" outlineLevel="0" collapsed="false">
      <c r="A3502" s="15" t="s">
        <v>398</v>
      </c>
      <c r="B3502" s="15" t="s">
        <v>400</v>
      </c>
      <c r="C3502" s="15" t="s">
        <v>1010</v>
      </c>
      <c r="D3502" s="15" t="s">
        <v>1049</v>
      </c>
      <c r="E3502" s="15"/>
      <c r="F3502" s="15" t="s">
        <v>971</v>
      </c>
      <c r="G3502" s="15" t="s">
        <v>112</v>
      </c>
      <c r="H3502" s="15" t="s">
        <v>1050</v>
      </c>
    </row>
    <row r="3503" customFormat="false" ht="15" hidden="false" customHeight="true" outlineLevel="0" collapsed="false">
      <c r="A3503" s="15" t="s">
        <v>403</v>
      </c>
      <c r="B3503" s="15" t="s">
        <v>404</v>
      </c>
      <c r="C3503" s="15" t="s">
        <v>769</v>
      </c>
      <c r="D3503" s="15" t="n">
        <v>5</v>
      </c>
      <c r="E3503" s="15" t="s">
        <v>721</v>
      </c>
      <c r="F3503" s="15" t="s">
        <v>1039</v>
      </c>
      <c r="G3503" s="15" t="s">
        <v>112</v>
      </c>
      <c r="H3503" s="15"/>
    </row>
    <row r="3504" customFormat="false" ht="15" hidden="false" customHeight="true" outlineLevel="0" collapsed="false">
      <c r="A3504" s="15" t="s">
        <v>403</v>
      </c>
      <c r="B3504" s="15" t="s">
        <v>404</v>
      </c>
      <c r="C3504" s="15" t="s">
        <v>935</v>
      </c>
      <c r="D3504" s="15" t="s">
        <v>936</v>
      </c>
      <c r="E3504" s="15"/>
      <c r="F3504" s="15" t="s">
        <v>1039</v>
      </c>
      <c r="G3504" s="15" t="s">
        <v>112</v>
      </c>
      <c r="H3504" s="15"/>
    </row>
    <row r="3505" customFormat="false" ht="15" hidden="false" customHeight="true" outlineLevel="0" collapsed="false">
      <c r="A3505" s="15" t="s">
        <v>403</v>
      </c>
      <c r="B3505" s="15" t="s">
        <v>404</v>
      </c>
      <c r="C3505" s="15" t="s">
        <v>84</v>
      </c>
      <c r="D3505" s="15" t="n">
        <v>205</v>
      </c>
      <c r="E3505" s="15" t="s">
        <v>725</v>
      </c>
      <c r="F3505" s="15" t="s">
        <v>1039</v>
      </c>
      <c r="G3505" s="15" t="s">
        <v>112</v>
      </c>
      <c r="H3505" s="15"/>
    </row>
    <row r="3506" customFormat="false" ht="15" hidden="false" customHeight="true" outlineLevel="0" collapsed="false">
      <c r="A3506" s="15" t="s">
        <v>403</v>
      </c>
      <c r="B3506" s="15" t="s">
        <v>404</v>
      </c>
      <c r="C3506" s="15" t="s">
        <v>722</v>
      </c>
      <c r="D3506" s="15" t="n">
        <v>622</v>
      </c>
      <c r="E3506" s="15" t="s">
        <v>723</v>
      </c>
      <c r="F3506" s="15" t="s">
        <v>1039</v>
      </c>
      <c r="G3506" s="15" t="s">
        <v>112</v>
      </c>
      <c r="H3506" s="15"/>
    </row>
    <row r="3507" customFormat="false" ht="15" hidden="false" customHeight="true" outlineLevel="0" collapsed="false">
      <c r="A3507" s="15" t="s">
        <v>403</v>
      </c>
      <c r="B3507" s="15" t="s">
        <v>404</v>
      </c>
      <c r="C3507" s="15" t="s">
        <v>726</v>
      </c>
      <c r="D3507" s="15" t="n">
        <v>4340</v>
      </c>
      <c r="E3507" s="15" t="s">
        <v>725</v>
      </c>
      <c r="F3507" s="15" t="s">
        <v>1039</v>
      </c>
      <c r="G3507" s="15" t="s">
        <v>112</v>
      </c>
      <c r="H3507" s="15"/>
    </row>
    <row r="3508" customFormat="false" ht="15" hidden="false" customHeight="true" outlineLevel="0" collapsed="false">
      <c r="A3508" s="15" t="s">
        <v>403</v>
      </c>
      <c r="B3508" s="15" t="s">
        <v>404</v>
      </c>
      <c r="C3508" s="15" t="s">
        <v>727</v>
      </c>
      <c r="D3508" s="15" t="n">
        <v>1841</v>
      </c>
      <c r="E3508" s="15" t="s">
        <v>725</v>
      </c>
      <c r="F3508" s="15" t="s">
        <v>1039</v>
      </c>
      <c r="G3508" s="15" t="s">
        <v>112</v>
      </c>
      <c r="H3508" s="15"/>
    </row>
    <row r="3509" customFormat="false" ht="15" hidden="false" customHeight="true" outlineLevel="0" collapsed="false">
      <c r="A3509" s="15" t="s">
        <v>403</v>
      </c>
      <c r="B3509" s="15" t="s">
        <v>404</v>
      </c>
      <c r="C3509" s="15" t="s">
        <v>728</v>
      </c>
      <c r="D3509" s="15" t="n">
        <v>1750</v>
      </c>
      <c r="E3509" s="15" t="s">
        <v>725</v>
      </c>
      <c r="F3509" s="15" t="s">
        <v>1039</v>
      </c>
      <c r="G3509" s="15" t="s">
        <v>112</v>
      </c>
      <c r="H3509" s="15"/>
    </row>
    <row r="3510" customFormat="false" ht="15" hidden="false" customHeight="true" outlineLevel="0" collapsed="false">
      <c r="A3510" s="15" t="s">
        <v>403</v>
      </c>
      <c r="B3510" s="15" t="s">
        <v>404</v>
      </c>
      <c r="C3510" s="15" t="s">
        <v>729</v>
      </c>
      <c r="D3510" s="15" t="n">
        <v>2730</v>
      </c>
      <c r="E3510" s="15" t="s">
        <v>725</v>
      </c>
      <c r="F3510" s="15" t="s">
        <v>1039</v>
      </c>
      <c r="G3510" s="15" t="s">
        <v>112</v>
      </c>
      <c r="H3510" s="15"/>
    </row>
    <row r="3511" customFormat="false" ht="15" hidden="false" customHeight="true" outlineLevel="0" collapsed="false">
      <c r="A3511" s="15" t="s">
        <v>403</v>
      </c>
      <c r="B3511" s="15" t="s">
        <v>404</v>
      </c>
      <c r="C3511" s="15" t="s">
        <v>789</v>
      </c>
      <c r="D3511" s="15" t="s">
        <v>790</v>
      </c>
      <c r="E3511" s="15"/>
      <c r="F3511" s="15" t="s">
        <v>1039</v>
      </c>
      <c r="G3511" s="15" t="s">
        <v>112</v>
      </c>
      <c r="H3511" s="15"/>
    </row>
    <row r="3512" customFormat="false" ht="15" hidden="false" customHeight="true" outlineLevel="0" collapsed="false">
      <c r="A3512" s="15" t="s">
        <v>403</v>
      </c>
      <c r="B3512" s="15" t="s">
        <v>404</v>
      </c>
      <c r="C3512" s="15" t="s">
        <v>960</v>
      </c>
      <c r="D3512" s="15" t="n">
        <v>3.3</v>
      </c>
      <c r="E3512" s="15"/>
      <c r="F3512" s="15" t="s">
        <v>1039</v>
      </c>
      <c r="G3512" s="15" t="s">
        <v>112</v>
      </c>
      <c r="H3512" s="15"/>
    </row>
    <row r="3513" customFormat="false" ht="39" hidden="false" customHeight="true" outlineLevel="0" collapsed="false">
      <c r="A3513" s="15" t="s">
        <v>403</v>
      </c>
      <c r="B3513" s="15" t="s">
        <v>404</v>
      </c>
      <c r="C3513" s="15" t="s">
        <v>98</v>
      </c>
      <c r="D3513" s="15" t="s">
        <v>950</v>
      </c>
      <c r="E3513" s="15"/>
      <c r="F3513" s="15" t="s">
        <v>1039</v>
      </c>
      <c r="G3513" s="15" t="s">
        <v>112</v>
      </c>
      <c r="H3513" s="15"/>
    </row>
    <row r="3514" customFormat="false" ht="15" hidden="false" customHeight="true" outlineLevel="0" collapsed="false">
      <c r="A3514" s="15" t="s">
        <v>403</v>
      </c>
      <c r="B3514" s="15" t="s">
        <v>404</v>
      </c>
      <c r="C3514" s="15" t="s">
        <v>835</v>
      </c>
      <c r="D3514" s="15" t="s">
        <v>836</v>
      </c>
      <c r="E3514" s="15"/>
      <c r="F3514" s="15" t="s">
        <v>1039</v>
      </c>
      <c r="G3514" s="15" t="s">
        <v>112</v>
      </c>
      <c r="H3514" s="15"/>
    </row>
    <row r="3515" customFormat="false" ht="15" hidden="false" customHeight="true" outlineLevel="0" collapsed="false">
      <c r="A3515" s="15" t="s">
        <v>403</v>
      </c>
      <c r="B3515" s="15" t="s">
        <v>404</v>
      </c>
      <c r="C3515" s="15" t="s">
        <v>833</v>
      </c>
      <c r="D3515" s="15" t="s">
        <v>938</v>
      </c>
      <c r="E3515" s="15"/>
      <c r="F3515" s="15" t="s">
        <v>1039</v>
      </c>
      <c r="G3515" s="15" t="s">
        <v>112</v>
      </c>
      <c r="H3515" s="15"/>
    </row>
    <row r="3516" customFormat="false" ht="15" hidden="false" customHeight="true" outlineLevel="0" collapsed="false">
      <c r="A3516" s="15" t="s">
        <v>403</v>
      </c>
      <c r="B3516" s="15" t="s">
        <v>404</v>
      </c>
      <c r="C3516" s="15" t="s">
        <v>86</v>
      </c>
      <c r="D3516" s="15" t="n">
        <v>6</v>
      </c>
      <c r="E3516" s="15" t="s">
        <v>721</v>
      </c>
      <c r="F3516" s="15" t="s">
        <v>1039</v>
      </c>
      <c r="G3516" s="15" t="s">
        <v>112</v>
      </c>
      <c r="H3516" s="15"/>
    </row>
    <row r="3517" customFormat="false" ht="26.25" hidden="false" customHeight="true" outlineLevel="0" collapsed="false">
      <c r="A3517" s="15" t="s">
        <v>403</v>
      </c>
      <c r="B3517" s="15" t="s">
        <v>404</v>
      </c>
      <c r="C3517" s="15" t="s">
        <v>737</v>
      </c>
      <c r="D3517" s="15" t="n">
        <v>175</v>
      </c>
      <c r="E3517" s="15" t="s">
        <v>738</v>
      </c>
      <c r="F3517" s="15" t="s">
        <v>1039</v>
      </c>
      <c r="G3517" s="15" t="s">
        <v>112</v>
      </c>
      <c r="H3517" s="15" t="s">
        <v>1040</v>
      </c>
    </row>
    <row r="3518" customFormat="false" ht="15" hidden="false" customHeight="true" outlineLevel="0" collapsed="false">
      <c r="A3518" s="15" t="s">
        <v>403</v>
      </c>
      <c r="B3518" s="15" t="s">
        <v>404</v>
      </c>
      <c r="C3518" s="15" t="s">
        <v>714</v>
      </c>
      <c r="D3518" s="15" t="n">
        <v>315</v>
      </c>
      <c r="E3518" s="15" t="s">
        <v>715</v>
      </c>
      <c r="F3518" s="15" t="s">
        <v>1039</v>
      </c>
      <c r="G3518" s="15" t="s">
        <v>112</v>
      </c>
      <c r="H3518" s="15"/>
    </row>
    <row r="3519" customFormat="false" ht="15" hidden="false" customHeight="true" outlineLevel="0" collapsed="false">
      <c r="A3519" s="15" t="s">
        <v>403</v>
      </c>
      <c r="B3519" s="15" t="s">
        <v>404</v>
      </c>
      <c r="C3519" s="15" t="s">
        <v>718</v>
      </c>
      <c r="D3519" s="15" t="s">
        <v>113</v>
      </c>
      <c r="E3519" s="15"/>
      <c r="F3519" s="15" t="s">
        <v>1039</v>
      </c>
      <c r="G3519" s="15" t="s">
        <v>112</v>
      </c>
      <c r="H3519" s="15"/>
    </row>
    <row r="3520" customFormat="false" ht="15" hidden="false" customHeight="true" outlineLevel="0" collapsed="false">
      <c r="A3520" s="15" t="s">
        <v>403</v>
      </c>
      <c r="B3520" s="15" t="s">
        <v>404</v>
      </c>
      <c r="C3520" s="15" t="s">
        <v>724</v>
      </c>
      <c r="D3520" s="15" t="n">
        <v>55</v>
      </c>
      <c r="E3520" s="15" t="s">
        <v>723</v>
      </c>
      <c r="F3520" s="15" t="s">
        <v>1039</v>
      </c>
      <c r="G3520" s="15" t="s">
        <v>112</v>
      </c>
      <c r="H3520" s="15"/>
    </row>
    <row r="3521" customFormat="false" ht="15" hidden="false" customHeight="true" outlineLevel="0" collapsed="false">
      <c r="A3521" s="15" t="s">
        <v>403</v>
      </c>
      <c r="B3521" s="15" t="s">
        <v>404</v>
      </c>
      <c r="C3521" s="15" t="s">
        <v>1003</v>
      </c>
      <c r="D3521" s="15" t="n">
        <v>34</v>
      </c>
      <c r="E3521" s="15"/>
      <c r="F3521" s="15" t="s">
        <v>1039</v>
      </c>
      <c r="G3521" s="15" t="s">
        <v>112</v>
      </c>
      <c r="H3521" s="15"/>
    </row>
    <row r="3522" customFormat="false" ht="15" hidden="false" customHeight="true" outlineLevel="0" collapsed="false">
      <c r="A3522" s="15" t="s">
        <v>403</v>
      </c>
      <c r="B3522" s="15" t="s">
        <v>404</v>
      </c>
      <c r="C3522" s="15" t="s">
        <v>719</v>
      </c>
      <c r="D3522" s="15" t="n">
        <v>25</v>
      </c>
      <c r="E3522" s="15" t="s">
        <v>720</v>
      </c>
      <c r="F3522" s="15" t="s">
        <v>1039</v>
      </c>
      <c r="G3522" s="15" t="s">
        <v>112</v>
      </c>
      <c r="H3522" s="15"/>
    </row>
    <row r="3523" customFormat="false" ht="15" hidden="false" customHeight="true" outlineLevel="0" collapsed="false">
      <c r="A3523" s="15" t="s">
        <v>403</v>
      </c>
      <c r="B3523" s="15" t="s">
        <v>404</v>
      </c>
      <c r="C3523" s="15" t="s">
        <v>739</v>
      </c>
      <c r="D3523" s="15" t="s">
        <v>1041</v>
      </c>
      <c r="E3523" s="15" t="s">
        <v>738</v>
      </c>
      <c r="F3523" s="15" t="s">
        <v>1039</v>
      </c>
      <c r="G3523" s="15" t="s">
        <v>112</v>
      </c>
      <c r="H3523" s="15"/>
    </row>
    <row r="3524" customFormat="false" ht="26.25" hidden="false" customHeight="true" outlineLevel="0" collapsed="false">
      <c r="A3524" s="15" t="s">
        <v>403</v>
      </c>
      <c r="B3524" s="15" t="s">
        <v>404</v>
      </c>
      <c r="C3524" s="15" t="s">
        <v>940</v>
      </c>
      <c r="D3524" s="15" t="n">
        <v>8.9</v>
      </c>
      <c r="E3524" s="15"/>
      <c r="F3524" s="15" t="s">
        <v>1039</v>
      </c>
      <c r="G3524" s="15" t="s">
        <v>112</v>
      </c>
      <c r="H3524" s="15"/>
    </row>
    <row r="3525" customFormat="false" ht="15" hidden="false" customHeight="true" outlineLevel="0" collapsed="false">
      <c r="A3525" s="15" t="s">
        <v>403</v>
      </c>
      <c r="B3525" s="15" t="s">
        <v>404</v>
      </c>
      <c r="C3525" s="15" t="s">
        <v>733</v>
      </c>
      <c r="D3525" s="15" t="s">
        <v>1042</v>
      </c>
      <c r="E3525" s="15"/>
      <c r="F3525" s="15" t="s">
        <v>1039</v>
      </c>
      <c r="G3525" s="15" t="s">
        <v>112</v>
      </c>
      <c r="H3525" s="15"/>
    </row>
    <row r="3526" customFormat="false" ht="26.25" hidden="false" customHeight="true" outlineLevel="0" collapsed="false">
      <c r="A3526" s="15" t="s">
        <v>403</v>
      </c>
      <c r="B3526" s="15" t="s">
        <v>404</v>
      </c>
      <c r="C3526" s="15" t="s">
        <v>102</v>
      </c>
      <c r="D3526" s="15" t="s">
        <v>750</v>
      </c>
      <c r="E3526" s="15"/>
      <c r="F3526" s="15" t="s">
        <v>1039</v>
      </c>
      <c r="G3526" s="15" t="s">
        <v>112</v>
      </c>
      <c r="H3526" s="15" t="s">
        <v>1043</v>
      </c>
    </row>
    <row r="3527" customFormat="false" ht="15" hidden="false" customHeight="true" outlineLevel="0" collapsed="false">
      <c r="A3527" s="15" t="s">
        <v>403</v>
      </c>
      <c r="B3527" s="15" t="s">
        <v>404</v>
      </c>
      <c r="C3527" s="15" t="s">
        <v>776</v>
      </c>
      <c r="D3527" s="15" t="s">
        <v>1044</v>
      </c>
      <c r="E3527" s="15"/>
      <c r="F3527" s="15" t="s">
        <v>1039</v>
      </c>
      <c r="G3527" s="15" t="s">
        <v>112</v>
      </c>
      <c r="H3527" s="15"/>
    </row>
    <row r="3528" customFormat="false" ht="15" hidden="false" customHeight="true" outlineLevel="0" collapsed="false">
      <c r="A3528" s="15" t="s">
        <v>403</v>
      </c>
      <c r="B3528" s="15" t="s">
        <v>404</v>
      </c>
      <c r="C3528" s="15" t="s">
        <v>749</v>
      </c>
      <c r="D3528" s="15" t="s">
        <v>750</v>
      </c>
      <c r="E3528" s="15"/>
      <c r="F3528" s="15" t="s">
        <v>971</v>
      </c>
      <c r="G3528" s="15" t="s">
        <v>112</v>
      </c>
      <c r="H3528" s="15"/>
    </row>
    <row r="3529" customFormat="false" ht="15" hidden="false" customHeight="true" outlineLevel="0" collapsed="false">
      <c r="A3529" s="15" t="s">
        <v>403</v>
      </c>
      <c r="B3529" s="15" t="s">
        <v>404</v>
      </c>
      <c r="C3529" s="15" t="s">
        <v>752</v>
      </c>
      <c r="D3529" s="15" t="s">
        <v>1045</v>
      </c>
      <c r="E3529" s="15"/>
      <c r="F3529" s="15" t="s">
        <v>971</v>
      </c>
      <c r="G3529" s="15" t="s">
        <v>112</v>
      </c>
      <c r="H3529" s="15"/>
    </row>
    <row r="3530" customFormat="false" ht="15" hidden="false" customHeight="true" outlineLevel="0" collapsed="false">
      <c r="A3530" s="15" t="s">
        <v>403</v>
      </c>
      <c r="B3530" s="15" t="s">
        <v>404</v>
      </c>
      <c r="C3530" s="15" t="s">
        <v>90</v>
      </c>
      <c r="D3530" s="15" t="s">
        <v>1013</v>
      </c>
      <c r="E3530" s="15"/>
      <c r="F3530" s="15" t="s">
        <v>971</v>
      </c>
      <c r="G3530" s="15" t="s">
        <v>112</v>
      </c>
      <c r="H3530" s="15"/>
    </row>
    <row r="3531" customFormat="false" ht="15" hidden="false" customHeight="true" outlineLevel="0" collapsed="false">
      <c r="A3531" s="15" t="s">
        <v>403</v>
      </c>
      <c r="B3531" s="15" t="s">
        <v>404</v>
      </c>
      <c r="C3531" s="15" t="s">
        <v>743</v>
      </c>
      <c r="D3531" s="15" t="s">
        <v>957</v>
      </c>
      <c r="E3531" s="15"/>
      <c r="F3531" s="15" t="s">
        <v>971</v>
      </c>
      <c r="G3531" s="15" t="s">
        <v>112</v>
      </c>
      <c r="H3531" s="15"/>
    </row>
    <row r="3532" customFormat="false" ht="15" hidden="false" customHeight="true" outlineLevel="0" collapsed="false">
      <c r="A3532" s="15" t="s">
        <v>403</v>
      </c>
      <c r="B3532" s="15" t="s">
        <v>404</v>
      </c>
      <c r="C3532" s="15" t="s">
        <v>759</v>
      </c>
      <c r="D3532" s="15" t="s">
        <v>1046</v>
      </c>
      <c r="E3532" s="15"/>
      <c r="F3532" s="15" t="s">
        <v>971</v>
      </c>
      <c r="G3532" s="15" t="s">
        <v>112</v>
      </c>
      <c r="H3532" s="15"/>
    </row>
    <row r="3533" customFormat="false" ht="15" hidden="false" customHeight="true" outlineLevel="0" collapsed="false">
      <c r="A3533" s="15" t="s">
        <v>403</v>
      </c>
      <c r="B3533" s="15" t="s">
        <v>404</v>
      </c>
      <c r="C3533" s="15" t="s">
        <v>754</v>
      </c>
      <c r="D3533" s="15" t="s">
        <v>755</v>
      </c>
      <c r="E3533" s="15"/>
      <c r="F3533" s="15" t="s">
        <v>971</v>
      </c>
      <c r="G3533" s="15" t="s">
        <v>112</v>
      </c>
      <c r="H3533" s="15"/>
    </row>
    <row r="3534" customFormat="false" ht="15" hidden="false" customHeight="true" outlineLevel="0" collapsed="false">
      <c r="A3534" s="15" t="s">
        <v>403</v>
      </c>
      <c r="B3534" s="15" t="s">
        <v>404</v>
      </c>
      <c r="C3534" s="15" t="s">
        <v>756</v>
      </c>
      <c r="D3534" s="15" t="s">
        <v>755</v>
      </c>
      <c r="E3534" s="15"/>
      <c r="F3534" s="15" t="s">
        <v>971</v>
      </c>
      <c r="G3534" s="15" t="s">
        <v>112</v>
      </c>
      <c r="H3534" s="15"/>
    </row>
    <row r="3535" customFormat="false" ht="15" hidden="false" customHeight="true" outlineLevel="0" collapsed="false">
      <c r="A3535" s="15" t="s">
        <v>403</v>
      </c>
      <c r="B3535" s="15" t="s">
        <v>404</v>
      </c>
      <c r="C3535" s="15" t="s">
        <v>757</v>
      </c>
      <c r="D3535" s="15" t="s">
        <v>1047</v>
      </c>
      <c r="E3535" s="15"/>
      <c r="F3535" s="15" t="s">
        <v>971</v>
      </c>
      <c r="G3535" s="15" t="s">
        <v>112</v>
      </c>
      <c r="H3535" s="15"/>
    </row>
    <row r="3536" customFormat="false" ht="15" hidden="false" customHeight="true" outlineLevel="0" collapsed="false">
      <c r="A3536" s="15" t="s">
        <v>403</v>
      </c>
      <c r="B3536" s="15" t="s">
        <v>404</v>
      </c>
      <c r="C3536" s="15" t="s">
        <v>851</v>
      </c>
      <c r="D3536" s="15" t="s">
        <v>1047</v>
      </c>
      <c r="E3536" s="15"/>
      <c r="F3536" s="15" t="s">
        <v>971</v>
      </c>
      <c r="G3536" s="15" t="s">
        <v>112</v>
      </c>
      <c r="H3536" s="15"/>
    </row>
    <row r="3537" customFormat="false" ht="15" hidden="false" customHeight="true" outlineLevel="0" collapsed="false">
      <c r="A3537" s="15" t="s">
        <v>403</v>
      </c>
      <c r="B3537" s="15" t="s">
        <v>404</v>
      </c>
      <c r="C3537" s="15" t="s">
        <v>946</v>
      </c>
      <c r="D3537" s="15" t="s">
        <v>755</v>
      </c>
      <c r="E3537" s="15"/>
      <c r="F3537" s="15" t="s">
        <v>971</v>
      </c>
      <c r="G3537" s="15" t="s">
        <v>112</v>
      </c>
      <c r="H3537" s="15"/>
    </row>
    <row r="3538" customFormat="false" ht="15" hidden="false" customHeight="true" outlineLevel="0" collapsed="false">
      <c r="A3538" s="15" t="s">
        <v>403</v>
      </c>
      <c r="B3538" s="15" t="s">
        <v>404</v>
      </c>
      <c r="C3538" s="15" t="s">
        <v>853</v>
      </c>
      <c r="D3538" s="15" t="s">
        <v>755</v>
      </c>
      <c r="E3538" s="15"/>
      <c r="F3538" s="15" t="s">
        <v>971</v>
      </c>
      <c r="G3538" s="15" t="s">
        <v>112</v>
      </c>
      <c r="H3538" s="15"/>
    </row>
    <row r="3539" customFormat="false" ht="15" hidden="false" customHeight="true" outlineLevel="0" collapsed="false">
      <c r="A3539" s="15" t="s">
        <v>403</v>
      </c>
      <c r="B3539" s="15" t="s">
        <v>404</v>
      </c>
      <c r="C3539" s="15" t="s">
        <v>857</v>
      </c>
      <c r="D3539" s="15" t="s">
        <v>803</v>
      </c>
      <c r="E3539" s="15"/>
      <c r="F3539" s="15" t="s">
        <v>971</v>
      </c>
      <c r="G3539" s="15" t="s">
        <v>112</v>
      </c>
      <c r="H3539" s="15"/>
    </row>
    <row r="3540" customFormat="false" ht="15" hidden="false" customHeight="true" outlineLevel="0" collapsed="false">
      <c r="A3540" s="15" t="s">
        <v>403</v>
      </c>
      <c r="B3540" s="15" t="s">
        <v>404</v>
      </c>
      <c r="C3540" s="15" t="s">
        <v>761</v>
      </c>
      <c r="D3540" s="15" t="s">
        <v>755</v>
      </c>
      <c r="E3540" s="15"/>
      <c r="F3540" s="15" t="s">
        <v>971</v>
      </c>
      <c r="G3540" s="15" t="s">
        <v>112</v>
      </c>
      <c r="H3540" s="15"/>
    </row>
    <row r="3541" customFormat="false" ht="15" hidden="false" customHeight="true" outlineLevel="0" collapsed="false">
      <c r="A3541" s="15" t="s">
        <v>403</v>
      </c>
      <c r="B3541" s="15" t="s">
        <v>404</v>
      </c>
      <c r="C3541" s="15" t="s">
        <v>762</v>
      </c>
      <c r="D3541" s="15" t="s">
        <v>755</v>
      </c>
      <c r="E3541" s="15"/>
      <c r="F3541" s="15" t="s">
        <v>971</v>
      </c>
      <c r="G3541" s="15" t="s">
        <v>112</v>
      </c>
      <c r="H3541" s="15"/>
    </row>
    <row r="3542" customFormat="false" ht="26.25" hidden="false" customHeight="true" outlineLevel="0" collapsed="false">
      <c r="A3542" s="15" t="s">
        <v>403</v>
      </c>
      <c r="B3542" s="15" t="s">
        <v>404</v>
      </c>
      <c r="C3542" s="15" t="s">
        <v>843</v>
      </c>
      <c r="D3542" s="15" t="s">
        <v>1048</v>
      </c>
      <c r="E3542" s="15"/>
      <c r="F3542" s="15" t="s">
        <v>971</v>
      </c>
      <c r="G3542" s="15" t="s">
        <v>112</v>
      </c>
      <c r="H3542" s="15"/>
    </row>
    <row r="3543" customFormat="false" ht="26.25" hidden="false" customHeight="true" outlineLevel="0" collapsed="false">
      <c r="A3543" s="15" t="s">
        <v>403</v>
      </c>
      <c r="B3543" s="15" t="s">
        <v>404</v>
      </c>
      <c r="C3543" s="15" t="s">
        <v>1010</v>
      </c>
      <c r="D3543" s="15" t="s">
        <v>1049</v>
      </c>
      <c r="E3543" s="15"/>
      <c r="F3543" s="15" t="s">
        <v>971</v>
      </c>
      <c r="G3543" s="15" t="s">
        <v>112</v>
      </c>
      <c r="H3543" s="15" t="s">
        <v>1050</v>
      </c>
    </row>
    <row r="3544" customFormat="false" ht="15" hidden="false" customHeight="true" outlineLevel="0" collapsed="false">
      <c r="A3544" s="15" t="s">
        <v>406</v>
      </c>
      <c r="B3544" s="15" t="s">
        <v>407</v>
      </c>
      <c r="C3544" s="15" t="s">
        <v>769</v>
      </c>
      <c r="D3544" s="15" t="n">
        <v>5</v>
      </c>
      <c r="E3544" s="15" t="s">
        <v>721</v>
      </c>
      <c r="F3544" s="15" t="s">
        <v>1039</v>
      </c>
      <c r="G3544" s="15" t="s">
        <v>112</v>
      </c>
      <c r="H3544" s="15"/>
    </row>
    <row r="3545" customFormat="false" ht="15" hidden="false" customHeight="true" outlineLevel="0" collapsed="false">
      <c r="A3545" s="15" t="s">
        <v>406</v>
      </c>
      <c r="B3545" s="15" t="s">
        <v>407</v>
      </c>
      <c r="C3545" s="15" t="s">
        <v>935</v>
      </c>
      <c r="D3545" s="15" t="s">
        <v>936</v>
      </c>
      <c r="E3545" s="15"/>
      <c r="F3545" s="15" t="s">
        <v>1039</v>
      </c>
      <c r="G3545" s="15" t="s">
        <v>112</v>
      </c>
      <c r="H3545" s="15"/>
    </row>
    <row r="3546" customFormat="false" ht="15" hidden="false" customHeight="true" outlineLevel="0" collapsed="false">
      <c r="A3546" s="15" t="s">
        <v>406</v>
      </c>
      <c r="B3546" s="15" t="s">
        <v>407</v>
      </c>
      <c r="C3546" s="15" t="s">
        <v>84</v>
      </c>
      <c r="D3546" s="15" t="n">
        <v>205</v>
      </c>
      <c r="E3546" s="15" t="s">
        <v>725</v>
      </c>
      <c r="F3546" s="15" t="s">
        <v>1039</v>
      </c>
      <c r="G3546" s="15" t="s">
        <v>112</v>
      </c>
      <c r="H3546" s="15"/>
    </row>
    <row r="3547" customFormat="false" ht="15" hidden="false" customHeight="true" outlineLevel="0" collapsed="false">
      <c r="A3547" s="15" t="s">
        <v>406</v>
      </c>
      <c r="B3547" s="15" t="s">
        <v>407</v>
      </c>
      <c r="C3547" s="15" t="s">
        <v>722</v>
      </c>
      <c r="D3547" s="15" t="n">
        <v>622</v>
      </c>
      <c r="E3547" s="15" t="s">
        <v>723</v>
      </c>
      <c r="F3547" s="15" t="s">
        <v>1039</v>
      </c>
      <c r="G3547" s="15" t="s">
        <v>112</v>
      </c>
      <c r="H3547" s="15"/>
    </row>
    <row r="3548" customFormat="false" ht="15" hidden="false" customHeight="true" outlineLevel="0" collapsed="false">
      <c r="A3548" s="15" t="s">
        <v>406</v>
      </c>
      <c r="B3548" s="15" t="s">
        <v>407</v>
      </c>
      <c r="C3548" s="15" t="s">
        <v>726</v>
      </c>
      <c r="D3548" s="15" t="n">
        <v>4340</v>
      </c>
      <c r="E3548" s="15" t="s">
        <v>725</v>
      </c>
      <c r="F3548" s="15" t="s">
        <v>1039</v>
      </c>
      <c r="G3548" s="15" t="s">
        <v>112</v>
      </c>
      <c r="H3548" s="15"/>
    </row>
    <row r="3549" customFormat="false" ht="15" hidden="false" customHeight="true" outlineLevel="0" collapsed="false">
      <c r="A3549" s="15" t="s">
        <v>406</v>
      </c>
      <c r="B3549" s="15" t="s">
        <v>407</v>
      </c>
      <c r="C3549" s="15" t="s">
        <v>727</v>
      </c>
      <c r="D3549" s="15" t="n">
        <v>1841</v>
      </c>
      <c r="E3549" s="15" t="s">
        <v>725</v>
      </c>
      <c r="F3549" s="15" t="s">
        <v>1039</v>
      </c>
      <c r="G3549" s="15" t="s">
        <v>112</v>
      </c>
      <c r="H3549" s="15"/>
    </row>
    <row r="3550" customFormat="false" ht="15" hidden="false" customHeight="true" outlineLevel="0" collapsed="false">
      <c r="A3550" s="15" t="s">
        <v>406</v>
      </c>
      <c r="B3550" s="15" t="s">
        <v>407</v>
      </c>
      <c r="C3550" s="15" t="s">
        <v>728</v>
      </c>
      <c r="D3550" s="15" t="n">
        <v>1750</v>
      </c>
      <c r="E3550" s="15" t="s">
        <v>725</v>
      </c>
      <c r="F3550" s="15" t="s">
        <v>1039</v>
      </c>
      <c r="G3550" s="15" t="s">
        <v>112</v>
      </c>
      <c r="H3550" s="15"/>
    </row>
    <row r="3551" customFormat="false" ht="15" hidden="false" customHeight="true" outlineLevel="0" collapsed="false">
      <c r="A3551" s="15" t="s">
        <v>406</v>
      </c>
      <c r="B3551" s="15" t="s">
        <v>407</v>
      </c>
      <c r="C3551" s="15" t="s">
        <v>729</v>
      </c>
      <c r="D3551" s="15" t="n">
        <v>2730</v>
      </c>
      <c r="E3551" s="15" t="s">
        <v>725</v>
      </c>
      <c r="F3551" s="15" t="s">
        <v>1039</v>
      </c>
      <c r="G3551" s="15" t="s">
        <v>112</v>
      </c>
      <c r="H3551" s="15"/>
    </row>
    <row r="3552" customFormat="false" ht="15" hidden="false" customHeight="true" outlineLevel="0" collapsed="false">
      <c r="A3552" s="15" t="s">
        <v>406</v>
      </c>
      <c r="B3552" s="15" t="s">
        <v>407</v>
      </c>
      <c r="C3552" s="15" t="s">
        <v>789</v>
      </c>
      <c r="D3552" s="15" t="s">
        <v>790</v>
      </c>
      <c r="E3552" s="15"/>
      <c r="F3552" s="15" t="s">
        <v>1039</v>
      </c>
      <c r="G3552" s="15" t="s">
        <v>112</v>
      </c>
      <c r="H3552" s="15"/>
    </row>
    <row r="3553" customFormat="false" ht="15" hidden="false" customHeight="true" outlineLevel="0" collapsed="false">
      <c r="A3553" s="15" t="s">
        <v>406</v>
      </c>
      <c r="B3553" s="15" t="s">
        <v>407</v>
      </c>
      <c r="C3553" s="15" t="s">
        <v>960</v>
      </c>
      <c r="D3553" s="15" t="n">
        <v>3.3</v>
      </c>
      <c r="E3553" s="15"/>
      <c r="F3553" s="15" t="s">
        <v>1039</v>
      </c>
      <c r="G3553" s="15" t="s">
        <v>112</v>
      </c>
      <c r="H3553" s="15"/>
    </row>
    <row r="3554" customFormat="false" ht="39" hidden="false" customHeight="true" outlineLevel="0" collapsed="false">
      <c r="A3554" s="15" t="s">
        <v>406</v>
      </c>
      <c r="B3554" s="15" t="s">
        <v>407</v>
      </c>
      <c r="C3554" s="15" t="s">
        <v>98</v>
      </c>
      <c r="D3554" s="15" t="s">
        <v>950</v>
      </c>
      <c r="E3554" s="15"/>
      <c r="F3554" s="15" t="s">
        <v>1039</v>
      </c>
      <c r="G3554" s="15" t="s">
        <v>112</v>
      </c>
      <c r="H3554" s="15"/>
    </row>
    <row r="3555" customFormat="false" ht="15" hidden="false" customHeight="true" outlineLevel="0" collapsed="false">
      <c r="A3555" s="15" t="s">
        <v>406</v>
      </c>
      <c r="B3555" s="15" t="s">
        <v>407</v>
      </c>
      <c r="C3555" s="15" t="s">
        <v>835</v>
      </c>
      <c r="D3555" s="15" t="s">
        <v>836</v>
      </c>
      <c r="E3555" s="15"/>
      <c r="F3555" s="15" t="s">
        <v>1039</v>
      </c>
      <c r="G3555" s="15" t="s">
        <v>112</v>
      </c>
      <c r="H3555" s="15"/>
    </row>
    <row r="3556" customFormat="false" ht="15" hidden="false" customHeight="true" outlineLevel="0" collapsed="false">
      <c r="A3556" s="15" t="s">
        <v>406</v>
      </c>
      <c r="B3556" s="15" t="s">
        <v>407</v>
      </c>
      <c r="C3556" s="15" t="s">
        <v>833</v>
      </c>
      <c r="D3556" s="15" t="s">
        <v>938</v>
      </c>
      <c r="E3556" s="15"/>
      <c r="F3556" s="15" t="s">
        <v>1039</v>
      </c>
      <c r="G3556" s="15" t="s">
        <v>112</v>
      </c>
      <c r="H3556" s="15"/>
    </row>
    <row r="3557" customFormat="false" ht="15" hidden="false" customHeight="true" outlineLevel="0" collapsed="false">
      <c r="A3557" s="15" t="s">
        <v>406</v>
      </c>
      <c r="B3557" s="15" t="s">
        <v>407</v>
      </c>
      <c r="C3557" s="15" t="s">
        <v>86</v>
      </c>
      <c r="D3557" s="15" t="n">
        <v>6</v>
      </c>
      <c r="E3557" s="15" t="s">
        <v>721</v>
      </c>
      <c r="F3557" s="15" t="s">
        <v>1039</v>
      </c>
      <c r="G3557" s="15" t="s">
        <v>112</v>
      </c>
      <c r="H3557" s="15"/>
    </row>
    <row r="3558" customFormat="false" ht="26.25" hidden="false" customHeight="true" outlineLevel="0" collapsed="false">
      <c r="A3558" s="15" t="s">
        <v>406</v>
      </c>
      <c r="B3558" s="15" t="s">
        <v>407</v>
      </c>
      <c r="C3558" s="15" t="s">
        <v>737</v>
      </c>
      <c r="D3558" s="15" t="n">
        <v>175</v>
      </c>
      <c r="E3558" s="15" t="s">
        <v>738</v>
      </c>
      <c r="F3558" s="15" t="s">
        <v>1039</v>
      </c>
      <c r="G3558" s="15" t="s">
        <v>112</v>
      </c>
      <c r="H3558" s="15" t="s">
        <v>1040</v>
      </c>
    </row>
    <row r="3559" customFormat="false" ht="15" hidden="false" customHeight="true" outlineLevel="0" collapsed="false">
      <c r="A3559" s="15" t="s">
        <v>406</v>
      </c>
      <c r="B3559" s="15" t="s">
        <v>407</v>
      </c>
      <c r="C3559" s="15" t="s">
        <v>714</v>
      </c>
      <c r="D3559" s="15" t="n">
        <v>315</v>
      </c>
      <c r="E3559" s="15" t="s">
        <v>715</v>
      </c>
      <c r="F3559" s="15" t="s">
        <v>1039</v>
      </c>
      <c r="G3559" s="15" t="s">
        <v>112</v>
      </c>
      <c r="H3559" s="15"/>
    </row>
    <row r="3560" customFormat="false" ht="15" hidden="false" customHeight="true" outlineLevel="0" collapsed="false">
      <c r="A3560" s="15" t="s">
        <v>406</v>
      </c>
      <c r="B3560" s="15" t="s">
        <v>407</v>
      </c>
      <c r="C3560" s="15" t="s">
        <v>718</v>
      </c>
      <c r="D3560" s="15" t="s">
        <v>113</v>
      </c>
      <c r="E3560" s="15"/>
      <c r="F3560" s="15" t="s">
        <v>1039</v>
      </c>
      <c r="G3560" s="15" t="s">
        <v>112</v>
      </c>
      <c r="H3560" s="15"/>
    </row>
    <row r="3561" customFormat="false" ht="15" hidden="false" customHeight="true" outlineLevel="0" collapsed="false">
      <c r="A3561" s="15" t="s">
        <v>406</v>
      </c>
      <c r="B3561" s="15" t="s">
        <v>407</v>
      </c>
      <c r="C3561" s="15" t="s">
        <v>724</v>
      </c>
      <c r="D3561" s="15" t="n">
        <v>55</v>
      </c>
      <c r="E3561" s="15" t="s">
        <v>723</v>
      </c>
      <c r="F3561" s="15" t="s">
        <v>1039</v>
      </c>
      <c r="G3561" s="15" t="s">
        <v>112</v>
      </c>
      <c r="H3561" s="15"/>
    </row>
    <row r="3562" customFormat="false" ht="15" hidden="false" customHeight="true" outlineLevel="0" collapsed="false">
      <c r="A3562" s="15" t="s">
        <v>406</v>
      </c>
      <c r="B3562" s="15" t="s">
        <v>407</v>
      </c>
      <c r="C3562" s="15" t="s">
        <v>1003</v>
      </c>
      <c r="D3562" s="15" t="n">
        <v>34</v>
      </c>
      <c r="E3562" s="15"/>
      <c r="F3562" s="15" t="s">
        <v>1039</v>
      </c>
      <c r="G3562" s="15" t="s">
        <v>112</v>
      </c>
      <c r="H3562" s="15"/>
    </row>
    <row r="3563" customFormat="false" ht="15" hidden="false" customHeight="true" outlineLevel="0" collapsed="false">
      <c r="A3563" s="15" t="s">
        <v>406</v>
      </c>
      <c r="B3563" s="15" t="s">
        <v>407</v>
      </c>
      <c r="C3563" s="15" t="s">
        <v>719</v>
      </c>
      <c r="D3563" s="15" t="n">
        <v>25</v>
      </c>
      <c r="E3563" s="15" t="s">
        <v>720</v>
      </c>
      <c r="F3563" s="15" t="s">
        <v>1039</v>
      </c>
      <c r="G3563" s="15" t="s">
        <v>112</v>
      </c>
      <c r="H3563" s="15"/>
    </row>
    <row r="3564" customFormat="false" ht="15" hidden="false" customHeight="true" outlineLevel="0" collapsed="false">
      <c r="A3564" s="15" t="s">
        <v>406</v>
      </c>
      <c r="B3564" s="15" t="s">
        <v>407</v>
      </c>
      <c r="C3564" s="15" t="s">
        <v>739</v>
      </c>
      <c r="D3564" s="15" t="s">
        <v>1041</v>
      </c>
      <c r="E3564" s="15" t="s">
        <v>738</v>
      </c>
      <c r="F3564" s="15" t="s">
        <v>1039</v>
      </c>
      <c r="G3564" s="15" t="s">
        <v>112</v>
      </c>
      <c r="H3564" s="15"/>
    </row>
    <row r="3565" customFormat="false" ht="26.25" hidden="false" customHeight="true" outlineLevel="0" collapsed="false">
      <c r="A3565" s="15" t="s">
        <v>406</v>
      </c>
      <c r="B3565" s="15" t="s">
        <v>407</v>
      </c>
      <c r="C3565" s="15" t="s">
        <v>940</v>
      </c>
      <c r="D3565" s="15" t="n">
        <v>8.9</v>
      </c>
      <c r="E3565" s="15"/>
      <c r="F3565" s="15" t="s">
        <v>1039</v>
      </c>
      <c r="G3565" s="15" t="s">
        <v>112</v>
      </c>
      <c r="H3565" s="15"/>
    </row>
    <row r="3566" customFormat="false" ht="15" hidden="false" customHeight="true" outlineLevel="0" collapsed="false">
      <c r="A3566" s="15" t="s">
        <v>406</v>
      </c>
      <c r="B3566" s="15" t="s">
        <v>407</v>
      </c>
      <c r="C3566" s="15" t="s">
        <v>733</v>
      </c>
      <c r="D3566" s="15" t="s">
        <v>1042</v>
      </c>
      <c r="E3566" s="15"/>
      <c r="F3566" s="15" t="s">
        <v>1039</v>
      </c>
      <c r="G3566" s="15" t="s">
        <v>112</v>
      </c>
      <c r="H3566" s="15"/>
    </row>
    <row r="3567" customFormat="false" ht="15" hidden="false" customHeight="true" outlineLevel="0" collapsed="false">
      <c r="A3567" s="15" t="s">
        <v>406</v>
      </c>
      <c r="B3567" s="15" t="s">
        <v>407</v>
      </c>
      <c r="C3567" s="15" t="s">
        <v>102</v>
      </c>
      <c r="D3567" s="15" t="s">
        <v>1023</v>
      </c>
      <c r="E3567" s="15"/>
      <c r="F3567" s="15" t="s">
        <v>1039</v>
      </c>
      <c r="G3567" s="15" t="s">
        <v>112</v>
      </c>
      <c r="H3567" s="15"/>
    </row>
    <row r="3568" customFormat="false" ht="15" hidden="false" customHeight="true" outlineLevel="0" collapsed="false">
      <c r="A3568" s="15" t="s">
        <v>406</v>
      </c>
      <c r="B3568" s="15" t="s">
        <v>407</v>
      </c>
      <c r="C3568" s="15" t="s">
        <v>776</v>
      </c>
      <c r="D3568" s="15" t="s">
        <v>1044</v>
      </c>
      <c r="E3568" s="15"/>
      <c r="F3568" s="15" t="s">
        <v>1039</v>
      </c>
      <c r="G3568" s="15" t="s">
        <v>112</v>
      </c>
      <c r="H3568" s="15"/>
    </row>
    <row r="3569" customFormat="false" ht="15" hidden="false" customHeight="true" outlineLevel="0" collapsed="false">
      <c r="A3569" s="15" t="s">
        <v>406</v>
      </c>
      <c r="B3569" s="15" t="s">
        <v>407</v>
      </c>
      <c r="C3569" s="15" t="s">
        <v>749</v>
      </c>
      <c r="D3569" s="15" t="s">
        <v>750</v>
      </c>
      <c r="E3569" s="15"/>
      <c r="F3569" s="15" t="s">
        <v>971</v>
      </c>
      <c r="G3569" s="15" t="s">
        <v>112</v>
      </c>
      <c r="H3569" s="15"/>
    </row>
    <row r="3570" customFormat="false" ht="15" hidden="false" customHeight="true" outlineLevel="0" collapsed="false">
      <c r="A3570" s="15" t="s">
        <v>406</v>
      </c>
      <c r="B3570" s="15" t="s">
        <v>407</v>
      </c>
      <c r="C3570" s="15" t="s">
        <v>752</v>
      </c>
      <c r="D3570" s="15" t="s">
        <v>1051</v>
      </c>
      <c r="E3570" s="15"/>
      <c r="F3570" s="15" t="s">
        <v>971</v>
      </c>
      <c r="G3570" s="15" t="s">
        <v>112</v>
      </c>
      <c r="H3570" s="15"/>
    </row>
    <row r="3571" customFormat="false" ht="15" hidden="false" customHeight="true" outlineLevel="0" collapsed="false">
      <c r="A3571" s="15" t="s">
        <v>406</v>
      </c>
      <c r="B3571" s="15" t="s">
        <v>407</v>
      </c>
      <c r="C3571" s="15" t="s">
        <v>90</v>
      </c>
      <c r="D3571" s="15" t="s">
        <v>1013</v>
      </c>
      <c r="E3571" s="15"/>
      <c r="F3571" s="15" t="s">
        <v>971</v>
      </c>
      <c r="G3571" s="15" t="s">
        <v>112</v>
      </c>
      <c r="H3571" s="15"/>
    </row>
    <row r="3572" customFormat="false" ht="15" hidden="false" customHeight="true" outlineLevel="0" collapsed="false">
      <c r="A3572" s="15" t="s">
        <v>406</v>
      </c>
      <c r="B3572" s="15" t="s">
        <v>407</v>
      </c>
      <c r="C3572" s="15" t="s">
        <v>743</v>
      </c>
      <c r="D3572" s="15" t="s">
        <v>957</v>
      </c>
      <c r="E3572" s="15"/>
      <c r="F3572" s="15" t="s">
        <v>971</v>
      </c>
      <c r="G3572" s="15" t="s">
        <v>112</v>
      </c>
      <c r="H3572" s="15"/>
    </row>
    <row r="3573" customFormat="false" ht="15" hidden="false" customHeight="true" outlineLevel="0" collapsed="false">
      <c r="A3573" s="15" t="s">
        <v>406</v>
      </c>
      <c r="B3573" s="15" t="s">
        <v>407</v>
      </c>
      <c r="C3573" s="15" t="s">
        <v>759</v>
      </c>
      <c r="D3573" s="15" t="s">
        <v>1052</v>
      </c>
      <c r="E3573" s="15"/>
      <c r="F3573" s="15" t="s">
        <v>971</v>
      </c>
      <c r="G3573" s="15" t="s">
        <v>112</v>
      </c>
      <c r="H3573" s="15"/>
    </row>
    <row r="3574" customFormat="false" ht="15" hidden="false" customHeight="true" outlineLevel="0" collapsed="false">
      <c r="A3574" s="15" t="s">
        <v>406</v>
      </c>
      <c r="B3574" s="15" t="s">
        <v>407</v>
      </c>
      <c r="C3574" s="15" t="s">
        <v>754</v>
      </c>
      <c r="D3574" s="15" t="s">
        <v>755</v>
      </c>
      <c r="E3574" s="15"/>
      <c r="F3574" s="15" t="s">
        <v>971</v>
      </c>
      <c r="G3574" s="15" t="s">
        <v>112</v>
      </c>
      <c r="H3574" s="15"/>
    </row>
    <row r="3575" customFormat="false" ht="15" hidden="false" customHeight="true" outlineLevel="0" collapsed="false">
      <c r="A3575" s="15" t="s">
        <v>406</v>
      </c>
      <c r="B3575" s="15" t="s">
        <v>407</v>
      </c>
      <c r="C3575" s="15" t="s">
        <v>756</v>
      </c>
      <c r="D3575" s="15" t="s">
        <v>755</v>
      </c>
      <c r="E3575" s="15"/>
      <c r="F3575" s="15" t="s">
        <v>971</v>
      </c>
      <c r="G3575" s="15" t="s">
        <v>112</v>
      </c>
      <c r="H3575" s="15"/>
    </row>
    <row r="3576" customFormat="false" ht="15" hidden="false" customHeight="true" outlineLevel="0" collapsed="false">
      <c r="A3576" s="15" t="s">
        <v>406</v>
      </c>
      <c r="B3576" s="15" t="s">
        <v>407</v>
      </c>
      <c r="C3576" s="15" t="s">
        <v>757</v>
      </c>
      <c r="D3576" s="15" t="s">
        <v>1047</v>
      </c>
      <c r="E3576" s="15"/>
      <c r="F3576" s="15" t="s">
        <v>971</v>
      </c>
      <c r="G3576" s="15" t="s">
        <v>112</v>
      </c>
      <c r="H3576" s="15"/>
    </row>
    <row r="3577" customFormat="false" ht="15" hidden="false" customHeight="true" outlineLevel="0" collapsed="false">
      <c r="A3577" s="15" t="s">
        <v>406</v>
      </c>
      <c r="B3577" s="15" t="s">
        <v>407</v>
      </c>
      <c r="C3577" s="15" t="s">
        <v>851</v>
      </c>
      <c r="D3577" s="15" t="s">
        <v>1047</v>
      </c>
      <c r="E3577" s="15"/>
      <c r="F3577" s="15" t="s">
        <v>971</v>
      </c>
      <c r="G3577" s="15" t="s">
        <v>112</v>
      </c>
      <c r="H3577" s="15"/>
    </row>
    <row r="3578" customFormat="false" ht="15" hidden="false" customHeight="true" outlineLevel="0" collapsed="false">
      <c r="A3578" s="15" t="s">
        <v>406</v>
      </c>
      <c r="B3578" s="15" t="s">
        <v>407</v>
      </c>
      <c r="C3578" s="15" t="s">
        <v>946</v>
      </c>
      <c r="D3578" s="15" t="s">
        <v>1053</v>
      </c>
      <c r="E3578" s="15"/>
      <c r="F3578" s="15" t="s">
        <v>971</v>
      </c>
      <c r="G3578" s="15" t="s">
        <v>112</v>
      </c>
      <c r="H3578" s="15"/>
    </row>
    <row r="3579" customFormat="false" ht="15" hidden="false" customHeight="true" outlineLevel="0" collapsed="false">
      <c r="A3579" s="15" t="s">
        <v>406</v>
      </c>
      <c r="B3579" s="15" t="s">
        <v>407</v>
      </c>
      <c r="C3579" s="15" t="s">
        <v>853</v>
      </c>
      <c r="D3579" s="15" t="s">
        <v>803</v>
      </c>
      <c r="E3579" s="15"/>
      <c r="F3579" s="15" t="s">
        <v>971</v>
      </c>
      <c r="G3579" s="15" t="s">
        <v>112</v>
      </c>
      <c r="H3579" s="15"/>
    </row>
    <row r="3580" customFormat="false" ht="15" hidden="false" customHeight="true" outlineLevel="0" collapsed="false">
      <c r="A3580" s="15" t="s">
        <v>406</v>
      </c>
      <c r="B3580" s="15" t="s">
        <v>407</v>
      </c>
      <c r="C3580" s="15" t="s">
        <v>857</v>
      </c>
      <c r="D3580" s="15" t="s">
        <v>803</v>
      </c>
      <c r="E3580" s="15"/>
      <c r="F3580" s="15" t="s">
        <v>971</v>
      </c>
      <c r="G3580" s="15" t="s">
        <v>112</v>
      </c>
      <c r="H3580" s="15"/>
    </row>
    <row r="3581" customFormat="false" ht="15" hidden="false" customHeight="true" outlineLevel="0" collapsed="false">
      <c r="A3581" s="15" t="s">
        <v>406</v>
      </c>
      <c r="B3581" s="15" t="s">
        <v>407</v>
      </c>
      <c r="C3581" s="15" t="s">
        <v>761</v>
      </c>
      <c r="D3581" s="15" t="s">
        <v>755</v>
      </c>
      <c r="E3581" s="15"/>
      <c r="F3581" s="15" t="s">
        <v>971</v>
      </c>
      <c r="G3581" s="15" t="s">
        <v>112</v>
      </c>
      <c r="H3581" s="15"/>
    </row>
    <row r="3582" customFormat="false" ht="15" hidden="false" customHeight="true" outlineLevel="0" collapsed="false">
      <c r="A3582" s="15" t="s">
        <v>406</v>
      </c>
      <c r="B3582" s="15" t="s">
        <v>407</v>
      </c>
      <c r="C3582" s="15" t="s">
        <v>762</v>
      </c>
      <c r="D3582" s="15" t="s">
        <v>755</v>
      </c>
      <c r="E3582" s="15"/>
      <c r="F3582" s="15" t="s">
        <v>971</v>
      </c>
      <c r="G3582" s="15" t="s">
        <v>112</v>
      </c>
      <c r="H3582" s="15"/>
    </row>
    <row r="3583" customFormat="false" ht="26.25" hidden="false" customHeight="true" outlineLevel="0" collapsed="false">
      <c r="A3583" s="15" t="s">
        <v>406</v>
      </c>
      <c r="B3583" s="15" t="s">
        <v>407</v>
      </c>
      <c r="C3583" s="15" t="s">
        <v>843</v>
      </c>
      <c r="D3583" s="15" t="s">
        <v>1048</v>
      </c>
      <c r="E3583" s="15"/>
      <c r="F3583" s="15" t="s">
        <v>971</v>
      </c>
      <c r="G3583" s="15" t="s">
        <v>112</v>
      </c>
      <c r="H3583" s="15"/>
    </row>
    <row r="3584" customFormat="false" ht="26.25" hidden="false" customHeight="true" outlineLevel="0" collapsed="false">
      <c r="A3584" s="15" t="s">
        <v>406</v>
      </c>
      <c r="B3584" s="15" t="s">
        <v>407</v>
      </c>
      <c r="C3584" s="15" t="s">
        <v>1010</v>
      </c>
      <c r="D3584" s="15" t="s">
        <v>1049</v>
      </c>
      <c r="E3584" s="15"/>
      <c r="F3584" s="15" t="s">
        <v>971</v>
      </c>
      <c r="G3584" s="15" t="s">
        <v>112</v>
      </c>
      <c r="H3584" s="15" t="s">
        <v>1050</v>
      </c>
    </row>
    <row r="3585" customFormat="false" ht="15" hidden="false" customHeight="true" outlineLevel="0" collapsed="false">
      <c r="A3585" s="15" t="s">
        <v>406</v>
      </c>
      <c r="B3585" s="15" t="s">
        <v>407</v>
      </c>
      <c r="C3585" s="15" t="s">
        <v>886</v>
      </c>
      <c r="D3585" s="15" t="s">
        <v>1054</v>
      </c>
      <c r="E3585" s="15"/>
      <c r="F3585" s="15" t="s">
        <v>971</v>
      </c>
      <c r="G3585" s="15" t="s">
        <v>112</v>
      </c>
      <c r="H3585" s="15"/>
    </row>
    <row r="3586" customFormat="false" ht="15" hidden="false" customHeight="true" outlineLevel="0" collapsed="false">
      <c r="A3586" s="15" t="s">
        <v>409</v>
      </c>
      <c r="B3586" s="15" t="s">
        <v>410</v>
      </c>
      <c r="C3586" s="15" t="s">
        <v>769</v>
      </c>
      <c r="D3586" s="15" t="n">
        <v>5</v>
      </c>
      <c r="E3586" s="15" t="s">
        <v>721</v>
      </c>
      <c r="F3586" s="15" t="s">
        <v>1039</v>
      </c>
      <c r="G3586" s="15" t="s">
        <v>112</v>
      </c>
      <c r="H3586" s="15"/>
    </row>
    <row r="3587" customFormat="false" ht="15" hidden="false" customHeight="true" outlineLevel="0" collapsed="false">
      <c r="A3587" s="15" t="s">
        <v>409</v>
      </c>
      <c r="B3587" s="15" t="s">
        <v>410</v>
      </c>
      <c r="C3587" s="15" t="s">
        <v>935</v>
      </c>
      <c r="D3587" s="15" t="s">
        <v>936</v>
      </c>
      <c r="E3587" s="15"/>
      <c r="F3587" s="15" t="s">
        <v>1039</v>
      </c>
      <c r="G3587" s="15" t="s">
        <v>112</v>
      </c>
      <c r="H3587" s="15"/>
    </row>
    <row r="3588" customFormat="false" ht="15" hidden="false" customHeight="true" outlineLevel="0" collapsed="false">
      <c r="A3588" s="15" t="s">
        <v>409</v>
      </c>
      <c r="B3588" s="15" t="s">
        <v>410</v>
      </c>
      <c r="C3588" s="15" t="s">
        <v>84</v>
      </c>
      <c r="D3588" s="15" t="n">
        <v>205</v>
      </c>
      <c r="E3588" s="15" t="s">
        <v>725</v>
      </c>
      <c r="F3588" s="15" t="s">
        <v>1039</v>
      </c>
      <c r="G3588" s="15" t="s">
        <v>112</v>
      </c>
      <c r="H3588" s="15"/>
    </row>
    <row r="3589" customFormat="false" ht="15" hidden="false" customHeight="true" outlineLevel="0" collapsed="false">
      <c r="A3589" s="15" t="s">
        <v>409</v>
      </c>
      <c r="B3589" s="15" t="s">
        <v>410</v>
      </c>
      <c r="C3589" s="15" t="s">
        <v>722</v>
      </c>
      <c r="D3589" s="15" t="n">
        <v>622</v>
      </c>
      <c r="E3589" s="15" t="s">
        <v>723</v>
      </c>
      <c r="F3589" s="15" t="s">
        <v>1039</v>
      </c>
      <c r="G3589" s="15" t="s">
        <v>112</v>
      </c>
      <c r="H3589" s="15"/>
    </row>
    <row r="3590" customFormat="false" ht="15" hidden="false" customHeight="true" outlineLevel="0" collapsed="false">
      <c r="A3590" s="15" t="s">
        <v>409</v>
      </c>
      <c r="B3590" s="15" t="s">
        <v>410</v>
      </c>
      <c r="C3590" s="15" t="s">
        <v>726</v>
      </c>
      <c r="D3590" s="15" t="n">
        <v>4340</v>
      </c>
      <c r="E3590" s="15" t="s">
        <v>725</v>
      </c>
      <c r="F3590" s="15" t="s">
        <v>1039</v>
      </c>
      <c r="G3590" s="15" t="s">
        <v>112</v>
      </c>
      <c r="H3590" s="15"/>
    </row>
    <row r="3591" customFormat="false" ht="15" hidden="false" customHeight="true" outlineLevel="0" collapsed="false">
      <c r="A3591" s="15" t="s">
        <v>409</v>
      </c>
      <c r="B3591" s="15" t="s">
        <v>410</v>
      </c>
      <c r="C3591" s="15" t="s">
        <v>727</v>
      </c>
      <c r="D3591" s="15" t="n">
        <v>1841</v>
      </c>
      <c r="E3591" s="15" t="s">
        <v>725</v>
      </c>
      <c r="F3591" s="15" t="s">
        <v>1039</v>
      </c>
      <c r="G3591" s="15" t="s">
        <v>112</v>
      </c>
      <c r="H3591" s="15"/>
    </row>
    <row r="3592" customFormat="false" ht="15" hidden="false" customHeight="true" outlineLevel="0" collapsed="false">
      <c r="A3592" s="15" t="s">
        <v>409</v>
      </c>
      <c r="B3592" s="15" t="s">
        <v>410</v>
      </c>
      <c r="C3592" s="15" t="s">
        <v>728</v>
      </c>
      <c r="D3592" s="15" t="n">
        <v>1750</v>
      </c>
      <c r="E3592" s="15" t="s">
        <v>725</v>
      </c>
      <c r="F3592" s="15" t="s">
        <v>1039</v>
      </c>
      <c r="G3592" s="15" t="s">
        <v>112</v>
      </c>
      <c r="H3592" s="15"/>
    </row>
    <row r="3593" customFormat="false" ht="15" hidden="false" customHeight="true" outlineLevel="0" collapsed="false">
      <c r="A3593" s="15" t="s">
        <v>409</v>
      </c>
      <c r="B3593" s="15" t="s">
        <v>410</v>
      </c>
      <c r="C3593" s="15" t="s">
        <v>729</v>
      </c>
      <c r="D3593" s="15" t="n">
        <v>2730</v>
      </c>
      <c r="E3593" s="15" t="s">
        <v>725</v>
      </c>
      <c r="F3593" s="15" t="s">
        <v>1039</v>
      </c>
      <c r="G3593" s="15" t="s">
        <v>112</v>
      </c>
      <c r="H3593" s="15"/>
    </row>
    <row r="3594" customFormat="false" ht="15" hidden="false" customHeight="true" outlineLevel="0" collapsed="false">
      <c r="A3594" s="15" t="s">
        <v>409</v>
      </c>
      <c r="B3594" s="15" t="s">
        <v>410</v>
      </c>
      <c r="C3594" s="15" t="s">
        <v>789</v>
      </c>
      <c r="D3594" s="15" t="s">
        <v>790</v>
      </c>
      <c r="E3594" s="15"/>
      <c r="F3594" s="15" t="s">
        <v>1039</v>
      </c>
      <c r="G3594" s="15" t="s">
        <v>112</v>
      </c>
      <c r="H3594" s="15"/>
    </row>
    <row r="3595" customFormat="false" ht="15" hidden="false" customHeight="true" outlineLevel="0" collapsed="false">
      <c r="A3595" s="15" t="s">
        <v>409</v>
      </c>
      <c r="B3595" s="15" t="s">
        <v>410</v>
      </c>
      <c r="C3595" s="15" t="s">
        <v>960</v>
      </c>
      <c r="D3595" s="15" t="n">
        <v>3.3</v>
      </c>
      <c r="E3595" s="15"/>
      <c r="F3595" s="15" t="s">
        <v>1039</v>
      </c>
      <c r="G3595" s="15" t="s">
        <v>112</v>
      </c>
      <c r="H3595" s="15"/>
    </row>
    <row r="3596" customFormat="false" ht="39" hidden="false" customHeight="true" outlineLevel="0" collapsed="false">
      <c r="A3596" s="15" t="s">
        <v>409</v>
      </c>
      <c r="B3596" s="15" t="s">
        <v>410</v>
      </c>
      <c r="C3596" s="15" t="s">
        <v>98</v>
      </c>
      <c r="D3596" s="15" t="s">
        <v>950</v>
      </c>
      <c r="E3596" s="15"/>
      <c r="F3596" s="15" t="s">
        <v>1039</v>
      </c>
      <c r="G3596" s="15" t="s">
        <v>112</v>
      </c>
      <c r="H3596" s="15"/>
    </row>
    <row r="3597" customFormat="false" ht="15" hidden="false" customHeight="true" outlineLevel="0" collapsed="false">
      <c r="A3597" s="15" t="s">
        <v>409</v>
      </c>
      <c r="B3597" s="15" t="s">
        <v>410</v>
      </c>
      <c r="C3597" s="15" t="s">
        <v>835</v>
      </c>
      <c r="D3597" s="15" t="s">
        <v>836</v>
      </c>
      <c r="E3597" s="15"/>
      <c r="F3597" s="15" t="s">
        <v>1039</v>
      </c>
      <c r="G3597" s="15" t="s">
        <v>112</v>
      </c>
      <c r="H3597" s="15"/>
    </row>
    <row r="3598" customFormat="false" ht="15" hidden="false" customHeight="true" outlineLevel="0" collapsed="false">
      <c r="A3598" s="15" t="s">
        <v>409</v>
      </c>
      <c r="B3598" s="15" t="s">
        <v>410</v>
      </c>
      <c r="C3598" s="15" t="s">
        <v>833</v>
      </c>
      <c r="D3598" s="15" t="s">
        <v>938</v>
      </c>
      <c r="E3598" s="15"/>
      <c r="F3598" s="15" t="s">
        <v>1039</v>
      </c>
      <c r="G3598" s="15" t="s">
        <v>112</v>
      </c>
      <c r="H3598" s="15"/>
    </row>
    <row r="3599" customFormat="false" ht="15" hidden="false" customHeight="true" outlineLevel="0" collapsed="false">
      <c r="A3599" s="15" t="s">
        <v>409</v>
      </c>
      <c r="B3599" s="15" t="s">
        <v>410</v>
      </c>
      <c r="C3599" s="15" t="s">
        <v>86</v>
      </c>
      <c r="D3599" s="15" t="n">
        <v>6</v>
      </c>
      <c r="E3599" s="15" t="s">
        <v>721</v>
      </c>
      <c r="F3599" s="15" t="s">
        <v>1039</v>
      </c>
      <c r="G3599" s="15" t="s">
        <v>112</v>
      </c>
      <c r="H3599" s="15"/>
    </row>
    <row r="3600" customFormat="false" ht="15" hidden="false" customHeight="true" outlineLevel="0" collapsed="false">
      <c r="A3600" s="15" t="s">
        <v>409</v>
      </c>
      <c r="B3600" s="15" t="s">
        <v>410</v>
      </c>
      <c r="C3600" s="15" t="s">
        <v>737</v>
      </c>
      <c r="D3600" s="15" t="n">
        <v>154</v>
      </c>
      <c r="E3600" s="15" t="s">
        <v>738</v>
      </c>
      <c r="F3600" s="15" t="s">
        <v>1039</v>
      </c>
      <c r="G3600" s="15" t="s">
        <v>112</v>
      </c>
      <c r="H3600" s="15"/>
    </row>
    <row r="3601" customFormat="false" ht="15" hidden="false" customHeight="true" outlineLevel="0" collapsed="false">
      <c r="A3601" s="15" t="s">
        <v>409</v>
      </c>
      <c r="B3601" s="15" t="s">
        <v>410</v>
      </c>
      <c r="C3601" s="15" t="s">
        <v>714</v>
      </c>
      <c r="D3601" s="15" t="n">
        <v>315</v>
      </c>
      <c r="E3601" s="15" t="s">
        <v>715</v>
      </c>
      <c r="F3601" s="15" t="s">
        <v>1039</v>
      </c>
      <c r="G3601" s="15" t="s">
        <v>112</v>
      </c>
      <c r="H3601" s="15"/>
    </row>
    <row r="3602" customFormat="false" ht="15" hidden="false" customHeight="true" outlineLevel="0" collapsed="false">
      <c r="A3602" s="15" t="s">
        <v>409</v>
      </c>
      <c r="B3602" s="15" t="s">
        <v>410</v>
      </c>
      <c r="C3602" s="15" t="s">
        <v>718</v>
      </c>
      <c r="D3602" s="15" t="s">
        <v>113</v>
      </c>
      <c r="E3602" s="15"/>
      <c r="F3602" s="15" t="s">
        <v>1039</v>
      </c>
      <c r="G3602" s="15" t="s">
        <v>112</v>
      </c>
      <c r="H3602" s="15"/>
    </row>
    <row r="3603" customFormat="false" ht="15" hidden="false" customHeight="true" outlineLevel="0" collapsed="false">
      <c r="A3603" s="15" t="s">
        <v>409</v>
      </c>
      <c r="B3603" s="15" t="s">
        <v>410</v>
      </c>
      <c r="C3603" s="15" t="s">
        <v>724</v>
      </c>
      <c r="D3603" s="15" t="n">
        <v>55</v>
      </c>
      <c r="E3603" s="15" t="s">
        <v>723</v>
      </c>
      <c r="F3603" s="15" t="s">
        <v>1039</v>
      </c>
      <c r="G3603" s="15" t="s">
        <v>112</v>
      </c>
      <c r="H3603" s="15"/>
    </row>
    <row r="3604" customFormat="false" ht="15" hidden="false" customHeight="true" outlineLevel="0" collapsed="false">
      <c r="A3604" s="15" t="s">
        <v>409</v>
      </c>
      <c r="B3604" s="15" t="s">
        <v>410</v>
      </c>
      <c r="C3604" s="15" t="s">
        <v>1003</v>
      </c>
      <c r="D3604" s="15" t="n">
        <v>33</v>
      </c>
      <c r="E3604" s="15"/>
      <c r="F3604" s="15" t="s">
        <v>1039</v>
      </c>
      <c r="G3604" s="15" t="s">
        <v>112</v>
      </c>
      <c r="H3604" s="15"/>
    </row>
    <row r="3605" customFormat="false" ht="15" hidden="false" customHeight="true" outlineLevel="0" collapsed="false">
      <c r="A3605" s="15" t="s">
        <v>409</v>
      </c>
      <c r="B3605" s="15" t="s">
        <v>410</v>
      </c>
      <c r="C3605" s="15" t="s">
        <v>719</v>
      </c>
      <c r="D3605" s="15" t="n">
        <v>26</v>
      </c>
      <c r="E3605" s="15" t="s">
        <v>720</v>
      </c>
      <c r="F3605" s="15" t="s">
        <v>1039</v>
      </c>
      <c r="G3605" s="15" t="s">
        <v>112</v>
      </c>
      <c r="H3605" s="15"/>
    </row>
    <row r="3606" customFormat="false" ht="15" hidden="false" customHeight="true" outlineLevel="0" collapsed="false">
      <c r="A3606" s="15" t="s">
        <v>409</v>
      </c>
      <c r="B3606" s="15" t="s">
        <v>410</v>
      </c>
      <c r="C3606" s="15" t="s">
        <v>739</v>
      </c>
      <c r="D3606" s="15" t="s">
        <v>1055</v>
      </c>
      <c r="E3606" s="15" t="s">
        <v>738</v>
      </c>
      <c r="F3606" s="15" t="s">
        <v>1039</v>
      </c>
      <c r="G3606" s="15" t="s">
        <v>112</v>
      </c>
      <c r="H3606" s="15"/>
    </row>
    <row r="3607" customFormat="false" ht="26.25" hidden="false" customHeight="true" outlineLevel="0" collapsed="false">
      <c r="A3607" s="15" t="s">
        <v>409</v>
      </c>
      <c r="B3607" s="15" t="s">
        <v>410</v>
      </c>
      <c r="C3607" s="15" t="s">
        <v>940</v>
      </c>
      <c r="D3607" s="15" t="n">
        <v>10.5</v>
      </c>
      <c r="E3607" s="15"/>
      <c r="F3607" s="15" t="s">
        <v>1039</v>
      </c>
      <c r="G3607" s="15" t="s">
        <v>112</v>
      </c>
      <c r="H3607" s="15"/>
    </row>
    <row r="3608" customFormat="false" ht="15" hidden="false" customHeight="true" outlineLevel="0" collapsed="false">
      <c r="A3608" s="15" t="s">
        <v>409</v>
      </c>
      <c r="B3608" s="15" t="s">
        <v>410</v>
      </c>
      <c r="C3608" s="15" t="s">
        <v>733</v>
      </c>
      <c r="D3608" s="15" t="s">
        <v>1056</v>
      </c>
      <c r="E3608" s="15"/>
      <c r="F3608" s="15" t="s">
        <v>1039</v>
      </c>
      <c r="G3608" s="15" t="s">
        <v>112</v>
      </c>
      <c r="H3608" s="15"/>
    </row>
    <row r="3609" customFormat="false" ht="15" hidden="false" customHeight="true" outlineLevel="0" collapsed="false">
      <c r="A3609" s="15" t="s">
        <v>409</v>
      </c>
      <c r="B3609" s="15" t="s">
        <v>410</v>
      </c>
      <c r="C3609" s="15" t="s">
        <v>102</v>
      </c>
      <c r="D3609" s="15" t="s">
        <v>1023</v>
      </c>
      <c r="E3609" s="15"/>
      <c r="F3609" s="15" t="s">
        <v>1039</v>
      </c>
      <c r="G3609" s="15" t="s">
        <v>112</v>
      </c>
      <c r="H3609" s="15"/>
    </row>
    <row r="3610" customFormat="false" ht="15" hidden="false" customHeight="true" outlineLevel="0" collapsed="false">
      <c r="A3610" s="15" t="s">
        <v>409</v>
      </c>
      <c r="B3610" s="15" t="s">
        <v>410</v>
      </c>
      <c r="C3610" s="15" t="s">
        <v>776</v>
      </c>
      <c r="D3610" s="15" t="s">
        <v>1044</v>
      </c>
      <c r="E3610" s="15"/>
      <c r="F3610" s="15" t="s">
        <v>1039</v>
      </c>
      <c r="G3610" s="15" t="s">
        <v>112</v>
      </c>
      <c r="H3610" s="15"/>
    </row>
    <row r="3611" customFormat="false" ht="15" hidden="false" customHeight="true" outlineLevel="0" collapsed="false">
      <c r="A3611" s="15" t="s">
        <v>409</v>
      </c>
      <c r="B3611" s="15" t="s">
        <v>410</v>
      </c>
      <c r="C3611" s="15" t="s">
        <v>749</v>
      </c>
      <c r="D3611" s="15" t="s">
        <v>750</v>
      </c>
      <c r="E3611" s="15"/>
      <c r="F3611" s="15" t="s">
        <v>971</v>
      </c>
      <c r="G3611" s="15" t="s">
        <v>112</v>
      </c>
      <c r="H3611" s="15"/>
    </row>
    <row r="3612" customFormat="false" ht="15" hidden="false" customHeight="true" outlineLevel="0" collapsed="false">
      <c r="A3612" s="15" t="s">
        <v>409</v>
      </c>
      <c r="B3612" s="15" t="s">
        <v>410</v>
      </c>
      <c r="C3612" s="15" t="s">
        <v>752</v>
      </c>
      <c r="D3612" s="15" t="s">
        <v>1051</v>
      </c>
      <c r="E3612" s="15"/>
      <c r="F3612" s="15" t="s">
        <v>971</v>
      </c>
      <c r="G3612" s="15" t="s">
        <v>112</v>
      </c>
      <c r="H3612" s="15"/>
    </row>
    <row r="3613" customFormat="false" ht="15" hidden="false" customHeight="true" outlineLevel="0" collapsed="false">
      <c r="A3613" s="15" t="s">
        <v>409</v>
      </c>
      <c r="B3613" s="15" t="s">
        <v>410</v>
      </c>
      <c r="C3613" s="15" t="s">
        <v>90</v>
      </c>
      <c r="D3613" s="15" t="s">
        <v>1013</v>
      </c>
      <c r="E3613" s="15"/>
      <c r="F3613" s="15" t="s">
        <v>971</v>
      </c>
      <c r="G3613" s="15" t="s">
        <v>112</v>
      </c>
      <c r="H3613" s="15"/>
    </row>
    <row r="3614" customFormat="false" ht="15" hidden="false" customHeight="true" outlineLevel="0" collapsed="false">
      <c r="A3614" s="15" t="s">
        <v>409</v>
      </c>
      <c r="B3614" s="15" t="s">
        <v>410</v>
      </c>
      <c r="C3614" s="15" t="s">
        <v>743</v>
      </c>
      <c r="D3614" s="15" t="s">
        <v>957</v>
      </c>
      <c r="E3614" s="15"/>
      <c r="F3614" s="15" t="s">
        <v>971</v>
      </c>
      <c r="G3614" s="15" t="s">
        <v>112</v>
      </c>
      <c r="H3614" s="15"/>
    </row>
    <row r="3615" customFormat="false" ht="15" hidden="false" customHeight="true" outlineLevel="0" collapsed="false">
      <c r="A3615" s="15" t="s">
        <v>409</v>
      </c>
      <c r="B3615" s="15" t="s">
        <v>410</v>
      </c>
      <c r="C3615" s="15" t="s">
        <v>759</v>
      </c>
      <c r="D3615" s="15" t="s">
        <v>1052</v>
      </c>
      <c r="E3615" s="15"/>
      <c r="F3615" s="15" t="s">
        <v>971</v>
      </c>
      <c r="G3615" s="15" t="s">
        <v>112</v>
      </c>
      <c r="H3615" s="15"/>
    </row>
    <row r="3616" customFormat="false" ht="15" hidden="false" customHeight="true" outlineLevel="0" collapsed="false">
      <c r="A3616" s="15" t="s">
        <v>409</v>
      </c>
      <c r="B3616" s="15" t="s">
        <v>410</v>
      </c>
      <c r="C3616" s="15" t="s">
        <v>754</v>
      </c>
      <c r="D3616" s="15" t="s">
        <v>755</v>
      </c>
      <c r="E3616" s="15"/>
      <c r="F3616" s="15" t="s">
        <v>971</v>
      </c>
      <c r="G3616" s="15" t="s">
        <v>112</v>
      </c>
      <c r="H3616" s="15"/>
    </row>
    <row r="3617" customFormat="false" ht="15" hidden="false" customHeight="true" outlineLevel="0" collapsed="false">
      <c r="A3617" s="15" t="s">
        <v>409</v>
      </c>
      <c r="B3617" s="15" t="s">
        <v>410</v>
      </c>
      <c r="C3617" s="15" t="s">
        <v>756</v>
      </c>
      <c r="D3617" s="15" t="s">
        <v>755</v>
      </c>
      <c r="E3617" s="15"/>
      <c r="F3617" s="15" t="s">
        <v>971</v>
      </c>
      <c r="G3617" s="15" t="s">
        <v>112</v>
      </c>
      <c r="H3617" s="15"/>
    </row>
    <row r="3618" customFormat="false" ht="15" hidden="false" customHeight="true" outlineLevel="0" collapsed="false">
      <c r="A3618" s="15" t="s">
        <v>409</v>
      </c>
      <c r="B3618" s="15" t="s">
        <v>410</v>
      </c>
      <c r="C3618" s="15" t="s">
        <v>757</v>
      </c>
      <c r="D3618" s="15" t="s">
        <v>1047</v>
      </c>
      <c r="E3618" s="15"/>
      <c r="F3618" s="15" t="s">
        <v>971</v>
      </c>
      <c r="G3618" s="15" t="s">
        <v>112</v>
      </c>
      <c r="H3618" s="15"/>
    </row>
    <row r="3619" customFormat="false" ht="15" hidden="false" customHeight="true" outlineLevel="0" collapsed="false">
      <c r="A3619" s="15" t="s">
        <v>409</v>
      </c>
      <c r="B3619" s="15" t="s">
        <v>410</v>
      </c>
      <c r="C3619" s="15" t="s">
        <v>851</v>
      </c>
      <c r="D3619" s="15" t="s">
        <v>1047</v>
      </c>
      <c r="E3619" s="15"/>
      <c r="F3619" s="15" t="s">
        <v>971</v>
      </c>
      <c r="G3619" s="15" t="s">
        <v>112</v>
      </c>
      <c r="H3619" s="15"/>
    </row>
    <row r="3620" customFormat="false" ht="15" hidden="false" customHeight="true" outlineLevel="0" collapsed="false">
      <c r="A3620" s="15" t="s">
        <v>409</v>
      </c>
      <c r="B3620" s="15" t="s">
        <v>410</v>
      </c>
      <c r="C3620" s="15" t="s">
        <v>946</v>
      </c>
      <c r="D3620" s="15" t="s">
        <v>1053</v>
      </c>
      <c r="E3620" s="15"/>
      <c r="F3620" s="15" t="s">
        <v>971</v>
      </c>
      <c r="G3620" s="15" t="s">
        <v>112</v>
      </c>
      <c r="H3620" s="15"/>
    </row>
    <row r="3621" customFormat="false" ht="15" hidden="false" customHeight="true" outlineLevel="0" collapsed="false">
      <c r="A3621" s="15" t="s">
        <v>409</v>
      </c>
      <c r="B3621" s="15" t="s">
        <v>410</v>
      </c>
      <c r="C3621" s="15" t="s">
        <v>853</v>
      </c>
      <c r="D3621" s="15" t="s">
        <v>803</v>
      </c>
      <c r="E3621" s="15"/>
      <c r="F3621" s="15" t="s">
        <v>971</v>
      </c>
      <c r="G3621" s="15" t="s">
        <v>112</v>
      </c>
      <c r="H3621" s="15"/>
    </row>
    <row r="3622" customFormat="false" ht="15" hidden="false" customHeight="true" outlineLevel="0" collapsed="false">
      <c r="A3622" s="15" t="s">
        <v>409</v>
      </c>
      <c r="B3622" s="15" t="s">
        <v>410</v>
      </c>
      <c r="C3622" s="15" t="s">
        <v>857</v>
      </c>
      <c r="D3622" s="15" t="s">
        <v>803</v>
      </c>
      <c r="E3622" s="15"/>
      <c r="F3622" s="15" t="s">
        <v>971</v>
      </c>
      <c r="G3622" s="15" t="s">
        <v>112</v>
      </c>
      <c r="H3622" s="15"/>
    </row>
    <row r="3623" customFormat="false" ht="15" hidden="false" customHeight="true" outlineLevel="0" collapsed="false">
      <c r="A3623" s="15" t="s">
        <v>409</v>
      </c>
      <c r="B3623" s="15" t="s">
        <v>410</v>
      </c>
      <c r="C3623" s="15" t="s">
        <v>761</v>
      </c>
      <c r="D3623" s="15" t="s">
        <v>755</v>
      </c>
      <c r="E3623" s="15"/>
      <c r="F3623" s="15" t="s">
        <v>971</v>
      </c>
      <c r="G3623" s="15" t="s">
        <v>112</v>
      </c>
      <c r="H3623" s="15"/>
    </row>
    <row r="3624" customFormat="false" ht="15" hidden="false" customHeight="true" outlineLevel="0" collapsed="false">
      <c r="A3624" s="15" t="s">
        <v>409</v>
      </c>
      <c r="B3624" s="15" t="s">
        <v>410</v>
      </c>
      <c r="C3624" s="15" t="s">
        <v>762</v>
      </c>
      <c r="D3624" s="15" t="s">
        <v>755</v>
      </c>
      <c r="E3624" s="15"/>
      <c r="F3624" s="15" t="s">
        <v>971</v>
      </c>
      <c r="G3624" s="15" t="s">
        <v>112</v>
      </c>
      <c r="H3624" s="15"/>
    </row>
    <row r="3625" customFormat="false" ht="26.25" hidden="false" customHeight="true" outlineLevel="0" collapsed="false">
      <c r="A3625" s="15" t="s">
        <v>409</v>
      </c>
      <c r="B3625" s="15" t="s">
        <v>410</v>
      </c>
      <c r="C3625" s="15" t="s">
        <v>843</v>
      </c>
      <c r="D3625" s="15" t="s">
        <v>1048</v>
      </c>
      <c r="E3625" s="15"/>
      <c r="F3625" s="15" t="s">
        <v>971</v>
      </c>
      <c r="G3625" s="15" t="s">
        <v>112</v>
      </c>
      <c r="H3625" s="15"/>
    </row>
    <row r="3626" customFormat="false" ht="26.25" hidden="false" customHeight="true" outlineLevel="0" collapsed="false">
      <c r="A3626" s="15" t="s">
        <v>409</v>
      </c>
      <c r="B3626" s="15" t="s">
        <v>410</v>
      </c>
      <c r="C3626" s="15" t="s">
        <v>1010</v>
      </c>
      <c r="D3626" s="15" t="s">
        <v>1049</v>
      </c>
      <c r="E3626" s="15"/>
      <c r="F3626" s="15" t="s">
        <v>971</v>
      </c>
      <c r="G3626" s="15" t="s">
        <v>112</v>
      </c>
      <c r="H3626" s="15" t="s">
        <v>1050</v>
      </c>
    </row>
    <row r="3627" customFormat="false" ht="15" hidden="false" customHeight="true" outlineLevel="0" collapsed="false">
      <c r="A3627" s="15" t="s">
        <v>409</v>
      </c>
      <c r="B3627" s="15" t="s">
        <v>410</v>
      </c>
      <c r="C3627" s="15" t="s">
        <v>886</v>
      </c>
      <c r="D3627" s="15" t="s">
        <v>1054</v>
      </c>
      <c r="E3627" s="15"/>
      <c r="F3627" s="15" t="s">
        <v>971</v>
      </c>
      <c r="G3627" s="15" t="s">
        <v>112</v>
      </c>
      <c r="H3627" s="15"/>
    </row>
    <row r="3628" customFormat="false" ht="15" hidden="false" customHeight="true" outlineLevel="0" collapsed="false">
      <c r="A3628" s="15" t="s">
        <v>412</v>
      </c>
      <c r="B3628" s="15" t="s">
        <v>413</v>
      </c>
      <c r="C3628" s="15" t="s">
        <v>769</v>
      </c>
      <c r="D3628" s="15" t="n">
        <v>5</v>
      </c>
      <c r="E3628" s="15" t="s">
        <v>721</v>
      </c>
      <c r="F3628" s="15" t="s">
        <v>1039</v>
      </c>
      <c r="G3628" s="15" t="s">
        <v>112</v>
      </c>
      <c r="H3628" s="15"/>
    </row>
    <row r="3629" customFormat="false" ht="15" hidden="false" customHeight="true" outlineLevel="0" collapsed="false">
      <c r="A3629" s="15" t="s">
        <v>412</v>
      </c>
      <c r="B3629" s="15" t="s">
        <v>413</v>
      </c>
      <c r="C3629" s="15" t="s">
        <v>935</v>
      </c>
      <c r="D3629" s="15" t="s">
        <v>936</v>
      </c>
      <c r="E3629" s="15"/>
      <c r="F3629" s="15" t="s">
        <v>1039</v>
      </c>
      <c r="G3629" s="15" t="s">
        <v>112</v>
      </c>
      <c r="H3629" s="15"/>
    </row>
    <row r="3630" customFormat="false" ht="15" hidden="false" customHeight="true" outlineLevel="0" collapsed="false">
      <c r="A3630" s="15" t="s">
        <v>412</v>
      </c>
      <c r="B3630" s="15" t="s">
        <v>413</v>
      </c>
      <c r="C3630" s="15" t="s">
        <v>84</v>
      </c>
      <c r="D3630" s="15" t="n">
        <v>205</v>
      </c>
      <c r="E3630" s="15" t="s">
        <v>725</v>
      </c>
      <c r="F3630" s="15" t="s">
        <v>1039</v>
      </c>
      <c r="G3630" s="15" t="s">
        <v>112</v>
      </c>
      <c r="H3630" s="15"/>
    </row>
    <row r="3631" customFormat="false" ht="15" hidden="false" customHeight="true" outlineLevel="0" collapsed="false">
      <c r="A3631" s="15" t="s">
        <v>412</v>
      </c>
      <c r="B3631" s="15" t="s">
        <v>413</v>
      </c>
      <c r="C3631" s="15" t="s">
        <v>722</v>
      </c>
      <c r="D3631" s="15" t="n">
        <v>622</v>
      </c>
      <c r="E3631" s="15" t="s">
        <v>723</v>
      </c>
      <c r="F3631" s="15" t="s">
        <v>1039</v>
      </c>
      <c r="G3631" s="15" t="s">
        <v>112</v>
      </c>
      <c r="H3631" s="15"/>
    </row>
    <row r="3632" customFormat="false" ht="15" hidden="false" customHeight="true" outlineLevel="0" collapsed="false">
      <c r="A3632" s="15" t="s">
        <v>412</v>
      </c>
      <c r="B3632" s="15" t="s">
        <v>413</v>
      </c>
      <c r="C3632" s="15" t="s">
        <v>726</v>
      </c>
      <c r="D3632" s="15" t="n">
        <v>4340</v>
      </c>
      <c r="E3632" s="15" t="s">
        <v>725</v>
      </c>
      <c r="F3632" s="15" t="s">
        <v>1039</v>
      </c>
      <c r="G3632" s="15" t="s">
        <v>112</v>
      </c>
      <c r="H3632" s="15"/>
    </row>
    <row r="3633" customFormat="false" ht="15" hidden="false" customHeight="true" outlineLevel="0" collapsed="false">
      <c r="A3633" s="15" t="s">
        <v>412</v>
      </c>
      <c r="B3633" s="15" t="s">
        <v>413</v>
      </c>
      <c r="C3633" s="15" t="s">
        <v>727</v>
      </c>
      <c r="D3633" s="15" t="n">
        <v>1841</v>
      </c>
      <c r="E3633" s="15" t="s">
        <v>725</v>
      </c>
      <c r="F3633" s="15" t="s">
        <v>1039</v>
      </c>
      <c r="G3633" s="15" t="s">
        <v>112</v>
      </c>
      <c r="H3633" s="15"/>
    </row>
    <row r="3634" customFormat="false" ht="15" hidden="false" customHeight="true" outlineLevel="0" collapsed="false">
      <c r="A3634" s="15" t="s">
        <v>412</v>
      </c>
      <c r="B3634" s="15" t="s">
        <v>413</v>
      </c>
      <c r="C3634" s="15" t="s">
        <v>728</v>
      </c>
      <c r="D3634" s="15" t="n">
        <v>1750</v>
      </c>
      <c r="E3634" s="15" t="s">
        <v>725</v>
      </c>
      <c r="F3634" s="15" t="s">
        <v>1039</v>
      </c>
      <c r="G3634" s="15" t="s">
        <v>112</v>
      </c>
      <c r="H3634" s="15"/>
    </row>
    <row r="3635" customFormat="false" ht="15" hidden="false" customHeight="true" outlineLevel="0" collapsed="false">
      <c r="A3635" s="15" t="s">
        <v>412</v>
      </c>
      <c r="B3635" s="15" t="s">
        <v>413</v>
      </c>
      <c r="C3635" s="15" t="s">
        <v>729</v>
      </c>
      <c r="D3635" s="15" t="n">
        <v>2730</v>
      </c>
      <c r="E3635" s="15" t="s">
        <v>725</v>
      </c>
      <c r="F3635" s="15" t="s">
        <v>1039</v>
      </c>
      <c r="G3635" s="15" t="s">
        <v>112</v>
      </c>
      <c r="H3635" s="15"/>
    </row>
    <row r="3636" customFormat="false" ht="15" hidden="false" customHeight="true" outlineLevel="0" collapsed="false">
      <c r="A3636" s="15" t="s">
        <v>412</v>
      </c>
      <c r="B3636" s="15" t="s">
        <v>413</v>
      </c>
      <c r="C3636" s="15" t="s">
        <v>789</v>
      </c>
      <c r="D3636" s="15" t="s">
        <v>790</v>
      </c>
      <c r="E3636" s="15"/>
      <c r="F3636" s="15" t="s">
        <v>1039</v>
      </c>
      <c r="G3636" s="15" t="s">
        <v>112</v>
      </c>
      <c r="H3636" s="15"/>
    </row>
    <row r="3637" customFormat="false" ht="15" hidden="false" customHeight="true" outlineLevel="0" collapsed="false">
      <c r="A3637" s="15" t="s">
        <v>412</v>
      </c>
      <c r="B3637" s="15" t="s">
        <v>413</v>
      </c>
      <c r="C3637" s="15" t="s">
        <v>960</v>
      </c>
      <c r="D3637" s="15" t="n">
        <v>3.3</v>
      </c>
      <c r="E3637" s="15"/>
      <c r="F3637" s="15" t="s">
        <v>1039</v>
      </c>
      <c r="G3637" s="15" t="s">
        <v>112</v>
      </c>
      <c r="H3637" s="15"/>
    </row>
    <row r="3638" customFormat="false" ht="39" hidden="false" customHeight="true" outlineLevel="0" collapsed="false">
      <c r="A3638" s="15" t="s">
        <v>412</v>
      </c>
      <c r="B3638" s="15" t="s">
        <v>413</v>
      </c>
      <c r="C3638" s="15" t="s">
        <v>98</v>
      </c>
      <c r="D3638" s="15" t="s">
        <v>950</v>
      </c>
      <c r="E3638" s="15"/>
      <c r="F3638" s="15" t="s">
        <v>1039</v>
      </c>
      <c r="G3638" s="15" t="s">
        <v>112</v>
      </c>
      <c r="H3638" s="15"/>
    </row>
    <row r="3639" customFormat="false" ht="15" hidden="false" customHeight="true" outlineLevel="0" collapsed="false">
      <c r="A3639" s="15" t="s">
        <v>412</v>
      </c>
      <c r="B3639" s="15" t="s">
        <v>413</v>
      </c>
      <c r="C3639" s="15" t="s">
        <v>835</v>
      </c>
      <c r="D3639" s="15" t="s">
        <v>836</v>
      </c>
      <c r="E3639" s="15"/>
      <c r="F3639" s="15" t="s">
        <v>1039</v>
      </c>
      <c r="G3639" s="15" t="s">
        <v>112</v>
      </c>
      <c r="H3639" s="15"/>
    </row>
    <row r="3640" customFormat="false" ht="15" hidden="false" customHeight="true" outlineLevel="0" collapsed="false">
      <c r="A3640" s="15" t="s">
        <v>412</v>
      </c>
      <c r="B3640" s="15" t="s">
        <v>413</v>
      </c>
      <c r="C3640" s="15" t="s">
        <v>833</v>
      </c>
      <c r="D3640" s="15" t="s">
        <v>938</v>
      </c>
      <c r="E3640" s="15"/>
      <c r="F3640" s="15" t="s">
        <v>1039</v>
      </c>
      <c r="G3640" s="15" t="s">
        <v>112</v>
      </c>
      <c r="H3640" s="15"/>
    </row>
    <row r="3641" customFormat="false" ht="15" hidden="false" customHeight="true" outlineLevel="0" collapsed="false">
      <c r="A3641" s="15" t="s">
        <v>412</v>
      </c>
      <c r="B3641" s="15" t="s">
        <v>413</v>
      </c>
      <c r="C3641" s="15" t="s">
        <v>86</v>
      </c>
      <c r="D3641" s="15" t="n">
        <v>6</v>
      </c>
      <c r="E3641" s="15" t="s">
        <v>721</v>
      </c>
      <c r="F3641" s="15" t="s">
        <v>1039</v>
      </c>
      <c r="G3641" s="15" t="s">
        <v>112</v>
      </c>
      <c r="H3641" s="15"/>
    </row>
    <row r="3642" customFormat="false" ht="26.25" hidden="false" customHeight="true" outlineLevel="0" collapsed="false">
      <c r="A3642" s="15" t="s">
        <v>412</v>
      </c>
      <c r="B3642" s="15" t="s">
        <v>413</v>
      </c>
      <c r="C3642" s="15" t="s">
        <v>737</v>
      </c>
      <c r="D3642" s="15" t="n">
        <v>175</v>
      </c>
      <c r="E3642" s="15" t="s">
        <v>738</v>
      </c>
      <c r="F3642" s="15" t="s">
        <v>1039</v>
      </c>
      <c r="G3642" s="15" t="s">
        <v>112</v>
      </c>
      <c r="H3642" s="15" t="s">
        <v>1040</v>
      </c>
    </row>
    <row r="3643" customFormat="false" ht="15" hidden="false" customHeight="true" outlineLevel="0" collapsed="false">
      <c r="A3643" s="15" t="s">
        <v>412</v>
      </c>
      <c r="B3643" s="15" t="s">
        <v>413</v>
      </c>
      <c r="C3643" s="15" t="s">
        <v>714</v>
      </c>
      <c r="D3643" s="15" t="n">
        <v>315</v>
      </c>
      <c r="E3643" s="15" t="s">
        <v>715</v>
      </c>
      <c r="F3643" s="15" t="s">
        <v>1039</v>
      </c>
      <c r="G3643" s="15" t="s">
        <v>112</v>
      </c>
      <c r="H3643" s="15"/>
    </row>
    <row r="3644" customFormat="false" ht="15" hidden="false" customHeight="true" outlineLevel="0" collapsed="false">
      <c r="A3644" s="15" t="s">
        <v>412</v>
      </c>
      <c r="B3644" s="15" t="s">
        <v>413</v>
      </c>
      <c r="C3644" s="15" t="s">
        <v>718</v>
      </c>
      <c r="D3644" s="15" t="s">
        <v>113</v>
      </c>
      <c r="E3644" s="15"/>
      <c r="F3644" s="15" t="s">
        <v>1039</v>
      </c>
      <c r="G3644" s="15" t="s">
        <v>112</v>
      </c>
      <c r="H3644" s="15"/>
    </row>
    <row r="3645" customFormat="false" ht="15" hidden="false" customHeight="true" outlineLevel="0" collapsed="false">
      <c r="A3645" s="15" t="s">
        <v>412</v>
      </c>
      <c r="B3645" s="15" t="s">
        <v>413</v>
      </c>
      <c r="C3645" s="15" t="s">
        <v>724</v>
      </c>
      <c r="D3645" s="15" t="n">
        <v>55</v>
      </c>
      <c r="E3645" s="15" t="s">
        <v>723</v>
      </c>
      <c r="F3645" s="15" t="s">
        <v>1039</v>
      </c>
      <c r="G3645" s="15" t="s">
        <v>112</v>
      </c>
      <c r="H3645" s="15"/>
    </row>
    <row r="3646" customFormat="false" ht="15" hidden="false" customHeight="true" outlineLevel="0" collapsed="false">
      <c r="A3646" s="15" t="s">
        <v>412</v>
      </c>
      <c r="B3646" s="15" t="s">
        <v>413</v>
      </c>
      <c r="C3646" s="15" t="s">
        <v>1003</v>
      </c>
      <c r="D3646" s="15" t="n">
        <v>34</v>
      </c>
      <c r="E3646" s="15"/>
      <c r="F3646" s="15" t="s">
        <v>1039</v>
      </c>
      <c r="G3646" s="15" t="s">
        <v>112</v>
      </c>
      <c r="H3646" s="15"/>
    </row>
    <row r="3647" customFormat="false" ht="15" hidden="false" customHeight="true" outlineLevel="0" collapsed="false">
      <c r="A3647" s="15" t="s">
        <v>412</v>
      </c>
      <c r="B3647" s="15" t="s">
        <v>413</v>
      </c>
      <c r="C3647" s="15" t="s">
        <v>719</v>
      </c>
      <c r="D3647" s="15" t="n">
        <v>25</v>
      </c>
      <c r="E3647" s="15" t="s">
        <v>720</v>
      </c>
      <c r="F3647" s="15" t="s">
        <v>1039</v>
      </c>
      <c r="G3647" s="15" t="s">
        <v>112</v>
      </c>
      <c r="H3647" s="15"/>
    </row>
    <row r="3648" customFormat="false" ht="15" hidden="false" customHeight="true" outlineLevel="0" collapsed="false">
      <c r="A3648" s="15" t="s">
        <v>412</v>
      </c>
      <c r="B3648" s="15" t="s">
        <v>413</v>
      </c>
      <c r="C3648" s="15" t="s">
        <v>739</v>
      </c>
      <c r="D3648" s="15" t="s">
        <v>1041</v>
      </c>
      <c r="E3648" s="15" t="s">
        <v>738</v>
      </c>
      <c r="F3648" s="15" t="s">
        <v>1039</v>
      </c>
      <c r="G3648" s="15" t="s">
        <v>112</v>
      </c>
      <c r="H3648" s="15"/>
    </row>
    <row r="3649" customFormat="false" ht="26.25" hidden="false" customHeight="true" outlineLevel="0" collapsed="false">
      <c r="A3649" s="15" t="s">
        <v>412</v>
      </c>
      <c r="B3649" s="15" t="s">
        <v>413</v>
      </c>
      <c r="C3649" s="15" t="s">
        <v>940</v>
      </c>
      <c r="D3649" s="15" t="n">
        <v>8.9</v>
      </c>
      <c r="E3649" s="15"/>
      <c r="F3649" s="15" t="s">
        <v>1039</v>
      </c>
      <c r="G3649" s="15" t="s">
        <v>112</v>
      </c>
      <c r="H3649" s="15"/>
    </row>
    <row r="3650" customFormat="false" ht="15" hidden="false" customHeight="true" outlineLevel="0" collapsed="false">
      <c r="A3650" s="15" t="s">
        <v>412</v>
      </c>
      <c r="B3650" s="15" t="s">
        <v>413</v>
      </c>
      <c r="C3650" s="15" t="s">
        <v>733</v>
      </c>
      <c r="D3650" s="15" t="s">
        <v>1042</v>
      </c>
      <c r="E3650" s="15"/>
      <c r="F3650" s="15" t="s">
        <v>1039</v>
      </c>
      <c r="G3650" s="15" t="s">
        <v>112</v>
      </c>
      <c r="H3650" s="15"/>
    </row>
    <row r="3651" customFormat="false" ht="15" hidden="false" customHeight="true" outlineLevel="0" collapsed="false">
      <c r="A3651" s="15" t="s">
        <v>412</v>
      </c>
      <c r="B3651" s="15" t="s">
        <v>413</v>
      </c>
      <c r="C3651" s="15" t="s">
        <v>102</v>
      </c>
      <c r="D3651" s="15" t="s">
        <v>1023</v>
      </c>
      <c r="E3651" s="15"/>
      <c r="F3651" s="15" t="s">
        <v>1039</v>
      </c>
      <c r="G3651" s="15" t="s">
        <v>112</v>
      </c>
      <c r="H3651" s="15"/>
    </row>
    <row r="3652" customFormat="false" ht="15" hidden="false" customHeight="true" outlineLevel="0" collapsed="false">
      <c r="A3652" s="15" t="s">
        <v>412</v>
      </c>
      <c r="B3652" s="15" t="s">
        <v>413</v>
      </c>
      <c r="C3652" s="15" t="s">
        <v>776</v>
      </c>
      <c r="D3652" s="15" t="s">
        <v>1044</v>
      </c>
      <c r="E3652" s="15"/>
      <c r="F3652" s="15" t="s">
        <v>1039</v>
      </c>
      <c r="G3652" s="15" t="s">
        <v>112</v>
      </c>
      <c r="H3652" s="15"/>
    </row>
    <row r="3653" customFormat="false" ht="15" hidden="false" customHeight="true" outlineLevel="0" collapsed="false">
      <c r="A3653" s="15" t="s">
        <v>412</v>
      </c>
      <c r="B3653" s="15" t="s">
        <v>413</v>
      </c>
      <c r="C3653" s="15" t="s">
        <v>749</v>
      </c>
      <c r="D3653" s="15" t="s">
        <v>750</v>
      </c>
      <c r="E3653" s="15"/>
      <c r="F3653" s="15" t="s">
        <v>971</v>
      </c>
      <c r="G3653" s="15" t="s">
        <v>112</v>
      </c>
      <c r="H3653" s="15"/>
    </row>
    <row r="3654" customFormat="false" ht="15" hidden="false" customHeight="true" outlineLevel="0" collapsed="false">
      <c r="A3654" s="15" t="s">
        <v>412</v>
      </c>
      <c r="B3654" s="15" t="s">
        <v>413</v>
      </c>
      <c r="C3654" s="15" t="s">
        <v>752</v>
      </c>
      <c r="D3654" s="15" t="s">
        <v>1051</v>
      </c>
      <c r="E3654" s="15"/>
      <c r="F3654" s="15" t="s">
        <v>971</v>
      </c>
      <c r="G3654" s="15" t="s">
        <v>112</v>
      </c>
      <c r="H3654" s="15"/>
    </row>
    <row r="3655" customFormat="false" ht="15" hidden="false" customHeight="true" outlineLevel="0" collapsed="false">
      <c r="A3655" s="15" t="s">
        <v>412</v>
      </c>
      <c r="B3655" s="15" t="s">
        <v>413</v>
      </c>
      <c r="C3655" s="15" t="s">
        <v>90</v>
      </c>
      <c r="D3655" s="15" t="s">
        <v>1013</v>
      </c>
      <c r="E3655" s="15"/>
      <c r="F3655" s="15" t="s">
        <v>971</v>
      </c>
      <c r="G3655" s="15" t="s">
        <v>112</v>
      </c>
      <c r="H3655" s="15"/>
    </row>
    <row r="3656" customFormat="false" ht="15" hidden="false" customHeight="true" outlineLevel="0" collapsed="false">
      <c r="A3656" s="15" t="s">
        <v>412</v>
      </c>
      <c r="B3656" s="15" t="s">
        <v>413</v>
      </c>
      <c r="C3656" s="15" t="s">
        <v>743</v>
      </c>
      <c r="D3656" s="15" t="s">
        <v>1057</v>
      </c>
      <c r="E3656" s="15"/>
      <c r="F3656" s="15" t="s">
        <v>971</v>
      </c>
      <c r="G3656" s="15" t="s">
        <v>112</v>
      </c>
      <c r="H3656" s="15"/>
    </row>
    <row r="3657" customFormat="false" ht="15" hidden="false" customHeight="true" outlineLevel="0" collapsed="false">
      <c r="A3657" s="15" t="s">
        <v>412</v>
      </c>
      <c r="B3657" s="15" t="s">
        <v>413</v>
      </c>
      <c r="C3657" s="15" t="s">
        <v>759</v>
      </c>
      <c r="D3657" s="15" t="s">
        <v>1052</v>
      </c>
      <c r="E3657" s="15"/>
      <c r="F3657" s="15" t="s">
        <v>971</v>
      </c>
      <c r="G3657" s="15" t="s">
        <v>112</v>
      </c>
      <c r="H3657" s="15"/>
    </row>
    <row r="3658" customFormat="false" ht="15" hidden="false" customHeight="true" outlineLevel="0" collapsed="false">
      <c r="A3658" s="15" t="s">
        <v>412</v>
      </c>
      <c r="B3658" s="15" t="s">
        <v>413</v>
      </c>
      <c r="C3658" s="15" t="s">
        <v>754</v>
      </c>
      <c r="D3658" s="15" t="s">
        <v>803</v>
      </c>
      <c r="E3658" s="15"/>
      <c r="F3658" s="15" t="s">
        <v>971</v>
      </c>
      <c r="G3658" s="15" t="s">
        <v>112</v>
      </c>
      <c r="H3658" s="15"/>
    </row>
    <row r="3659" customFormat="false" ht="15" hidden="false" customHeight="true" outlineLevel="0" collapsed="false">
      <c r="A3659" s="15" t="s">
        <v>412</v>
      </c>
      <c r="B3659" s="15" t="s">
        <v>413</v>
      </c>
      <c r="C3659" s="15" t="s">
        <v>756</v>
      </c>
      <c r="D3659" s="15" t="s">
        <v>1058</v>
      </c>
      <c r="E3659" s="15"/>
      <c r="F3659" s="15" t="s">
        <v>971</v>
      </c>
      <c r="G3659" s="15" t="s">
        <v>112</v>
      </c>
      <c r="H3659" s="15"/>
    </row>
    <row r="3660" customFormat="false" ht="15" hidden="false" customHeight="true" outlineLevel="0" collapsed="false">
      <c r="A3660" s="15" t="s">
        <v>412</v>
      </c>
      <c r="B3660" s="15" t="s">
        <v>413</v>
      </c>
      <c r="C3660" s="15" t="s">
        <v>757</v>
      </c>
      <c r="D3660" s="15" t="s">
        <v>1059</v>
      </c>
      <c r="E3660" s="15"/>
      <c r="F3660" s="15" t="s">
        <v>971</v>
      </c>
      <c r="G3660" s="15" t="s">
        <v>112</v>
      </c>
      <c r="H3660" s="15"/>
    </row>
    <row r="3661" customFormat="false" ht="15" hidden="false" customHeight="true" outlineLevel="0" collapsed="false">
      <c r="A3661" s="15" t="s">
        <v>412</v>
      </c>
      <c r="B3661" s="15" t="s">
        <v>413</v>
      </c>
      <c r="C3661" s="15" t="s">
        <v>851</v>
      </c>
      <c r="D3661" s="15" t="s">
        <v>860</v>
      </c>
      <c r="E3661" s="15"/>
      <c r="F3661" s="15" t="s">
        <v>971</v>
      </c>
      <c r="G3661" s="15" t="s">
        <v>112</v>
      </c>
      <c r="H3661" s="15"/>
    </row>
    <row r="3662" customFormat="false" ht="15" hidden="false" customHeight="true" outlineLevel="0" collapsed="false">
      <c r="A3662" s="15" t="s">
        <v>412</v>
      </c>
      <c r="B3662" s="15" t="s">
        <v>413</v>
      </c>
      <c r="C3662" s="15" t="s">
        <v>946</v>
      </c>
      <c r="D3662" s="15" t="s">
        <v>1053</v>
      </c>
      <c r="E3662" s="15"/>
      <c r="F3662" s="15" t="s">
        <v>971</v>
      </c>
      <c r="G3662" s="15" t="s">
        <v>112</v>
      </c>
      <c r="H3662" s="15"/>
    </row>
    <row r="3663" customFormat="false" ht="15" hidden="false" customHeight="true" outlineLevel="0" collapsed="false">
      <c r="A3663" s="15" t="s">
        <v>412</v>
      </c>
      <c r="B3663" s="15" t="s">
        <v>413</v>
      </c>
      <c r="C3663" s="15" t="s">
        <v>853</v>
      </c>
      <c r="D3663" s="15" t="s">
        <v>803</v>
      </c>
      <c r="E3663" s="15"/>
      <c r="F3663" s="15" t="s">
        <v>971</v>
      </c>
      <c r="G3663" s="15" t="s">
        <v>112</v>
      </c>
      <c r="H3663" s="15"/>
    </row>
    <row r="3664" customFormat="false" ht="15" hidden="false" customHeight="true" outlineLevel="0" collapsed="false">
      <c r="A3664" s="15" t="s">
        <v>412</v>
      </c>
      <c r="B3664" s="15" t="s">
        <v>413</v>
      </c>
      <c r="C3664" s="15" t="s">
        <v>857</v>
      </c>
      <c r="D3664" s="15" t="s">
        <v>803</v>
      </c>
      <c r="E3664" s="15"/>
      <c r="F3664" s="15" t="s">
        <v>971</v>
      </c>
      <c r="G3664" s="15" t="s">
        <v>112</v>
      </c>
      <c r="H3664" s="15"/>
    </row>
    <row r="3665" customFormat="false" ht="15" hidden="false" customHeight="true" outlineLevel="0" collapsed="false">
      <c r="A3665" s="15" t="s">
        <v>412</v>
      </c>
      <c r="B3665" s="15" t="s">
        <v>413</v>
      </c>
      <c r="C3665" s="15" t="s">
        <v>761</v>
      </c>
      <c r="D3665" s="15" t="s">
        <v>755</v>
      </c>
      <c r="E3665" s="15"/>
      <c r="F3665" s="15" t="s">
        <v>971</v>
      </c>
      <c r="G3665" s="15" t="s">
        <v>112</v>
      </c>
      <c r="H3665" s="15"/>
    </row>
    <row r="3666" customFormat="false" ht="15" hidden="false" customHeight="true" outlineLevel="0" collapsed="false">
      <c r="A3666" s="15" t="s">
        <v>412</v>
      </c>
      <c r="B3666" s="15" t="s">
        <v>413</v>
      </c>
      <c r="C3666" s="15" t="s">
        <v>762</v>
      </c>
      <c r="D3666" s="15" t="s">
        <v>755</v>
      </c>
      <c r="E3666" s="15"/>
      <c r="F3666" s="15" t="s">
        <v>971</v>
      </c>
      <c r="G3666" s="15" t="s">
        <v>112</v>
      </c>
      <c r="H3666" s="15"/>
    </row>
    <row r="3667" customFormat="false" ht="26.25" hidden="false" customHeight="true" outlineLevel="0" collapsed="false">
      <c r="A3667" s="15" t="s">
        <v>412</v>
      </c>
      <c r="B3667" s="15" t="s">
        <v>413</v>
      </c>
      <c r="C3667" s="15" t="s">
        <v>843</v>
      </c>
      <c r="D3667" s="15" t="s">
        <v>1048</v>
      </c>
      <c r="E3667" s="15"/>
      <c r="F3667" s="15" t="s">
        <v>971</v>
      </c>
      <c r="G3667" s="15" t="s">
        <v>112</v>
      </c>
      <c r="H3667" s="15"/>
    </row>
    <row r="3668" customFormat="false" ht="26.25" hidden="false" customHeight="true" outlineLevel="0" collapsed="false">
      <c r="A3668" s="15" t="s">
        <v>412</v>
      </c>
      <c r="B3668" s="15" t="s">
        <v>413</v>
      </c>
      <c r="C3668" s="15" t="s">
        <v>1010</v>
      </c>
      <c r="D3668" s="15" t="s">
        <v>1049</v>
      </c>
      <c r="E3668" s="15"/>
      <c r="F3668" s="15" t="s">
        <v>971</v>
      </c>
      <c r="G3668" s="15" t="s">
        <v>112</v>
      </c>
      <c r="H3668" s="15" t="s">
        <v>1050</v>
      </c>
    </row>
    <row r="3669" customFormat="false" ht="15" hidden="false" customHeight="true" outlineLevel="0" collapsed="false">
      <c r="A3669" s="15" t="s">
        <v>412</v>
      </c>
      <c r="B3669" s="15" t="s">
        <v>413</v>
      </c>
      <c r="C3669" s="15" t="s">
        <v>886</v>
      </c>
      <c r="D3669" s="15" t="s">
        <v>1054</v>
      </c>
      <c r="E3669" s="15"/>
      <c r="F3669" s="15" t="s">
        <v>971</v>
      </c>
      <c r="G3669" s="15" t="s">
        <v>112</v>
      </c>
      <c r="H3669" s="15"/>
    </row>
    <row r="3670" customFormat="false" ht="15" hidden="false" customHeight="true" outlineLevel="0" collapsed="false">
      <c r="A3670" s="15" t="s">
        <v>412</v>
      </c>
      <c r="B3670" s="15" t="s">
        <v>413</v>
      </c>
      <c r="C3670" s="15" t="s">
        <v>1029</v>
      </c>
      <c r="D3670" s="15" t="s">
        <v>1060</v>
      </c>
      <c r="E3670" s="15"/>
      <c r="F3670" s="15" t="s">
        <v>971</v>
      </c>
      <c r="G3670" s="15" t="s">
        <v>112</v>
      </c>
      <c r="H3670" s="15"/>
    </row>
    <row r="3671" customFormat="false" ht="15" hidden="false" customHeight="true" outlineLevel="0" collapsed="false">
      <c r="A3671" s="15" t="s">
        <v>415</v>
      </c>
      <c r="B3671" s="15" t="s">
        <v>347</v>
      </c>
      <c r="C3671" s="15" t="s">
        <v>769</v>
      </c>
      <c r="D3671" s="15" t="n">
        <v>5</v>
      </c>
      <c r="E3671" s="15" t="s">
        <v>721</v>
      </c>
      <c r="F3671" s="15" t="s">
        <v>1039</v>
      </c>
      <c r="G3671" s="15" t="s">
        <v>112</v>
      </c>
      <c r="H3671" s="15"/>
    </row>
    <row r="3672" customFormat="false" ht="15" hidden="false" customHeight="true" outlineLevel="0" collapsed="false">
      <c r="A3672" s="15" t="s">
        <v>415</v>
      </c>
      <c r="B3672" s="15" t="s">
        <v>347</v>
      </c>
      <c r="C3672" s="15" t="s">
        <v>935</v>
      </c>
      <c r="D3672" s="15" t="s">
        <v>936</v>
      </c>
      <c r="E3672" s="15"/>
      <c r="F3672" s="15" t="s">
        <v>1039</v>
      </c>
      <c r="G3672" s="15" t="s">
        <v>112</v>
      </c>
      <c r="H3672" s="15"/>
    </row>
    <row r="3673" customFormat="false" ht="15" hidden="false" customHeight="true" outlineLevel="0" collapsed="false">
      <c r="A3673" s="15" t="s">
        <v>415</v>
      </c>
      <c r="B3673" s="15" t="s">
        <v>347</v>
      </c>
      <c r="C3673" s="15" t="s">
        <v>84</v>
      </c>
      <c r="D3673" s="15" t="n">
        <v>205</v>
      </c>
      <c r="E3673" s="15" t="s">
        <v>725</v>
      </c>
      <c r="F3673" s="15" t="s">
        <v>1039</v>
      </c>
      <c r="G3673" s="15" t="s">
        <v>112</v>
      </c>
      <c r="H3673" s="15"/>
    </row>
    <row r="3674" customFormat="false" ht="15" hidden="false" customHeight="true" outlineLevel="0" collapsed="false">
      <c r="A3674" s="15" t="s">
        <v>415</v>
      </c>
      <c r="B3674" s="15" t="s">
        <v>347</v>
      </c>
      <c r="C3674" s="15" t="s">
        <v>722</v>
      </c>
      <c r="D3674" s="15" t="n">
        <v>622</v>
      </c>
      <c r="E3674" s="15" t="s">
        <v>723</v>
      </c>
      <c r="F3674" s="15" t="s">
        <v>1039</v>
      </c>
      <c r="G3674" s="15" t="s">
        <v>112</v>
      </c>
      <c r="H3674" s="15"/>
    </row>
    <row r="3675" customFormat="false" ht="15" hidden="false" customHeight="true" outlineLevel="0" collapsed="false">
      <c r="A3675" s="15" t="s">
        <v>415</v>
      </c>
      <c r="B3675" s="15" t="s">
        <v>347</v>
      </c>
      <c r="C3675" s="15" t="s">
        <v>726</v>
      </c>
      <c r="D3675" s="15" t="n">
        <v>4340</v>
      </c>
      <c r="E3675" s="15" t="s">
        <v>725</v>
      </c>
      <c r="F3675" s="15" t="s">
        <v>1039</v>
      </c>
      <c r="G3675" s="15" t="s">
        <v>112</v>
      </c>
      <c r="H3675" s="15"/>
    </row>
    <row r="3676" customFormat="false" ht="15" hidden="false" customHeight="true" outlineLevel="0" collapsed="false">
      <c r="A3676" s="15" t="s">
        <v>415</v>
      </c>
      <c r="B3676" s="15" t="s">
        <v>347</v>
      </c>
      <c r="C3676" s="15" t="s">
        <v>727</v>
      </c>
      <c r="D3676" s="15" t="n">
        <v>1841</v>
      </c>
      <c r="E3676" s="15" t="s">
        <v>725</v>
      </c>
      <c r="F3676" s="15" t="s">
        <v>1039</v>
      </c>
      <c r="G3676" s="15" t="s">
        <v>112</v>
      </c>
      <c r="H3676" s="15"/>
    </row>
    <row r="3677" customFormat="false" ht="15" hidden="false" customHeight="true" outlineLevel="0" collapsed="false">
      <c r="A3677" s="15" t="s">
        <v>415</v>
      </c>
      <c r="B3677" s="15" t="s">
        <v>347</v>
      </c>
      <c r="C3677" s="15" t="s">
        <v>728</v>
      </c>
      <c r="D3677" s="15" t="n">
        <v>1750</v>
      </c>
      <c r="E3677" s="15" t="s">
        <v>725</v>
      </c>
      <c r="F3677" s="15" t="s">
        <v>1039</v>
      </c>
      <c r="G3677" s="15" t="s">
        <v>112</v>
      </c>
      <c r="H3677" s="15"/>
    </row>
    <row r="3678" customFormat="false" ht="15" hidden="false" customHeight="true" outlineLevel="0" collapsed="false">
      <c r="A3678" s="15" t="s">
        <v>415</v>
      </c>
      <c r="B3678" s="15" t="s">
        <v>347</v>
      </c>
      <c r="C3678" s="15" t="s">
        <v>729</v>
      </c>
      <c r="D3678" s="15" t="n">
        <v>2730</v>
      </c>
      <c r="E3678" s="15" t="s">
        <v>725</v>
      </c>
      <c r="F3678" s="15" t="s">
        <v>1039</v>
      </c>
      <c r="G3678" s="15" t="s">
        <v>112</v>
      </c>
      <c r="H3678" s="15"/>
    </row>
    <row r="3679" customFormat="false" ht="15" hidden="false" customHeight="true" outlineLevel="0" collapsed="false">
      <c r="A3679" s="15" t="s">
        <v>415</v>
      </c>
      <c r="B3679" s="15" t="s">
        <v>347</v>
      </c>
      <c r="C3679" s="15" t="s">
        <v>789</v>
      </c>
      <c r="D3679" s="15" t="s">
        <v>790</v>
      </c>
      <c r="E3679" s="15"/>
      <c r="F3679" s="15" t="s">
        <v>1039</v>
      </c>
      <c r="G3679" s="15" t="s">
        <v>112</v>
      </c>
      <c r="H3679" s="15"/>
    </row>
    <row r="3680" customFormat="false" ht="15" hidden="false" customHeight="true" outlineLevel="0" collapsed="false">
      <c r="A3680" s="15" t="s">
        <v>415</v>
      </c>
      <c r="B3680" s="15" t="s">
        <v>347</v>
      </c>
      <c r="C3680" s="15" t="s">
        <v>960</v>
      </c>
      <c r="D3680" s="15" t="n">
        <v>3.3</v>
      </c>
      <c r="E3680" s="15"/>
      <c r="F3680" s="15" t="s">
        <v>1039</v>
      </c>
      <c r="G3680" s="15" t="s">
        <v>112</v>
      </c>
      <c r="H3680" s="15"/>
    </row>
    <row r="3681" customFormat="false" ht="39" hidden="false" customHeight="true" outlineLevel="0" collapsed="false">
      <c r="A3681" s="15" t="s">
        <v>415</v>
      </c>
      <c r="B3681" s="15" t="s">
        <v>347</v>
      </c>
      <c r="C3681" s="15" t="s">
        <v>98</v>
      </c>
      <c r="D3681" s="15" t="s">
        <v>950</v>
      </c>
      <c r="E3681" s="15"/>
      <c r="F3681" s="15" t="s">
        <v>1039</v>
      </c>
      <c r="G3681" s="15" t="s">
        <v>112</v>
      </c>
      <c r="H3681" s="15"/>
    </row>
    <row r="3682" customFormat="false" ht="15" hidden="false" customHeight="true" outlineLevel="0" collapsed="false">
      <c r="A3682" s="15" t="s">
        <v>415</v>
      </c>
      <c r="B3682" s="15" t="s">
        <v>347</v>
      </c>
      <c r="C3682" s="15" t="s">
        <v>835</v>
      </c>
      <c r="D3682" s="15" t="s">
        <v>836</v>
      </c>
      <c r="E3682" s="15"/>
      <c r="F3682" s="15" t="s">
        <v>1039</v>
      </c>
      <c r="G3682" s="15" t="s">
        <v>112</v>
      </c>
      <c r="H3682" s="15"/>
    </row>
    <row r="3683" customFormat="false" ht="15" hidden="false" customHeight="true" outlineLevel="0" collapsed="false">
      <c r="A3683" s="15" t="s">
        <v>415</v>
      </c>
      <c r="B3683" s="15" t="s">
        <v>347</v>
      </c>
      <c r="C3683" s="15" t="s">
        <v>833</v>
      </c>
      <c r="D3683" s="15" t="s">
        <v>938</v>
      </c>
      <c r="E3683" s="15"/>
      <c r="F3683" s="15" t="s">
        <v>1039</v>
      </c>
      <c r="G3683" s="15" t="s">
        <v>112</v>
      </c>
      <c r="H3683" s="15"/>
    </row>
    <row r="3684" customFormat="false" ht="15" hidden="false" customHeight="true" outlineLevel="0" collapsed="false">
      <c r="A3684" s="15" t="s">
        <v>415</v>
      </c>
      <c r="B3684" s="15" t="s">
        <v>347</v>
      </c>
      <c r="C3684" s="15" t="s">
        <v>86</v>
      </c>
      <c r="D3684" s="15" t="n">
        <v>6</v>
      </c>
      <c r="E3684" s="15" t="s">
        <v>721</v>
      </c>
      <c r="F3684" s="15" t="s">
        <v>1039</v>
      </c>
      <c r="G3684" s="15" t="s">
        <v>112</v>
      </c>
      <c r="H3684" s="15"/>
    </row>
    <row r="3685" customFormat="false" ht="15" hidden="false" customHeight="true" outlineLevel="0" collapsed="false">
      <c r="A3685" s="15" t="s">
        <v>415</v>
      </c>
      <c r="B3685" s="15" t="s">
        <v>347</v>
      </c>
      <c r="C3685" s="15" t="s">
        <v>737</v>
      </c>
      <c r="D3685" s="15" t="n">
        <v>154</v>
      </c>
      <c r="E3685" s="15" t="s">
        <v>738</v>
      </c>
      <c r="F3685" s="15" t="s">
        <v>1039</v>
      </c>
      <c r="G3685" s="15" t="s">
        <v>112</v>
      </c>
      <c r="H3685" s="15"/>
    </row>
    <row r="3686" customFormat="false" ht="15" hidden="false" customHeight="true" outlineLevel="0" collapsed="false">
      <c r="A3686" s="15" t="s">
        <v>415</v>
      </c>
      <c r="B3686" s="15" t="s">
        <v>347</v>
      </c>
      <c r="C3686" s="15" t="s">
        <v>714</v>
      </c>
      <c r="D3686" s="15" t="n">
        <v>315</v>
      </c>
      <c r="E3686" s="15" t="s">
        <v>715</v>
      </c>
      <c r="F3686" s="15" t="s">
        <v>1039</v>
      </c>
      <c r="G3686" s="15" t="s">
        <v>112</v>
      </c>
      <c r="H3686" s="15"/>
    </row>
    <row r="3687" customFormat="false" ht="15" hidden="false" customHeight="true" outlineLevel="0" collapsed="false">
      <c r="A3687" s="15" t="s">
        <v>415</v>
      </c>
      <c r="B3687" s="15" t="s">
        <v>347</v>
      </c>
      <c r="C3687" s="15" t="s">
        <v>718</v>
      </c>
      <c r="D3687" s="15" t="s">
        <v>113</v>
      </c>
      <c r="E3687" s="15"/>
      <c r="F3687" s="15" t="s">
        <v>1039</v>
      </c>
      <c r="G3687" s="15" t="s">
        <v>112</v>
      </c>
      <c r="H3687" s="15"/>
    </row>
    <row r="3688" customFormat="false" ht="15" hidden="false" customHeight="true" outlineLevel="0" collapsed="false">
      <c r="A3688" s="15" t="s">
        <v>415</v>
      </c>
      <c r="B3688" s="15" t="s">
        <v>347</v>
      </c>
      <c r="C3688" s="15" t="s">
        <v>724</v>
      </c>
      <c r="D3688" s="15" t="n">
        <v>55</v>
      </c>
      <c r="E3688" s="15" t="s">
        <v>723</v>
      </c>
      <c r="F3688" s="15" t="s">
        <v>1039</v>
      </c>
      <c r="G3688" s="15" t="s">
        <v>112</v>
      </c>
      <c r="H3688" s="15"/>
    </row>
    <row r="3689" customFormat="false" ht="15" hidden="false" customHeight="true" outlineLevel="0" collapsed="false">
      <c r="A3689" s="15" t="s">
        <v>415</v>
      </c>
      <c r="B3689" s="15" t="s">
        <v>347</v>
      </c>
      <c r="C3689" s="15" t="s">
        <v>1003</v>
      </c>
      <c r="D3689" s="15" t="n">
        <v>33</v>
      </c>
      <c r="E3689" s="15"/>
      <c r="F3689" s="15" t="s">
        <v>1039</v>
      </c>
      <c r="G3689" s="15" t="s">
        <v>112</v>
      </c>
      <c r="H3689" s="15"/>
    </row>
    <row r="3690" customFormat="false" ht="15" hidden="false" customHeight="true" outlineLevel="0" collapsed="false">
      <c r="A3690" s="15" t="s">
        <v>415</v>
      </c>
      <c r="B3690" s="15" t="s">
        <v>347</v>
      </c>
      <c r="C3690" s="15" t="s">
        <v>719</v>
      </c>
      <c r="D3690" s="15" t="n">
        <v>26</v>
      </c>
      <c r="E3690" s="15" t="s">
        <v>720</v>
      </c>
      <c r="F3690" s="15" t="s">
        <v>1039</v>
      </c>
      <c r="G3690" s="15" t="s">
        <v>112</v>
      </c>
      <c r="H3690" s="15"/>
    </row>
    <row r="3691" customFormat="false" ht="15" hidden="false" customHeight="true" outlineLevel="0" collapsed="false">
      <c r="A3691" s="15" t="s">
        <v>415</v>
      </c>
      <c r="B3691" s="15" t="s">
        <v>347</v>
      </c>
      <c r="C3691" s="15" t="s">
        <v>739</v>
      </c>
      <c r="D3691" s="15" t="s">
        <v>1055</v>
      </c>
      <c r="E3691" s="15" t="s">
        <v>738</v>
      </c>
      <c r="F3691" s="15" t="s">
        <v>1039</v>
      </c>
      <c r="G3691" s="15" t="s">
        <v>112</v>
      </c>
      <c r="H3691" s="15"/>
    </row>
    <row r="3692" customFormat="false" ht="26.25" hidden="false" customHeight="true" outlineLevel="0" collapsed="false">
      <c r="A3692" s="15" t="s">
        <v>415</v>
      </c>
      <c r="B3692" s="15" t="s">
        <v>347</v>
      </c>
      <c r="C3692" s="15" t="s">
        <v>940</v>
      </c>
      <c r="D3692" s="15" t="n">
        <v>10.5</v>
      </c>
      <c r="E3692" s="15"/>
      <c r="F3692" s="15" t="s">
        <v>1039</v>
      </c>
      <c r="G3692" s="15" t="s">
        <v>112</v>
      </c>
      <c r="H3692" s="15"/>
    </row>
    <row r="3693" customFormat="false" ht="15" hidden="false" customHeight="true" outlineLevel="0" collapsed="false">
      <c r="A3693" s="15" t="s">
        <v>415</v>
      </c>
      <c r="B3693" s="15" t="s">
        <v>347</v>
      </c>
      <c r="C3693" s="15" t="s">
        <v>733</v>
      </c>
      <c r="D3693" s="15" t="s">
        <v>1056</v>
      </c>
      <c r="E3693" s="15"/>
      <c r="F3693" s="15" t="s">
        <v>1039</v>
      </c>
      <c r="G3693" s="15" t="s">
        <v>112</v>
      </c>
      <c r="H3693" s="15"/>
    </row>
    <row r="3694" customFormat="false" ht="15" hidden="false" customHeight="true" outlineLevel="0" collapsed="false">
      <c r="A3694" s="15" t="s">
        <v>415</v>
      </c>
      <c r="B3694" s="15" t="s">
        <v>347</v>
      </c>
      <c r="C3694" s="15" t="s">
        <v>102</v>
      </c>
      <c r="D3694" s="15" t="s">
        <v>1023</v>
      </c>
      <c r="E3694" s="15"/>
      <c r="F3694" s="15" t="s">
        <v>1039</v>
      </c>
      <c r="G3694" s="15" t="s">
        <v>112</v>
      </c>
      <c r="H3694" s="15"/>
    </row>
    <row r="3695" customFormat="false" ht="15" hidden="false" customHeight="true" outlineLevel="0" collapsed="false">
      <c r="A3695" s="15" t="s">
        <v>415</v>
      </c>
      <c r="B3695" s="15" t="s">
        <v>347</v>
      </c>
      <c r="C3695" s="15" t="s">
        <v>776</v>
      </c>
      <c r="D3695" s="15" t="s">
        <v>1044</v>
      </c>
      <c r="E3695" s="15"/>
      <c r="F3695" s="15" t="s">
        <v>1039</v>
      </c>
      <c r="G3695" s="15" t="s">
        <v>112</v>
      </c>
      <c r="H3695" s="15"/>
    </row>
    <row r="3696" customFormat="false" ht="15" hidden="false" customHeight="true" outlineLevel="0" collapsed="false">
      <c r="A3696" s="15" t="s">
        <v>415</v>
      </c>
      <c r="B3696" s="15" t="s">
        <v>347</v>
      </c>
      <c r="C3696" s="15" t="s">
        <v>749</v>
      </c>
      <c r="D3696" s="15" t="s">
        <v>750</v>
      </c>
      <c r="E3696" s="15"/>
      <c r="F3696" s="15" t="s">
        <v>971</v>
      </c>
      <c r="G3696" s="15" t="s">
        <v>112</v>
      </c>
      <c r="H3696" s="15"/>
    </row>
    <row r="3697" customFormat="false" ht="15" hidden="false" customHeight="true" outlineLevel="0" collapsed="false">
      <c r="A3697" s="15" t="s">
        <v>415</v>
      </c>
      <c r="B3697" s="15" t="s">
        <v>347</v>
      </c>
      <c r="C3697" s="15" t="s">
        <v>752</v>
      </c>
      <c r="D3697" s="15" t="s">
        <v>1051</v>
      </c>
      <c r="E3697" s="15"/>
      <c r="F3697" s="15" t="s">
        <v>971</v>
      </c>
      <c r="G3697" s="15" t="s">
        <v>112</v>
      </c>
      <c r="H3697" s="15"/>
    </row>
    <row r="3698" customFormat="false" ht="15" hidden="false" customHeight="true" outlineLevel="0" collapsed="false">
      <c r="A3698" s="15" t="s">
        <v>415</v>
      </c>
      <c r="B3698" s="15" t="s">
        <v>347</v>
      </c>
      <c r="C3698" s="15" t="s">
        <v>90</v>
      </c>
      <c r="D3698" s="15" t="s">
        <v>1013</v>
      </c>
      <c r="E3698" s="15"/>
      <c r="F3698" s="15" t="s">
        <v>971</v>
      </c>
      <c r="G3698" s="15" t="s">
        <v>112</v>
      </c>
      <c r="H3698" s="15"/>
    </row>
    <row r="3699" customFormat="false" ht="15" hidden="false" customHeight="true" outlineLevel="0" collapsed="false">
      <c r="A3699" s="15" t="s">
        <v>415</v>
      </c>
      <c r="B3699" s="15" t="s">
        <v>347</v>
      </c>
      <c r="C3699" s="15" t="s">
        <v>743</v>
      </c>
      <c r="D3699" s="15" t="s">
        <v>1057</v>
      </c>
      <c r="E3699" s="15"/>
      <c r="F3699" s="15" t="s">
        <v>971</v>
      </c>
      <c r="G3699" s="15" t="s">
        <v>112</v>
      </c>
      <c r="H3699" s="15"/>
    </row>
    <row r="3700" customFormat="false" ht="15" hidden="false" customHeight="true" outlineLevel="0" collapsed="false">
      <c r="A3700" s="15" t="s">
        <v>415</v>
      </c>
      <c r="B3700" s="15" t="s">
        <v>347</v>
      </c>
      <c r="C3700" s="15" t="s">
        <v>759</v>
      </c>
      <c r="D3700" s="15" t="s">
        <v>1052</v>
      </c>
      <c r="E3700" s="15"/>
      <c r="F3700" s="15" t="s">
        <v>971</v>
      </c>
      <c r="G3700" s="15" t="s">
        <v>112</v>
      </c>
      <c r="H3700" s="15"/>
    </row>
    <row r="3701" customFormat="false" ht="15" hidden="false" customHeight="true" outlineLevel="0" collapsed="false">
      <c r="A3701" s="15" t="s">
        <v>415</v>
      </c>
      <c r="B3701" s="15" t="s">
        <v>347</v>
      </c>
      <c r="C3701" s="15" t="s">
        <v>754</v>
      </c>
      <c r="D3701" s="15" t="s">
        <v>803</v>
      </c>
      <c r="E3701" s="15"/>
      <c r="F3701" s="15" t="s">
        <v>971</v>
      </c>
      <c r="G3701" s="15" t="s">
        <v>112</v>
      </c>
      <c r="H3701" s="15"/>
    </row>
    <row r="3702" customFormat="false" ht="15" hidden="false" customHeight="true" outlineLevel="0" collapsed="false">
      <c r="A3702" s="15" t="s">
        <v>415</v>
      </c>
      <c r="B3702" s="15" t="s">
        <v>347</v>
      </c>
      <c r="C3702" s="15" t="s">
        <v>756</v>
      </c>
      <c r="D3702" s="15" t="s">
        <v>1058</v>
      </c>
      <c r="E3702" s="15"/>
      <c r="F3702" s="15" t="s">
        <v>971</v>
      </c>
      <c r="G3702" s="15" t="s">
        <v>112</v>
      </c>
      <c r="H3702" s="15"/>
    </row>
    <row r="3703" customFormat="false" ht="15" hidden="false" customHeight="true" outlineLevel="0" collapsed="false">
      <c r="A3703" s="15" t="s">
        <v>415</v>
      </c>
      <c r="B3703" s="15" t="s">
        <v>347</v>
      </c>
      <c r="C3703" s="15" t="s">
        <v>757</v>
      </c>
      <c r="D3703" s="15" t="s">
        <v>1059</v>
      </c>
      <c r="E3703" s="15"/>
      <c r="F3703" s="15" t="s">
        <v>971</v>
      </c>
      <c r="G3703" s="15" t="s">
        <v>112</v>
      </c>
      <c r="H3703" s="15"/>
    </row>
    <row r="3704" customFormat="false" ht="15" hidden="false" customHeight="true" outlineLevel="0" collapsed="false">
      <c r="A3704" s="15" t="s">
        <v>415</v>
      </c>
      <c r="B3704" s="15" t="s">
        <v>347</v>
      </c>
      <c r="C3704" s="15" t="s">
        <v>851</v>
      </c>
      <c r="D3704" s="15" t="s">
        <v>860</v>
      </c>
      <c r="E3704" s="15"/>
      <c r="F3704" s="15" t="s">
        <v>971</v>
      </c>
      <c r="G3704" s="15" t="s">
        <v>112</v>
      </c>
      <c r="H3704" s="15"/>
    </row>
    <row r="3705" customFormat="false" ht="15" hidden="false" customHeight="true" outlineLevel="0" collapsed="false">
      <c r="A3705" s="15" t="s">
        <v>415</v>
      </c>
      <c r="B3705" s="15" t="s">
        <v>347</v>
      </c>
      <c r="C3705" s="15" t="s">
        <v>946</v>
      </c>
      <c r="D3705" s="15" t="s">
        <v>1053</v>
      </c>
      <c r="E3705" s="15"/>
      <c r="F3705" s="15" t="s">
        <v>971</v>
      </c>
      <c r="G3705" s="15" t="s">
        <v>112</v>
      </c>
      <c r="H3705" s="15"/>
    </row>
    <row r="3706" customFormat="false" ht="15" hidden="false" customHeight="true" outlineLevel="0" collapsed="false">
      <c r="A3706" s="15" t="s">
        <v>415</v>
      </c>
      <c r="B3706" s="15" t="s">
        <v>347</v>
      </c>
      <c r="C3706" s="15" t="s">
        <v>853</v>
      </c>
      <c r="D3706" s="15" t="s">
        <v>803</v>
      </c>
      <c r="E3706" s="15"/>
      <c r="F3706" s="15" t="s">
        <v>971</v>
      </c>
      <c r="G3706" s="15" t="s">
        <v>112</v>
      </c>
      <c r="H3706" s="15"/>
    </row>
    <row r="3707" customFormat="false" ht="15" hidden="false" customHeight="true" outlineLevel="0" collapsed="false">
      <c r="A3707" s="15" t="s">
        <v>415</v>
      </c>
      <c r="B3707" s="15" t="s">
        <v>347</v>
      </c>
      <c r="C3707" s="15" t="s">
        <v>857</v>
      </c>
      <c r="D3707" s="15" t="s">
        <v>803</v>
      </c>
      <c r="E3707" s="15"/>
      <c r="F3707" s="15" t="s">
        <v>971</v>
      </c>
      <c r="G3707" s="15" t="s">
        <v>112</v>
      </c>
      <c r="H3707" s="15"/>
    </row>
    <row r="3708" customFormat="false" ht="15" hidden="false" customHeight="true" outlineLevel="0" collapsed="false">
      <c r="A3708" s="15" t="s">
        <v>415</v>
      </c>
      <c r="B3708" s="15" t="s">
        <v>347</v>
      </c>
      <c r="C3708" s="15" t="s">
        <v>761</v>
      </c>
      <c r="D3708" s="15" t="s">
        <v>755</v>
      </c>
      <c r="E3708" s="15"/>
      <c r="F3708" s="15" t="s">
        <v>971</v>
      </c>
      <c r="G3708" s="15" t="s">
        <v>112</v>
      </c>
      <c r="H3708" s="15"/>
    </row>
    <row r="3709" customFormat="false" ht="15" hidden="false" customHeight="true" outlineLevel="0" collapsed="false">
      <c r="A3709" s="15" t="s">
        <v>415</v>
      </c>
      <c r="B3709" s="15" t="s">
        <v>347</v>
      </c>
      <c r="C3709" s="15" t="s">
        <v>762</v>
      </c>
      <c r="D3709" s="15" t="s">
        <v>755</v>
      </c>
      <c r="E3709" s="15"/>
      <c r="F3709" s="15" t="s">
        <v>971</v>
      </c>
      <c r="G3709" s="15" t="s">
        <v>112</v>
      </c>
      <c r="H3709" s="15"/>
    </row>
    <row r="3710" customFormat="false" ht="26.25" hidden="false" customHeight="true" outlineLevel="0" collapsed="false">
      <c r="A3710" s="15" t="s">
        <v>415</v>
      </c>
      <c r="B3710" s="15" t="s">
        <v>347</v>
      </c>
      <c r="C3710" s="15" t="s">
        <v>843</v>
      </c>
      <c r="D3710" s="15" t="s">
        <v>1048</v>
      </c>
      <c r="E3710" s="15"/>
      <c r="F3710" s="15" t="s">
        <v>971</v>
      </c>
      <c r="G3710" s="15" t="s">
        <v>112</v>
      </c>
      <c r="H3710" s="15"/>
    </row>
    <row r="3711" customFormat="false" ht="26.25" hidden="false" customHeight="true" outlineLevel="0" collapsed="false">
      <c r="A3711" s="15" t="s">
        <v>415</v>
      </c>
      <c r="B3711" s="15" t="s">
        <v>347</v>
      </c>
      <c r="C3711" s="15" t="s">
        <v>1010</v>
      </c>
      <c r="D3711" s="15" t="s">
        <v>1049</v>
      </c>
      <c r="E3711" s="15"/>
      <c r="F3711" s="15" t="s">
        <v>971</v>
      </c>
      <c r="G3711" s="15" t="s">
        <v>112</v>
      </c>
      <c r="H3711" s="15" t="s">
        <v>1050</v>
      </c>
    </row>
    <row r="3712" customFormat="false" ht="15" hidden="false" customHeight="true" outlineLevel="0" collapsed="false">
      <c r="A3712" s="15" t="s">
        <v>415</v>
      </c>
      <c r="B3712" s="15" t="s">
        <v>347</v>
      </c>
      <c r="C3712" s="15" t="s">
        <v>886</v>
      </c>
      <c r="D3712" s="15" t="s">
        <v>1054</v>
      </c>
      <c r="E3712" s="15"/>
      <c r="F3712" s="15" t="s">
        <v>971</v>
      </c>
      <c r="G3712" s="15" t="s">
        <v>112</v>
      </c>
      <c r="H3712" s="15"/>
    </row>
    <row r="3713" customFormat="false" ht="15" hidden="false" customHeight="true" outlineLevel="0" collapsed="false">
      <c r="A3713" s="15" t="s">
        <v>415</v>
      </c>
      <c r="B3713" s="15" t="s">
        <v>347</v>
      </c>
      <c r="C3713" s="15" t="s">
        <v>1029</v>
      </c>
      <c r="D3713" s="15" t="s">
        <v>1060</v>
      </c>
      <c r="E3713" s="15"/>
      <c r="F3713" s="15" t="s">
        <v>971</v>
      </c>
      <c r="G3713" s="15" t="s">
        <v>112</v>
      </c>
      <c r="H3713" s="15"/>
    </row>
    <row r="3714" customFormat="false" ht="15" hidden="false" customHeight="true" outlineLevel="0" collapsed="false">
      <c r="A3714" s="15" t="s">
        <v>417</v>
      </c>
      <c r="B3714" s="15" t="s">
        <v>418</v>
      </c>
      <c r="C3714" s="15" t="s">
        <v>769</v>
      </c>
      <c r="D3714" s="15" t="n">
        <v>5</v>
      </c>
      <c r="E3714" s="15" t="s">
        <v>721</v>
      </c>
      <c r="F3714" s="15" t="s">
        <v>1039</v>
      </c>
      <c r="G3714" s="15" t="s">
        <v>112</v>
      </c>
      <c r="H3714" s="15"/>
    </row>
    <row r="3715" customFormat="false" ht="15" hidden="false" customHeight="true" outlineLevel="0" collapsed="false">
      <c r="A3715" s="15" t="s">
        <v>417</v>
      </c>
      <c r="B3715" s="15" t="s">
        <v>418</v>
      </c>
      <c r="C3715" s="15" t="s">
        <v>935</v>
      </c>
      <c r="D3715" s="15" t="s">
        <v>936</v>
      </c>
      <c r="E3715" s="15"/>
      <c r="F3715" s="15" t="s">
        <v>1039</v>
      </c>
      <c r="G3715" s="15" t="s">
        <v>112</v>
      </c>
      <c r="H3715" s="15"/>
    </row>
    <row r="3716" customFormat="false" ht="15" hidden="false" customHeight="true" outlineLevel="0" collapsed="false">
      <c r="A3716" s="15" t="s">
        <v>417</v>
      </c>
      <c r="B3716" s="15" t="s">
        <v>418</v>
      </c>
      <c r="C3716" s="15" t="s">
        <v>84</v>
      </c>
      <c r="D3716" s="15" t="n">
        <v>205</v>
      </c>
      <c r="E3716" s="15" t="s">
        <v>725</v>
      </c>
      <c r="F3716" s="15" t="s">
        <v>1039</v>
      </c>
      <c r="G3716" s="15" t="s">
        <v>112</v>
      </c>
      <c r="H3716" s="15"/>
    </row>
    <row r="3717" customFormat="false" ht="15" hidden="false" customHeight="true" outlineLevel="0" collapsed="false">
      <c r="A3717" s="15" t="s">
        <v>417</v>
      </c>
      <c r="B3717" s="15" t="s">
        <v>418</v>
      </c>
      <c r="C3717" s="15" t="s">
        <v>722</v>
      </c>
      <c r="D3717" s="15" t="n">
        <v>622</v>
      </c>
      <c r="E3717" s="15" t="s">
        <v>723</v>
      </c>
      <c r="F3717" s="15" t="s">
        <v>1039</v>
      </c>
      <c r="G3717" s="15" t="s">
        <v>112</v>
      </c>
      <c r="H3717" s="15"/>
    </row>
    <row r="3718" customFormat="false" ht="15" hidden="false" customHeight="true" outlineLevel="0" collapsed="false">
      <c r="A3718" s="15" t="s">
        <v>417</v>
      </c>
      <c r="B3718" s="15" t="s">
        <v>418</v>
      </c>
      <c r="C3718" s="15" t="s">
        <v>726</v>
      </c>
      <c r="D3718" s="15" t="n">
        <v>4340</v>
      </c>
      <c r="E3718" s="15" t="s">
        <v>725</v>
      </c>
      <c r="F3718" s="15" t="s">
        <v>1039</v>
      </c>
      <c r="G3718" s="15" t="s">
        <v>112</v>
      </c>
      <c r="H3718" s="15"/>
    </row>
    <row r="3719" customFormat="false" ht="15" hidden="false" customHeight="true" outlineLevel="0" collapsed="false">
      <c r="A3719" s="15" t="s">
        <v>417</v>
      </c>
      <c r="B3719" s="15" t="s">
        <v>418</v>
      </c>
      <c r="C3719" s="15" t="s">
        <v>727</v>
      </c>
      <c r="D3719" s="15" t="n">
        <v>1841</v>
      </c>
      <c r="E3719" s="15" t="s">
        <v>725</v>
      </c>
      <c r="F3719" s="15" t="s">
        <v>1039</v>
      </c>
      <c r="G3719" s="15" t="s">
        <v>112</v>
      </c>
      <c r="H3719" s="15"/>
    </row>
    <row r="3720" customFormat="false" ht="15" hidden="false" customHeight="true" outlineLevel="0" collapsed="false">
      <c r="A3720" s="15" t="s">
        <v>417</v>
      </c>
      <c r="B3720" s="15" t="s">
        <v>418</v>
      </c>
      <c r="C3720" s="15" t="s">
        <v>728</v>
      </c>
      <c r="D3720" s="15" t="n">
        <v>1750</v>
      </c>
      <c r="E3720" s="15" t="s">
        <v>725</v>
      </c>
      <c r="F3720" s="15" t="s">
        <v>1039</v>
      </c>
      <c r="G3720" s="15" t="s">
        <v>112</v>
      </c>
      <c r="H3720" s="15"/>
    </row>
    <row r="3721" customFormat="false" ht="15" hidden="false" customHeight="true" outlineLevel="0" collapsed="false">
      <c r="A3721" s="15" t="s">
        <v>417</v>
      </c>
      <c r="B3721" s="15" t="s">
        <v>418</v>
      </c>
      <c r="C3721" s="15" t="s">
        <v>729</v>
      </c>
      <c r="D3721" s="15" t="n">
        <v>2730</v>
      </c>
      <c r="E3721" s="15" t="s">
        <v>725</v>
      </c>
      <c r="F3721" s="15" t="s">
        <v>1039</v>
      </c>
      <c r="G3721" s="15" t="s">
        <v>112</v>
      </c>
      <c r="H3721" s="15"/>
    </row>
    <row r="3722" customFormat="false" ht="15" hidden="false" customHeight="true" outlineLevel="0" collapsed="false">
      <c r="A3722" s="15" t="s">
        <v>417</v>
      </c>
      <c r="B3722" s="15" t="s">
        <v>418</v>
      </c>
      <c r="C3722" s="15" t="s">
        <v>789</v>
      </c>
      <c r="D3722" s="15" t="s">
        <v>790</v>
      </c>
      <c r="E3722" s="15"/>
      <c r="F3722" s="15" t="s">
        <v>1039</v>
      </c>
      <c r="G3722" s="15" t="s">
        <v>112</v>
      </c>
      <c r="H3722" s="15"/>
    </row>
    <row r="3723" customFormat="false" ht="15" hidden="false" customHeight="true" outlineLevel="0" collapsed="false">
      <c r="A3723" s="15" t="s">
        <v>417</v>
      </c>
      <c r="B3723" s="15" t="s">
        <v>418</v>
      </c>
      <c r="C3723" s="15" t="s">
        <v>960</v>
      </c>
      <c r="D3723" s="15" t="n">
        <v>3.3</v>
      </c>
      <c r="E3723" s="15"/>
      <c r="F3723" s="15" t="s">
        <v>1039</v>
      </c>
      <c r="G3723" s="15" t="s">
        <v>112</v>
      </c>
      <c r="H3723" s="15"/>
    </row>
    <row r="3724" customFormat="false" ht="39" hidden="false" customHeight="true" outlineLevel="0" collapsed="false">
      <c r="A3724" s="15" t="s">
        <v>417</v>
      </c>
      <c r="B3724" s="15" t="s">
        <v>418</v>
      </c>
      <c r="C3724" s="15" t="s">
        <v>98</v>
      </c>
      <c r="D3724" s="15" t="s">
        <v>950</v>
      </c>
      <c r="E3724" s="15"/>
      <c r="F3724" s="15" t="s">
        <v>1039</v>
      </c>
      <c r="G3724" s="15" t="s">
        <v>112</v>
      </c>
      <c r="H3724" s="15"/>
    </row>
    <row r="3725" customFormat="false" ht="15" hidden="false" customHeight="true" outlineLevel="0" collapsed="false">
      <c r="A3725" s="15" t="s">
        <v>417</v>
      </c>
      <c r="B3725" s="15" t="s">
        <v>418</v>
      </c>
      <c r="C3725" s="15" t="s">
        <v>835</v>
      </c>
      <c r="D3725" s="15" t="s">
        <v>836</v>
      </c>
      <c r="E3725" s="15"/>
      <c r="F3725" s="15" t="s">
        <v>1039</v>
      </c>
      <c r="G3725" s="15" t="s">
        <v>112</v>
      </c>
      <c r="H3725" s="15"/>
    </row>
    <row r="3726" customFormat="false" ht="15" hidden="false" customHeight="true" outlineLevel="0" collapsed="false">
      <c r="A3726" s="15" t="s">
        <v>417</v>
      </c>
      <c r="B3726" s="15" t="s">
        <v>418</v>
      </c>
      <c r="C3726" s="15" t="s">
        <v>833</v>
      </c>
      <c r="D3726" s="15" t="s">
        <v>938</v>
      </c>
      <c r="E3726" s="15"/>
      <c r="F3726" s="15" t="s">
        <v>1039</v>
      </c>
      <c r="G3726" s="15" t="s">
        <v>112</v>
      </c>
      <c r="H3726" s="15"/>
    </row>
    <row r="3727" customFormat="false" ht="15" hidden="false" customHeight="true" outlineLevel="0" collapsed="false">
      <c r="A3727" s="15" t="s">
        <v>417</v>
      </c>
      <c r="B3727" s="15" t="s">
        <v>418</v>
      </c>
      <c r="C3727" s="15" t="s">
        <v>86</v>
      </c>
      <c r="D3727" s="15" t="n">
        <v>6</v>
      </c>
      <c r="E3727" s="15" t="s">
        <v>721</v>
      </c>
      <c r="F3727" s="15" t="s">
        <v>1039</v>
      </c>
      <c r="G3727" s="15" t="s">
        <v>112</v>
      </c>
      <c r="H3727" s="15"/>
    </row>
    <row r="3728" customFormat="false" ht="15" hidden="false" customHeight="true" outlineLevel="0" collapsed="false">
      <c r="A3728" s="15" t="s">
        <v>417</v>
      </c>
      <c r="B3728" s="15" t="s">
        <v>418</v>
      </c>
      <c r="C3728" s="15" t="s">
        <v>737</v>
      </c>
      <c r="D3728" s="15" t="n">
        <v>154</v>
      </c>
      <c r="E3728" s="15" t="s">
        <v>738</v>
      </c>
      <c r="F3728" s="15" t="s">
        <v>1039</v>
      </c>
      <c r="G3728" s="15" t="s">
        <v>112</v>
      </c>
      <c r="H3728" s="15"/>
    </row>
    <row r="3729" customFormat="false" ht="15" hidden="false" customHeight="true" outlineLevel="0" collapsed="false">
      <c r="A3729" s="15" t="s">
        <v>417</v>
      </c>
      <c r="B3729" s="15" t="s">
        <v>418</v>
      </c>
      <c r="C3729" s="15" t="s">
        <v>714</v>
      </c>
      <c r="D3729" s="15" t="n">
        <v>315</v>
      </c>
      <c r="E3729" s="15" t="s">
        <v>715</v>
      </c>
      <c r="F3729" s="15" t="s">
        <v>1039</v>
      </c>
      <c r="G3729" s="15" t="s">
        <v>112</v>
      </c>
      <c r="H3729" s="15"/>
    </row>
    <row r="3730" customFormat="false" ht="15" hidden="false" customHeight="true" outlineLevel="0" collapsed="false">
      <c r="A3730" s="15" t="s">
        <v>417</v>
      </c>
      <c r="B3730" s="15" t="s">
        <v>418</v>
      </c>
      <c r="C3730" s="15" t="s">
        <v>718</v>
      </c>
      <c r="D3730" s="15" t="s">
        <v>113</v>
      </c>
      <c r="E3730" s="15"/>
      <c r="F3730" s="15" t="s">
        <v>1039</v>
      </c>
      <c r="G3730" s="15" t="s">
        <v>112</v>
      </c>
      <c r="H3730" s="15"/>
    </row>
    <row r="3731" customFormat="false" ht="15" hidden="false" customHeight="true" outlineLevel="0" collapsed="false">
      <c r="A3731" s="15" t="s">
        <v>417</v>
      </c>
      <c r="B3731" s="15" t="s">
        <v>418</v>
      </c>
      <c r="C3731" s="15" t="s">
        <v>724</v>
      </c>
      <c r="D3731" s="15" t="n">
        <v>55</v>
      </c>
      <c r="E3731" s="15" t="s">
        <v>723</v>
      </c>
      <c r="F3731" s="15" t="s">
        <v>1039</v>
      </c>
      <c r="G3731" s="15" t="s">
        <v>112</v>
      </c>
      <c r="H3731" s="15"/>
    </row>
    <row r="3732" customFormat="false" ht="15" hidden="false" customHeight="true" outlineLevel="0" collapsed="false">
      <c r="A3732" s="15" t="s">
        <v>417</v>
      </c>
      <c r="B3732" s="15" t="s">
        <v>418</v>
      </c>
      <c r="C3732" s="15" t="s">
        <v>1003</v>
      </c>
      <c r="D3732" s="15" t="n">
        <v>33</v>
      </c>
      <c r="E3732" s="15"/>
      <c r="F3732" s="15" t="s">
        <v>1039</v>
      </c>
      <c r="G3732" s="15" t="s">
        <v>112</v>
      </c>
      <c r="H3732" s="15"/>
    </row>
    <row r="3733" customFormat="false" ht="15" hidden="false" customHeight="true" outlineLevel="0" collapsed="false">
      <c r="A3733" s="15" t="s">
        <v>417</v>
      </c>
      <c r="B3733" s="15" t="s">
        <v>418</v>
      </c>
      <c r="C3733" s="15" t="s">
        <v>719</v>
      </c>
      <c r="D3733" s="15" t="n">
        <v>26</v>
      </c>
      <c r="E3733" s="15" t="s">
        <v>720</v>
      </c>
      <c r="F3733" s="15" t="s">
        <v>1039</v>
      </c>
      <c r="G3733" s="15" t="s">
        <v>112</v>
      </c>
      <c r="H3733" s="15"/>
    </row>
    <row r="3734" customFormat="false" ht="15" hidden="false" customHeight="true" outlineLevel="0" collapsed="false">
      <c r="A3734" s="15" t="s">
        <v>417</v>
      </c>
      <c r="B3734" s="15" t="s">
        <v>418</v>
      </c>
      <c r="C3734" s="15" t="s">
        <v>739</v>
      </c>
      <c r="D3734" s="15" t="s">
        <v>1055</v>
      </c>
      <c r="E3734" s="15" t="s">
        <v>738</v>
      </c>
      <c r="F3734" s="15" t="s">
        <v>1039</v>
      </c>
      <c r="G3734" s="15" t="s">
        <v>112</v>
      </c>
      <c r="H3734" s="15"/>
    </row>
    <row r="3735" customFormat="false" ht="26.25" hidden="false" customHeight="true" outlineLevel="0" collapsed="false">
      <c r="A3735" s="15" t="s">
        <v>417</v>
      </c>
      <c r="B3735" s="15" t="s">
        <v>418</v>
      </c>
      <c r="C3735" s="15" t="s">
        <v>940</v>
      </c>
      <c r="D3735" s="15" t="n">
        <v>10.5</v>
      </c>
      <c r="E3735" s="15"/>
      <c r="F3735" s="15" t="s">
        <v>1039</v>
      </c>
      <c r="G3735" s="15" t="s">
        <v>112</v>
      </c>
      <c r="H3735" s="15"/>
    </row>
    <row r="3736" customFormat="false" ht="15" hidden="false" customHeight="true" outlineLevel="0" collapsed="false">
      <c r="A3736" s="15" t="s">
        <v>417</v>
      </c>
      <c r="B3736" s="15" t="s">
        <v>418</v>
      </c>
      <c r="C3736" s="15" t="s">
        <v>733</v>
      </c>
      <c r="D3736" s="15" t="s">
        <v>1056</v>
      </c>
      <c r="E3736" s="15"/>
      <c r="F3736" s="15" t="s">
        <v>1039</v>
      </c>
      <c r="G3736" s="15" t="s">
        <v>112</v>
      </c>
      <c r="H3736" s="15"/>
    </row>
    <row r="3737" customFormat="false" ht="15" hidden="false" customHeight="true" outlineLevel="0" collapsed="false">
      <c r="A3737" s="15" t="s">
        <v>417</v>
      </c>
      <c r="B3737" s="15" t="s">
        <v>418</v>
      </c>
      <c r="C3737" s="15" t="s">
        <v>102</v>
      </c>
      <c r="D3737" s="15" t="s">
        <v>1023</v>
      </c>
      <c r="E3737" s="15"/>
      <c r="F3737" s="15" t="s">
        <v>1039</v>
      </c>
      <c r="G3737" s="15" t="s">
        <v>112</v>
      </c>
      <c r="H3737" s="15"/>
    </row>
    <row r="3738" customFormat="false" ht="15" hidden="false" customHeight="true" outlineLevel="0" collapsed="false">
      <c r="A3738" s="15" t="s">
        <v>417</v>
      </c>
      <c r="B3738" s="15" t="s">
        <v>418</v>
      </c>
      <c r="C3738" s="15" t="s">
        <v>776</v>
      </c>
      <c r="D3738" s="15" t="s">
        <v>1061</v>
      </c>
      <c r="E3738" s="15"/>
      <c r="F3738" s="15" t="s">
        <v>1039</v>
      </c>
      <c r="G3738" s="15" t="s">
        <v>112</v>
      </c>
      <c r="H3738" s="15"/>
    </row>
    <row r="3739" customFormat="false" ht="15" hidden="false" customHeight="true" outlineLevel="0" collapsed="false">
      <c r="A3739" s="15" t="s">
        <v>417</v>
      </c>
      <c r="B3739" s="15" t="s">
        <v>418</v>
      </c>
      <c r="C3739" s="15" t="s">
        <v>749</v>
      </c>
      <c r="D3739" s="15" t="s">
        <v>1062</v>
      </c>
      <c r="E3739" s="15"/>
      <c r="F3739" s="15" t="s">
        <v>971</v>
      </c>
      <c r="G3739" s="15" t="s">
        <v>112</v>
      </c>
      <c r="H3739" s="15"/>
    </row>
    <row r="3740" customFormat="false" ht="15" hidden="false" customHeight="true" outlineLevel="0" collapsed="false">
      <c r="A3740" s="15" t="s">
        <v>417</v>
      </c>
      <c r="B3740" s="15" t="s">
        <v>418</v>
      </c>
      <c r="C3740" s="15" t="s">
        <v>752</v>
      </c>
      <c r="D3740" s="15" t="s">
        <v>1025</v>
      </c>
      <c r="E3740" s="15"/>
      <c r="F3740" s="15" t="s">
        <v>971</v>
      </c>
      <c r="G3740" s="15" t="s">
        <v>112</v>
      </c>
      <c r="H3740" s="15"/>
    </row>
    <row r="3741" customFormat="false" ht="15" hidden="false" customHeight="true" outlineLevel="0" collapsed="false">
      <c r="A3741" s="15" t="s">
        <v>417</v>
      </c>
      <c r="B3741" s="15" t="s">
        <v>418</v>
      </c>
      <c r="C3741" s="15" t="s">
        <v>90</v>
      </c>
      <c r="D3741" s="15" t="s">
        <v>1013</v>
      </c>
      <c r="E3741" s="15"/>
      <c r="F3741" s="15" t="s">
        <v>971</v>
      </c>
      <c r="G3741" s="15" t="s">
        <v>112</v>
      </c>
      <c r="H3741" s="15"/>
    </row>
    <row r="3742" customFormat="false" ht="15" hidden="false" customHeight="true" outlineLevel="0" collapsed="false">
      <c r="A3742" s="15" t="s">
        <v>417</v>
      </c>
      <c r="B3742" s="15" t="s">
        <v>418</v>
      </c>
      <c r="C3742" s="15" t="s">
        <v>743</v>
      </c>
      <c r="D3742" s="15" t="s">
        <v>1057</v>
      </c>
      <c r="E3742" s="15"/>
      <c r="F3742" s="15" t="s">
        <v>971</v>
      </c>
      <c r="G3742" s="15" t="s">
        <v>112</v>
      </c>
      <c r="H3742" s="15"/>
    </row>
    <row r="3743" customFormat="false" ht="15" hidden="false" customHeight="true" outlineLevel="0" collapsed="false">
      <c r="A3743" s="15" t="s">
        <v>417</v>
      </c>
      <c r="B3743" s="15" t="s">
        <v>418</v>
      </c>
      <c r="C3743" s="15" t="s">
        <v>759</v>
      </c>
      <c r="D3743" s="15" t="s">
        <v>1052</v>
      </c>
      <c r="E3743" s="15"/>
      <c r="F3743" s="15" t="s">
        <v>971</v>
      </c>
      <c r="G3743" s="15" t="s">
        <v>112</v>
      </c>
      <c r="H3743" s="15"/>
    </row>
    <row r="3744" customFormat="false" ht="15" hidden="false" customHeight="true" outlineLevel="0" collapsed="false">
      <c r="A3744" s="15" t="s">
        <v>417</v>
      </c>
      <c r="B3744" s="15" t="s">
        <v>418</v>
      </c>
      <c r="C3744" s="15" t="s">
        <v>754</v>
      </c>
      <c r="D3744" s="15" t="s">
        <v>803</v>
      </c>
      <c r="E3744" s="15"/>
      <c r="F3744" s="15" t="s">
        <v>971</v>
      </c>
      <c r="G3744" s="15" t="s">
        <v>112</v>
      </c>
      <c r="H3744" s="15"/>
    </row>
    <row r="3745" customFormat="false" ht="15" hidden="false" customHeight="true" outlineLevel="0" collapsed="false">
      <c r="A3745" s="15" t="s">
        <v>417</v>
      </c>
      <c r="B3745" s="15" t="s">
        <v>418</v>
      </c>
      <c r="C3745" s="15" t="s">
        <v>756</v>
      </c>
      <c r="D3745" s="15" t="s">
        <v>1058</v>
      </c>
      <c r="E3745" s="15"/>
      <c r="F3745" s="15" t="s">
        <v>971</v>
      </c>
      <c r="G3745" s="15" t="s">
        <v>112</v>
      </c>
      <c r="H3745" s="15"/>
    </row>
    <row r="3746" customFormat="false" ht="15" hidden="false" customHeight="true" outlineLevel="0" collapsed="false">
      <c r="A3746" s="15" t="s">
        <v>417</v>
      </c>
      <c r="B3746" s="15" t="s">
        <v>418</v>
      </c>
      <c r="C3746" s="15" t="s">
        <v>757</v>
      </c>
      <c r="D3746" s="15" t="s">
        <v>1059</v>
      </c>
      <c r="E3746" s="15"/>
      <c r="F3746" s="15" t="s">
        <v>971</v>
      </c>
      <c r="G3746" s="15" t="s">
        <v>112</v>
      </c>
      <c r="H3746" s="15"/>
    </row>
    <row r="3747" customFormat="false" ht="15" hidden="false" customHeight="true" outlineLevel="0" collapsed="false">
      <c r="A3747" s="15" t="s">
        <v>417</v>
      </c>
      <c r="B3747" s="15" t="s">
        <v>418</v>
      </c>
      <c r="C3747" s="15" t="s">
        <v>851</v>
      </c>
      <c r="D3747" s="15" t="s">
        <v>860</v>
      </c>
      <c r="E3747" s="15"/>
      <c r="F3747" s="15" t="s">
        <v>971</v>
      </c>
      <c r="G3747" s="15" t="s">
        <v>112</v>
      </c>
      <c r="H3747" s="15"/>
    </row>
    <row r="3748" customFormat="false" ht="15" hidden="false" customHeight="true" outlineLevel="0" collapsed="false">
      <c r="A3748" s="15" t="s">
        <v>417</v>
      </c>
      <c r="B3748" s="15" t="s">
        <v>418</v>
      </c>
      <c r="C3748" s="15" t="s">
        <v>946</v>
      </c>
      <c r="D3748" s="15" t="s">
        <v>1053</v>
      </c>
      <c r="E3748" s="15"/>
      <c r="F3748" s="15" t="s">
        <v>971</v>
      </c>
      <c r="G3748" s="15" t="s">
        <v>112</v>
      </c>
      <c r="H3748" s="15"/>
    </row>
    <row r="3749" customFormat="false" ht="15" hidden="false" customHeight="true" outlineLevel="0" collapsed="false">
      <c r="A3749" s="15" t="s">
        <v>417</v>
      </c>
      <c r="B3749" s="15" t="s">
        <v>418</v>
      </c>
      <c r="C3749" s="15" t="s">
        <v>853</v>
      </c>
      <c r="D3749" s="15" t="s">
        <v>803</v>
      </c>
      <c r="E3749" s="15"/>
      <c r="F3749" s="15" t="s">
        <v>971</v>
      </c>
      <c r="G3749" s="15" t="s">
        <v>112</v>
      </c>
      <c r="H3749" s="15"/>
    </row>
    <row r="3750" customFormat="false" ht="15" hidden="false" customHeight="true" outlineLevel="0" collapsed="false">
      <c r="A3750" s="15" t="s">
        <v>417</v>
      </c>
      <c r="B3750" s="15" t="s">
        <v>418</v>
      </c>
      <c r="C3750" s="15" t="s">
        <v>857</v>
      </c>
      <c r="D3750" s="15" t="s">
        <v>803</v>
      </c>
      <c r="E3750" s="15"/>
      <c r="F3750" s="15" t="s">
        <v>971</v>
      </c>
      <c r="G3750" s="15" t="s">
        <v>112</v>
      </c>
      <c r="H3750" s="15"/>
    </row>
    <row r="3751" customFormat="false" ht="15" hidden="false" customHeight="true" outlineLevel="0" collapsed="false">
      <c r="A3751" s="15" t="s">
        <v>417</v>
      </c>
      <c r="B3751" s="15" t="s">
        <v>418</v>
      </c>
      <c r="C3751" s="15" t="s">
        <v>761</v>
      </c>
      <c r="D3751" s="15" t="s">
        <v>1063</v>
      </c>
      <c r="E3751" s="15"/>
      <c r="F3751" s="15" t="s">
        <v>971</v>
      </c>
      <c r="G3751" s="15" t="s">
        <v>112</v>
      </c>
      <c r="H3751" s="15"/>
    </row>
    <row r="3752" customFormat="false" ht="15" hidden="false" customHeight="true" outlineLevel="0" collapsed="false">
      <c r="A3752" s="15" t="s">
        <v>417</v>
      </c>
      <c r="B3752" s="15" t="s">
        <v>418</v>
      </c>
      <c r="C3752" s="15" t="s">
        <v>762</v>
      </c>
      <c r="D3752" s="15" t="s">
        <v>1064</v>
      </c>
      <c r="E3752" s="15"/>
      <c r="F3752" s="15" t="s">
        <v>971</v>
      </c>
      <c r="G3752" s="15" t="s">
        <v>112</v>
      </c>
      <c r="H3752" s="15"/>
    </row>
    <row r="3753" customFormat="false" ht="26.25" hidden="false" customHeight="true" outlineLevel="0" collapsed="false">
      <c r="A3753" s="15" t="s">
        <v>417</v>
      </c>
      <c r="B3753" s="15" t="s">
        <v>418</v>
      </c>
      <c r="C3753" s="15" t="s">
        <v>843</v>
      </c>
      <c r="D3753" s="15" t="s">
        <v>1048</v>
      </c>
      <c r="E3753" s="15"/>
      <c r="F3753" s="15" t="s">
        <v>971</v>
      </c>
      <c r="G3753" s="15" t="s">
        <v>112</v>
      </c>
      <c r="H3753" s="15"/>
    </row>
    <row r="3754" customFormat="false" ht="26.25" hidden="false" customHeight="true" outlineLevel="0" collapsed="false">
      <c r="A3754" s="15" t="s">
        <v>417</v>
      </c>
      <c r="B3754" s="15" t="s">
        <v>418</v>
      </c>
      <c r="C3754" s="15" t="s">
        <v>1010</v>
      </c>
      <c r="D3754" s="15" t="s">
        <v>1049</v>
      </c>
      <c r="E3754" s="15"/>
      <c r="F3754" s="15" t="s">
        <v>971</v>
      </c>
      <c r="G3754" s="15" t="s">
        <v>112</v>
      </c>
      <c r="H3754" s="15" t="s">
        <v>1050</v>
      </c>
    </row>
    <row r="3755" customFormat="false" ht="15" hidden="false" customHeight="true" outlineLevel="0" collapsed="false">
      <c r="A3755" s="15" t="s">
        <v>417</v>
      </c>
      <c r="B3755" s="15" t="s">
        <v>418</v>
      </c>
      <c r="C3755" s="15" t="s">
        <v>886</v>
      </c>
      <c r="D3755" s="15" t="s">
        <v>1054</v>
      </c>
      <c r="E3755" s="15"/>
      <c r="F3755" s="15" t="s">
        <v>971</v>
      </c>
      <c r="G3755" s="15" t="s">
        <v>112</v>
      </c>
      <c r="H3755" s="15"/>
    </row>
    <row r="3756" customFormat="false" ht="15" hidden="false" customHeight="true" outlineLevel="0" collapsed="false">
      <c r="A3756" s="15" t="s">
        <v>417</v>
      </c>
      <c r="B3756" s="15" t="s">
        <v>418</v>
      </c>
      <c r="C3756" s="15" t="s">
        <v>1029</v>
      </c>
      <c r="D3756" s="15" t="s">
        <v>1060</v>
      </c>
      <c r="E3756" s="15"/>
      <c r="F3756" s="15" t="s">
        <v>971</v>
      </c>
      <c r="G3756" s="15" t="s">
        <v>112</v>
      </c>
      <c r="H3756" s="15"/>
    </row>
    <row r="3757" customFormat="false" ht="15" hidden="false" customHeight="true" outlineLevel="0" collapsed="false">
      <c r="A3757" s="15" t="s">
        <v>417</v>
      </c>
      <c r="B3757" s="15" t="s">
        <v>418</v>
      </c>
      <c r="C3757" s="15" t="s">
        <v>1065</v>
      </c>
      <c r="D3757" s="15" t="s">
        <v>1066</v>
      </c>
      <c r="E3757" s="15"/>
      <c r="F3757" s="15" t="s">
        <v>971</v>
      </c>
      <c r="G3757" s="15" t="s">
        <v>112</v>
      </c>
      <c r="H3757" s="15"/>
    </row>
    <row r="3758" customFormat="false" ht="26.25" hidden="false" customHeight="true" outlineLevel="0" collapsed="false">
      <c r="A3758" s="15" t="s">
        <v>420</v>
      </c>
      <c r="B3758" s="15" t="s">
        <v>421</v>
      </c>
      <c r="C3758" s="15" t="s">
        <v>769</v>
      </c>
      <c r="D3758" s="15" t="n">
        <v>5</v>
      </c>
      <c r="E3758" s="15" t="s">
        <v>721</v>
      </c>
      <c r="F3758" s="15" t="s">
        <v>1039</v>
      </c>
      <c r="G3758" s="15" t="s">
        <v>112</v>
      </c>
      <c r="H3758" s="15"/>
    </row>
    <row r="3759" customFormat="false" ht="26.25" hidden="false" customHeight="true" outlineLevel="0" collapsed="false">
      <c r="A3759" s="15" t="s">
        <v>420</v>
      </c>
      <c r="B3759" s="15" t="s">
        <v>421</v>
      </c>
      <c r="C3759" s="15" t="s">
        <v>935</v>
      </c>
      <c r="D3759" s="15" t="s">
        <v>936</v>
      </c>
      <c r="E3759" s="15"/>
      <c r="F3759" s="15" t="s">
        <v>1039</v>
      </c>
      <c r="G3759" s="15" t="s">
        <v>112</v>
      </c>
      <c r="H3759" s="15"/>
    </row>
    <row r="3760" customFormat="false" ht="26.25" hidden="false" customHeight="true" outlineLevel="0" collapsed="false">
      <c r="A3760" s="15" t="s">
        <v>420</v>
      </c>
      <c r="B3760" s="15" t="s">
        <v>421</v>
      </c>
      <c r="C3760" s="15" t="s">
        <v>84</v>
      </c>
      <c r="D3760" s="15" t="n">
        <v>205</v>
      </c>
      <c r="E3760" s="15" t="s">
        <v>725</v>
      </c>
      <c r="F3760" s="15" t="s">
        <v>1039</v>
      </c>
      <c r="G3760" s="15" t="s">
        <v>112</v>
      </c>
      <c r="H3760" s="15"/>
    </row>
    <row r="3761" customFormat="false" ht="26.25" hidden="false" customHeight="true" outlineLevel="0" collapsed="false">
      <c r="A3761" s="15" t="s">
        <v>420</v>
      </c>
      <c r="B3761" s="15" t="s">
        <v>421</v>
      </c>
      <c r="C3761" s="15" t="s">
        <v>722</v>
      </c>
      <c r="D3761" s="15" t="n">
        <v>622</v>
      </c>
      <c r="E3761" s="15" t="s">
        <v>723</v>
      </c>
      <c r="F3761" s="15" t="s">
        <v>1039</v>
      </c>
      <c r="G3761" s="15" t="s">
        <v>112</v>
      </c>
      <c r="H3761" s="15"/>
    </row>
    <row r="3762" customFormat="false" ht="26.25" hidden="false" customHeight="true" outlineLevel="0" collapsed="false">
      <c r="A3762" s="15" t="s">
        <v>420</v>
      </c>
      <c r="B3762" s="15" t="s">
        <v>421</v>
      </c>
      <c r="C3762" s="15" t="s">
        <v>726</v>
      </c>
      <c r="D3762" s="15" t="n">
        <v>4340</v>
      </c>
      <c r="E3762" s="15" t="s">
        <v>725</v>
      </c>
      <c r="F3762" s="15" t="s">
        <v>1039</v>
      </c>
      <c r="G3762" s="15" t="s">
        <v>112</v>
      </c>
      <c r="H3762" s="15"/>
    </row>
    <row r="3763" customFormat="false" ht="26.25" hidden="false" customHeight="true" outlineLevel="0" collapsed="false">
      <c r="A3763" s="15" t="s">
        <v>420</v>
      </c>
      <c r="B3763" s="15" t="s">
        <v>421</v>
      </c>
      <c r="C3763" s="15" t="s">
        <v>727</v>
      </c>
      <c r="D3763" s="15" t="n">
        <v>1841</v>
      </c>
      <c r="E3763" s="15" t="s">
        <v>725</v>
      </c>
      <c r="F3763" s="15" t="s">
        <v>1039</v>
      </c>
      <c r="G3763" s="15" t="s">
        <v>112</v>
      </c>
      <c r="H3763" s="15"/>
    </row>
    <row r="3764" customFormat="false" ht="26.25" hidden="false" customHeight="true" outlineLevel="0" collapsed="false">
      <c r="A3764" s="15" t="s">
        <v>420</v>
      </c>
      <c r="B3764" s="15" t="s">
        <v>421</v>
      </c>
      <c r="C3764" s="15" t="s">
        <v>728</v>
      </c>
      <c r="D3764" s="15" t="n">
        <v>1750</v>
      </c>
      <c r="E3764" s="15" t="s">
        <v>725</v>
      </c>
      <c r="F3764" s="15" t="s">
        <v>1039</v>
      </c>
      <c r="G3764" s="15" t="s">
        <v>112</v>
      </c>
      <c r="H3764" s="15"/>
    </row>
    <row r="3765" customFormat="false" ht="26.25" hidden="false" customHeight="true" outlineLevel="0" collapsed="false">
      <c r="A3765" s="15" t="s">
        <v>420</v>
      </c>
      <c r="B3765" s="15" t="s">
        <v>421</v>
      </c>
      <c r="C3765" s="15" t="s">
        <v>729</v>
      </c>
      <c r="D3765" s="15" t="n">
        <v>2730</v>
      </c>
      <c r="E3765" s="15" t="s">
        <v>725</v>
      </c>
      <c r="F3765" s="15" t="s">
        <v>1039</v>
      </c>
      <c r="G3765" s="15" t="s">
        <v>112</v>
      </c>
      <c r="H3765" s="15"/>
    </row>
    <row r="3766" customFormat="false" ht="26.25" hidden="false" customHeight="true" outlineLevel="0" collapsed="false">
      <c r="A3766" s="15" t="s">
        <v>420</v>
      </c>
      <c r="B3766" s="15" t="s">
        <v>421</v>
      </c>
      <c r="C3766" s="15" t="s">
        <v>789</v>
      </c>
      <c r="D3766" s="15" t="s">
        <v>790</v>
      </c>
      <c r="E3766" s="15"/>
      <c r="F3766" s="15" t="s">
        <v>1039</v>
      </c>
      <c r="G3766" s="15" t="s">
        <v>112</v>
      </c>
      <c r="H3766" s="15"/>
    </row>
    <row r="3767" customFormat="false" ht="26.25" hidden="false" customHeight="true" outlineLevel="0" collapsed="false">
      <c r="A3767" s="15" t="s">
        <v>420</v>
      </c>
      <c r="B3767" s="15" t="s">
        <v>421</v>
      </c>
      <c r="C3767" s="15" t="s">
        <v>960</v>
      </c>
      <c r="D3767" s="15" t="n">
        <v>3.3</v>
      </c>
      <c r="E3767" s="15"/>
      <c r="F3767" s="15" t="s">
        <v>1039</v>
      </c>
      <c r="G3767" s="15" t="s">
        <v>112</v>
      </c>
      <c r="H3767" s="15"/>
    </row>
    <row r="3768" customFormat="false" ht="39" hidden="false" customHeight="true" outlineLevel="0" collapsed="false">
      <c r="A3768" s="15" t="s">
        <v>420</v>
      </c>
      <c r="B3768" s="15" t="s">
        <v>421</v>
      </c>
      <c r="C3768" s="15" t="s">
        <v>98</v>
      </c>
      <c r="D3768" s="15" t="s">
        <v>950</v>
      </c>
      <c r="E3768" s="15"/>
      <c r="F3768" s="15" t="s">
        <v>1039</v>
      </c>
      <c r="G3768" s="15" t="s">
        <v>112</v>
      </c>
      <c r="H3768" s="15"/>
    </row>
    <row r="3769" customFormat="false" ht="26.25" hidden="false" customHeight="true" outlineLevel="0" collapsed="false">
      <c r="A3769" s="15" t="s">
        <v>420</v>
      </c>
      <c r="B3769" s="15" t="s">
        <v>421</v>
      </c>
      <c r="C3769" s="15" t="s">
        <v>835</v>
      </c>
      <c r="D3769" s="15" t="s">
        <v>836</v>
      </c>
      <c r="E3769" s="15"/>
      <c r="F3769" s="15" t="s">
        <v>1039</v>
      </c>
      <c r="G3769" s="15" t="s">
        <v>112</v>
      </c>
      <c r="H3769" s="15"/>
    </row>
    <row r="3770" customFormat="false" ht="26.25" hidden="false" customHeight="true" outlineLevel="0" collapsed="false">
      <c r="A3770" s="15" t="s">
        <v>420</v>
      </c>
      <c r="B3770" s="15" t="s">
        <v>421</v>
      </c>
      <c r="C3770" s="15" t="s">
        <v>833</v>
      </c>
      <c r="D3770" s="15" t="s">
        <v>938</v>
      </c>
      <c r="E3770" s="15"/>
      <c r="F3770" s="15" t="s">
        <v>1039</v>
      </c>
      <c r="G3770" s="15" t="s">
        <v>112</v>
      </c>
      <c r="H3770" s="15"/>
    </row>
    <row r="3771" customFormat="false" ht="26.25" hidden="false" customHeight="true" outlineLevel="0" collapsed="false">
      <c r="A3771" s="15" t="s">
        <v>420</v>
      </c>
      <c r="B3771" s="15" t="s">
        <v>421</v>
      </c>
      <c r="C3771" s="15" t="s">
        <v>86</v>
      </c>
      <c r="D3771" s="15" t="n">
        <v>6</v>
      </c>
      <c r="E3771" s="15" t="s">
        <v>721</v>
      </c>
      <c r="F3771" s="15" t="s">
        <v>1039</v>
      </c>
      <c r="G3771" s="15" t="s">
        <v>112</v>
      </c>
      <c r="H3771" s="15"/>
    </row>
    <row r="3772" customFormat="false" ht="26.25" hidden="false" customHeight="true" outlineLevel="0" collapsed="false">
      <c r="A3772" s="15" t="s">
        <v>420</v>
      </c>
      <c r="B3772" s="15" t="s">
        <v>421</v>
      </c>
      <c r="C3772" s="15" t="s">
        <v>737</v>
      </c>
      <c r="D3772" s="15" t="s">
        <v>1067</v>
      </c>
      <c r="E3772" s="15" t="s">
        <v>738</v>
      </c>
      <c r="F3772" s="15" t="s">
        <v>1039</v>
      </c>
      <c r="G3772" s="15" t="s">
        <v>112</v>
      </c>
      <c r="H3772" s="15"/>
    </row>
    <row r="3773" customFormat="false" ht="26.25" hidden="false" customHeight="true" outlineLevel="0" collapsed="false">
      <c r="A3773" s="15" t="s">
        <v>420</v>
      </c>
      <c r="B3773" s="15" t="s">
        <v>421</v>
      </c>
      <c r="C3773" s="15" t="s">
        <v>714</v>
      </c>
      <c r="D3773" s="15" t="n">
        <v>504</v>
      </c>
      <c r="E3773" s="15" t="s">
        <v>715</v>
      </c>
      <c r="F3773" s="15" t="s">
        <v>1039</v>
      </c>
      <c r="G3773" s="15" t="s">
        <v>112</v>
      </c>
      <c r="H3773" s="15"/>
    </row>
    <row r="3774" customFormat="false" ht="26.25" hidden="false" customHeight="true" outlineLevel="0" collapsed="false">
      <c r="A3774" s="15" t="s">
        <v>420</v>
      </c>
      <c r="B3774" s="15" t="s">
        <v>421</v>
      </c>
      <c r="C3774" s="15" t="s">
        <v>718</v>
      </c>
      <c r="D3774" s="15" t="s">
        <v>1034</v>
      </c>
      <c r="E3774" s="15"/>
      <c r="F3774" s="15" t="s">
        <v>1039</v>
      </c>
      <c r="G3774" s="15" t="s">
        <v>112</v>
      </c>
      <c r="H3774" s="15"/>
    </row>
    <row r="3775" customFormat="false" ht="26.25" hidden="false" customHeight="true" outlineLevel="0" collapsed="false">
      <c r="A3775" s="15" t="s">
        <v>420</v>
      </c>
      <c r="B3775" s="15" t="s">
        <v>421</v>
      </c>
      <c r="C3775" s="15" t="s">
        <v>724</v>
      </c>
      <c r="D3775" s="15" t="n">
        <v>35</v>
      </c>
      <c r="E3775" s="15" t="s">
        <v>723</v>
      </c>
      <c r="F3775" s="15" t="s">
        <v>1039</v>
      </c>
      <c r="G3775" s="15" t="s">
        <v>112</v>
      </c>
      <c r="H3775" s="15"/>
    </row>
    <row r="3776" customFormat="false" ht="26.25" hidden="false" customHeight="true" outlineLevel="0" collapsed="false">
      <c r="A3776" s="15" t="s">
        <v>420</v>
      </c>
      <c r="B3776" s="15" t="s">
        <v>421</v>
      </c>
      <c r="C3776" s="15" t="s">
        <v>1003</v>
      </c>
      <c r="D3776" s="15" t="n">
        <v>52</v>
      </c>
      <c r="E3776" s="15"/>
      <c r="F3776" s="15" t="s">
        <v>1039</v>
      </c>
      <c r="G3776" s="15" t="s">
        <v>112</v>
      </c>
      <c r="H3776" s="15"/>
    </row>
    <row r="3777" customFormat="false" ht="26.25" hidden="false" customHeight="true" outlineLevel="0" collapsed="false">
      <c r="A3777" s="15" t="s">
        <v>420</v>
      </c>
      <c r="B3777" s="15" t="s">
        <v>421</v>
      </c>
      <c r="C3777" s="15" t="s">
        <v>719</v>
      </c>
      <c r="D3777" s="15" t="n">
        <v>26</v>
      </c>
      <c r="E3777" s="15" t="s">
        <v>720</v>
      </c>
      <c r="F3777" s="15" t="s">
        <v>1039</v>
      </c>
      <c r="G3777" s="15" t="s">
        <v>112</v>
      </c>
      <c r="H3777" s="15"/>
    </row>
    <row r="3778" customFormat="false" ht="26.25" hidden="false" customHeight="true" outlineLevel="0" collapsed="false">
      <c r="A3778" s="15" t="s">
        <v>420</v>
      </c>
      <c r="B3778" s="15" t="s">
        <v>421</v>
      </c>
      <c r="C3778" s="15" t="s">
        <v>739</v>
      </c>
      <c r="D3778" s="15" t="s">
        <v>1055</v>
      </c>
      <c r="E3778" s="15" t="s">
        <v>738</v>
      </c>
      <c r="F3778" s="15" t="s">
        <v>1039</v>
      </c>
      <c r="G3778" s="15" t="s">
        <v>112</v>
      </c>
      <c r="H3778" s="15"/>
    </row>
    <row r="3779" customFormat="false" ht="26.25" hidden="false" customHeight="true" outlineLevel="0" collapsed="false">
      <c r="A3779" s="15" t="s">
        <v>420</v>
      </c>
      <c r="B3779" s="15" t="s">
        <v>421</v>
      </c>
      <c r="C3779" s="15" t="s">
        <v>940</v>
      </c>
      <c r="D3779" s="15" t="n">
        <v>10.5</v>
      </c>
      <c r="E3779" s="15"/>
      <c r="F3779" s="15" t="s">
        <v>1039</v>
      </c>
      <c r="G3779" s="15" t="s">
        <v>112</v>
      </c>
      <c r="H3779" s="15"/>
    </row>
    <row r="3780" customFormat="false" ht="26.25" hidden="false" customHeight="true" outlineLevel="0" collapsed="false">
      <c r="A3780" s="15" t="s">
        <v>420</v>
      </c>
      <c r="B3780" s="15" t="s">
        <v>421</v>
      </c>
      <c r="C3780" s="15" t="s">
        <v>733</v>
      </c>
      <c r="D3780" s="15" t="s">
        <v>1068</v>
      </c>
      <c r="E3780" s="15"/>
      <c r="F3780" s="15" t="s">
        <v>1039</v>
      </c>
      <c r="G3780" s="15" t="s">
        <v>112</v>
      </c>
      <c r="H3780" s="15"/>
    </row>
    <row r="3781" customFormat="false" ht="26.25" hidden="false" customHeight="true" outlineLevel="0" collapsed="false">
      <c r="A3781" s="15" t="s">
        <v>420</v>
      </c>
      <c r="B3781" s="15" t="s">
        <v>421</v>
      </c>
      <c r="C3781" s="15" t="s">
        <v>102</v>
      </c>
      <c r="D3781" s="15" t="s">
        <v>1036</v>
      </c>
      <c r="E3781" s="15"/>
      <c r="F3781" s="15" t="s">
        <v>1039</v>
      </c>
      <c r="G3781" s="15" t="s">
        <v>112</v>
      </c>
      <c r="H3781" s="15"/>
    </row>
    <row r="3782" customFormat="false" ht="26.25" hidden="false" customHeight="true" outlineLevel="0" collapsed="false">
      <c r="A3782" s="15" t="s">
        <v>420</v>
      </c>
      <c r="B3782" s="15" t="s">
        <v>421</v>
      </c>
      <c r="C3782" s="15" t="s">
        <v>776</v>
      </c>
      <c r="D3782" s="15" t="s">
        <v>1061</v>
      </c>
      <c r="E3782" s="15"/>
      <c r="F3782" s="15" t="s">
        <v>1039</v>
      </c>
      <c r="G3782" s="15" t="s">
        <v>112</v>
      </c>
      <c r="H3782" s="15"/>
    </row>
    <row r="3783" customFormat="false" ht="26.25" hidden="false" customHeight="true" outlineLevel="0" collapsed="false">
      <c r="A3783" s="15" t="s">
        <v>420</v>
      </c>
      <c r="B3783" s="15" t="s">
        <v>421</v>
      </c>
      <c r="C3783" s="15" t="s">
        <v>749</v>
      </c>
      <c r="D3783" s="15" t="s">
        <v>1062</v>
      </c>
      <c r="E3783" s="15"/>
      <c r="F3783" s="15" t="s">
        <v>971</v>
      </c>
      <c r="G3783" s="15" t="s">
        <v>112</v>
      </c>
      <c r="H3783" s="15"/>
    </row>
    <row r="3784" customFormat="false" ht="26.25" hidden="false" customHeight="true" outlineLevel="0" collapsed="false">
      <c r="A3784" s="15" t="s">
        <v>420</v>
      </c>
      <c r="B3784" s="15" t="s">
        <v>421</v>
      </c>
      <c r="C3784" s="15" t="s">
        <v>752</v>
      </c>
      <c r="D3784" s="15" t="s">
        <v>1025</v>
      </c>
      <c r="E3784" s="15"/>
      <c r="F3784" s="15" t="s">
        <v>971</v>
      </c>
      <c r="G3784" s="15" t="s">
        <v>112</v>
      </c>
      <c r="H3784" s="15"/>
    </row>
    <row r="3785" customFormat="false" ht="26.25" hidden="false" customHeight="true" outlineLevel="0" collapsed="false">
      <c r="A3785" s="15" t="s">
        <v>420</v>
      </c>
      <c r="B3785" s="15" t="s">
        <v>421</v>
      </c>
      <c r="C3785" s="15" t="s">
        <v>90</v>
      </c>
      <c r="D3785" s="15" t="s">
        <v>1013</v>
      </c>
      <c r="E3785" s="15"/>
      <c r="F3785" s="15" t="s">
        <v>971</v>
      </c>
      <c r="G3785" s="15" t="s">
        <v>112</v>
      </c>
      <c r="H3785" s="15"/>
    </row>
    <row r="3786" customFormat="false" ht="26.25" hidden="false" customHeight="true" outlineLevel="0" collapsed="false">
      <c r="A3786" s="15" t="s">
        <v>420</v>
      </c>
      <c r="B3786" s="15" t="s">
        <v>421</v>
      </c>
      <c r="C3786" s="15" t="s">
        <v>743</v>
      </c>
      <c r="D3786" s="15" t="s">
        <v>1057</v>
      </c>
      <c r="E3786" s="15"/>
      <c r="F3786" s="15" t="s">
        <v>971</v>
      </c>
      <c r="G3786" s="15" t="s">
        <v>112</v>
      </c>
      <c r="H3786" s="15"/>
    </row>
    <row r="3787" customFormat="false" ht="26.25" hidden="false" customHeight="true" outlineLevel="0" collapsed="false">
      <c r="A3787" s="15" t="s">
        <v>420</v>
      </c>
      <c r="B3787" s="15" t="s">
        <v>421</v>
      </c>
      <c r="C3787" s="15" t="s">
        <v>759</v>
      </c>
      <c r="D3787" s="15" t="s">
        <v>1052</v>
      </c>
      <c r="E3787" s="15"/>
      <c r="F3787" s="15" t="s">
        <v>971</v>
      </c>
      <c r="G3787" s="15" t="s">
        <v>112</v>
      </c>
      <c r="H3787" s="15"/>
    </row>
    <row r="3788" customFormat="false" ht="26.25" hidden="false" customHeight="true" outlineLevel="0" collapsed="false">
      <c r="A3788" s="15" t="s">
        <v>420</v>
      </c>
      <c r="B3788" s="15" t="s">
        <v>421</v>
      </c>
      <c r="C3788" s="15" t="s">
        <v>754</v>
      </c>
      <c r="D3788" s="15" t="s">
        <v>803</v>
      </c>
      <c r="E3788" s="15"/>
      <c r="F3788" s="15" t="s">
        <v>971</v>
      </c>
      <c r="G3788" s="15" t="s">
        <v>112</v>
      </c>
      <c r="H3788" s="15"/>
    </row>
    <row r="3789" customFormat="false" ht="26.25" hidden="false" customHeight="true" outlineLevel="0" collapsed="false">
      <c r="A3789" s="15" t="s">
        <v>420</v>
      </c>
      <c r="B3789" s="15" t="s">
        <v>421</v>
      </c>
      <c r="C3789" s="15" t="s">
        <v>756</v>
      </c>
      <c r="D3789" s="15" t="s">
        <v>1058</v>
      </c>
      <c r="E3789" s="15"/>
      <c r="F3789" s="15" t="s">
        <v>971</v>
      </c>
      <c r="G3789" s="15" t="s">
        <v>112</v>
      </c>
      <c r="H3789" s="15"/>
    </row>
    <row r="3790" customFormat="false" ht="26.25" hidden="false" customHeight="true" outlineLevel="0" collapsed="false">
      <c r="A3790" s="15" t="s">
        <v>420</v>
      </c>
      <c r="B3790" s="15" t="s">
        <v>421</v>
      </c>
      <c r="C3790" s="15" t="s">
        <v>757</v>
      </c>
      <c r="D3790" s="15" t="s">
        <v>1059</v>
      </c>
      <c r="E3790" s="15"/>
      <c r="F3790" s="15" t="s">
        <v>971</v>
      </c>
      <c r="G3790" s="15" t="s">
        <v>112</v>
      </c>
      <c r="H3790" s="15"/>
    </row>
    <row r="3791" customFormat="false" ht="26.25" hidden="false" customHeight="true" outlineLevel="0" collapsed="false">
      <c r="A3791" s="15" t="s">
        <v>420</v>
      </c>
      <c r="B3791" s="15" t="s">
        <v>421</v>
      </c>
      <c r="C3791" s="15" t="s">
        <v>851</v>
      </c>
      <c r="D3791" s="15" t="s">
        <v>860</v>
      </c>
      <c r="E3791" s="15"/>
      <c r="F3791" s="15" t="s">
        <v>971</v>
      </c>
      <c r="G3791" s="15" t="s">
        <v>112</v>
      </c>
      <c r="H3791" s="15"/>
    </row>
    <row r="3792" customFormat="false" ht="26.25" hidden="false" customHeight="true" outlineLevel="0" collapsed="false">
      <c r="A3792" s="15" t="s">
        <v>420</v>
      </c>
      <c r="B3792" s="15" t="s">
        <v>421</v>
      </c>
      <c r="C3792" s="15" t="s">
        <v>946</v>
      </c>
      <c r="D3792" s="15" t="s">
        <v>1053</v>
      </c>
      <c r="E3792" s="15"/>
      <c r="F3792" s="15" t="s">
        <v>971</v>
      </c>
      <c r="G3792" s="15" t="s">
        <v>112</v>
      </c>
      <c r="H3792" s="15"/>
    </row>
    <row r="3793" customFormat="false" ht="26.25" hidden="false" customHeight="true" outlineLevel="0" collapsed="false">
      <c r="A3793" s="15" t="s">
        <v>420</v>
      </c>
      <c r="B3793" s="15" t="s">
        <v>421</v>
      </c>
      <c r="C3793" s="15" t="s">
        <v>853</v>
      </c>
      <c r="D3793" s="15" t="s">
        <v>803</v>
      </c>
      <c r="E3793" s="15"/>
      <c r="F3793" s="15" t="s">
        <v>971</v>
      </c>
      <c r="G3793" s="15" t="s">
        <v>112</v>
      </c>
      <c r="H3793" s="15"/>
    </row>
    <row r="3794" customFormat="false" ht="26.25" hidden="false" customHeight="true" outlineLevel="0" collapsed="false">
      <c r="A3794" s="15" t="s">
        <v>420</v>
      </c>
      <c r="B3794" s="15" t="s">
        <v>421</v>
      </c>
      <c r="C3794" s="15" t="s">
        <v>857</v>
      </c>
      <c r="D3794" s="15" t="s">
        <v>803</v>
      </c>
      <c r="E3794" s="15"/>
      <c r="F3794" s="15" t="s">
        <v>971</v>
      </c>
      <c r="G3794" s="15" t="s">
        <v>112</v>
      </c>
      <c r="H3794" s="15"/>
    </row>
    <row r="3795" customFormat="false" ht="26.25" hidden="false" customHeight="true" outlineLevel="0" collapsed="false">
      <c r="A3795" s="15" t="s">
        <v>420</v>
      </c>
      <c r="B3795" s="15" t="s">
        <v>421</v>
      </c>
      <c r="C3795" s="15" t="s">
        <v>761</v>
      </c>
      <c r="D3795" s="15" t="s">
        <v>1063</v>
      </c>
      <c r="E3795" s="15"/>
      <c r="F3795" s="15" t="s">
        <v>971</v>
      </c>
      <c r="G3795" s="15" t="s">
        <v>112</v>
      </c>
      <c r="H3795" s="15"/>
    </row>
    <row r="3796" customFormat="false" ht="26.25" hidden="false" customHeight="true" outlineLevel="0" collapsed="false">
      <c r="A3796" s="15" t="s">
        <v>420</v>
      </c>
      <c r="B3796" s="15" t="s">
        <v>421</v>
      </c>
      <c r="C3796" s="15" t="s">
        <v>762</v>
      </c>
      <c r="D3796" s="15" t="s">
        <v>1064</v>
      </c>
      <c r="E3796" s="15"/>
      <c r="F3796" s="15" t="s">
        <v>971</v>
      </c>
      <c r="G3796" s="15" t="s">
        <v>112</v>
      </c>
      <c r="H3796" s="15"/>
    </row>
    <row r="3797" customFormat="false" ht="26.25" hidden="false" customHeight="true" outlineLevel="0" collapsed="false">
      <c r="A3797" s="15" t="s">
        <v>420</v>
      </c>
      <c r="B3797" s="15" t="s">
        <v>421</v>
      </c>
      <c r="C3797" s="15" t="s">
        <v>843</v>
      </c>
      <c r="D3797" s="15" t="s">
        <v>1048</v>
      </c>
      <c r="E3797" s="15"/>
      <c r="F3797" s="15" t="s">
        <v>971</v>
      </c>
      <c r="G3797" s="15" t="s">
        <v>112</v>
      </c>
      <c r="H3797" s="15"/>
    </row>
    <row r="3798" customFormat="false" ht="26.25" hidden="false" customHeight="true" outlineLevel="0" collapsed="false">
      <c r="A3798" s="15" t="s">
        <v>420</v>
      </c>
      <c r="B3798" s="15" t="s">
        <v>421</v>
      </c>
      <c r="C3798" s="15" t="s">
        <v>1010</v>
      </c>
      <c r="D3798" s="15" t="s">
        <v>1049</v>
      </c>
      <c r="E3798" s="15"/>
      <c r="F3798" s="15" t="s">
        <v>971</v>
      </c>
      <c r="G3798" s="15" t="s">
        <v>112</v>
      </c>
      <c r="H3798" s="15" t="s">
        <v>1050</v>
      </c>
    </row>
    <row r="3799" customFormat="false" ht="26.25" hidden="false" customHeight="true" outlineLevel="0" collapsed="false">
      <c r="A3799" s="15" t="s">
        <v>420</v>
      </c>
      <c r="B3799" s="15" t="s">
        <v>421</v>
      </c>
      <c r="C3799" s="15" t="s">
        <v>886</v>
      </c>
      <c r="D3799" s="15" t="s">
        <v>1054</v>
      </c>
      <c r="E3799" s="15"/>
      <c r="F3799" s="15" t="s">
        <v>971</v>
      </c>
      <c r="G3799" s="15" t="s">
        <v>112</v>
      </c>
      <c r="H3799" s="15"/>
    </row>
    <row r="3800" customFormat="false" ht="26.25" hidden="false" customHeight="true" outlineLevel="0" collapsed="false">
      <c r="A3800" s="15" t="s">
        <v>420</v>
      </c>
      <c r="B3800" s="15" t="s">
        <v>421</v>
      </c>
      <c r="C3800" s="15" t="s">
        <v>1029</v>
      </c>
      <c r="D3800" s="15" t="s">
        <v>1060</v>
      </c>
      <c r="E3800" s="15"/>
      <c r="F3800" s="15" t="s">
        <v>971</v>
      </c>
      <c r="G3800" s="15" t="s">
        <v>112</v>
      </c>
      <c r="H3800" s="15"/>
    </row>
    <row r="3801" customFormat="false" ht="26.25" hidden="false" customHeight="true" outlineLevel="0" collapsed="false">
      <c r="A3801" s="15" t="s">
        <v>420</v>
      </c>
      <c r="B3801" s="15" t="s">
        <v>421</v>
      </c>
      <c r="C3801" s="15" t="s">
        <v>1065</v>
      </c>
      <c r="D3801" s="15" t="s">
        <v>1066</v>
      </c>
      <c r="E3801" s="15"/>
      <c r="F3801" s="15" t="s">
        <v>971</v>
      </c>
      <c r="G3801" s="15" t="s">
        <v>112</v>
      </c>
      <c r="H3801" s="15"/>
    </row>
    <row r="3802" customFormat="false" ht="26.25" hidden="false" customHeight="true" outlineLevel="0" collapsed="false">
      <c r="A3802" s="15" t="s">
        <v>420</v>
      </c>
      <c r="B3802" s="15" t="s">
        <v>421</v>
      </c>
      <c r="C3802" s="15" t="s">
        <v>1037</v>
      </c>
      <c r="D3802" s="15" t="s">
        <v>803</v>
      </c>
      <c r="E3802" s="15"/>
      <c r="F3802" s="15" t="s">
        <v>971</v>
      </c>
      <c r="G3802" s="15" t="s">
        <v>112</v>
      </c>
      <c r="H3802" s="15"/>
    </row>
    <row r="3803" customFormat="false" ht="26.25" hidden="false" customHeight="true" outlineLevel="0" collapsed="false">
      <c r="A3803" s="15" t="s">
        <v>420</v>
      </c>
      <c r="B3803" s="15" t="s">
        <v>421</v>
      </c>
      <c r="C3803" s="15" t="s">
        <v>1038</v>
      </c>
      <c r="D3803" s="15" t="s">
        <v>803</v>
      </c>
      <c r="E3803" s="15"/>
      <c r="F3803" s="15" t="s">
        <v>971</v>
      </c>
      <c r="G3803" s="15" t="s">
        <v>112</v>
      </c>
      <c r="H3803" s="15"/>
    </row>
    <row r="3804" customFormat="false" ht="26.25" hidden="false" customHeight="true" outlineLevel="0" collapsed="false">
      <c r="A3804" s="15" t="s">
        <v>423</v>
      </c>
      <c r="B3804" s="15" t="s">
        <v>426</v>
      </c>
      <c r="C3804" s="15" t="s">
        <v>769</v>
      </c>
      <c r="D3804" s="15" t="n">
        <v>5</v>
      </c>
      <c r="E3804" s="15" t="s">
        <v>721</v>
      </c>
      <c r="F3804" s="15" t="s">
        <v>1069</v>
      </c>
      <c r="G3804" s="15" t="s">
        <v>128</v>
      </c>
      <c r="H3804" s="15" t="s">
        <v>1070</v>
      </c>
    </row>
    <row r="3805" customFormat="false" ht="15" hidden="false" customHeight="true" outlineLevel="0" collapsed="false">
      <c r="A3805" s="15" t="s">
        <v>423</v>
      </c>
      <c r="B3805" s="15" t="s">
        <v>426</v>
      </c>
      <c r="C3805" s="15" t="s">
        <v>718</v>
      </c>
      <c r="D3805" s="15" t="s">
        <v>1071</v>
      </c>
      <c r="E3805" s="15"/>
      <c r="F3805" s="15" t="s">
        <v>1069</v>
      </c>
      <c r="G3805" s="15" t="s">
        <v>293</v>
      </c>
      <c r="H3805" s="15" t="s">
        <v>1072</v>
      </c>
    </row>
    <row r="3806" customFormat="false" ht="15" hidden="false" customHeight="true" outlineLevel="0" collapsed="false">
      <c r="A3806" s="15" t="s">
        <v>423</v>
      </c>
      <c r="B3806" s="15" t="s">
        <v>426</v>
      </c>
      <c r="C3806" s="15" t="s">
        <v>935</v>
      </c>
      <c r="D3806" s="15" t="s">
        <v>936</v>
      </c>
      <c r="E3806" s="15"/>
      <c r="F3806" s="15" t="s">
        <v>1069</v>
      </c>
      <c r="G3806" s="15" t="s">
        <v>112</v>
      </c>
      <c r="H3806" s="15"/>
    </row>
    <row r="3807" customFormat="false" ht="15" hidden="false" customHeight="true" outlineLevel="0" collapsed="false">
      <c r="A3807" s="15" t="s">
        <v>423</v>
      </c>
      <c r="B3807" s="15" t="s">
        <v>426</v>
      </c>
      <c r="C3807" s="15" t="s">
        <v>722</v>
      </c>
      <c r="D3807" s="15" t="n">
        <v>240</v>
      </c>
      <c r="E3807" s="15" t="s">
        <v>723</v>
      </c>
      <c r="F3807" s="15" t="s">
        <v>1069</v>
      </c>
      <c r="G3807" s="15" t="s">
        <v>112</v>
      </c>
      <c r="H3807" s="15"/>
    </row>
    <row r="3808" customFormat="false" ht="15" hidden="false" customHeight="true" outlineLevel="0" collapsed="false">
      <c r="A3808" s="15" t="s">
        <v>423</v>
      </c>
      <c r="B3808" s="15" t="s">
        <v>426</v>
      </c>
      <c r="C3808" s="15" t="s">
        <v>729</v>
      </c>
      <c r="D3808" s="15" t="n">
        <v>2400</v>
      </c>
      <c r="E3808" s="15" t="s">
        <v>725</v>
      </c>
      <c r="F3808" s="15" t="s">
        <v>1069</v>
      </c>
      <c r="G3808" s="15" t="s">
        <v>112</v>
      </c>
      <c r="H3808" s="15"/>
    </row>
    <row r="3809" customFormat="false" ht="15" hidden="false" customHeight="true" outlineLevel="0" collapsed="false">
      <c r="A3809" s="15" t="s">
        <v>423</v>
      </c>
      <c r="B3809" s="15" t="s">
        <v>426</v>
      </c>
      <c r="C3809" s="15" t="s">
        <v>776</v>
      </c>
      <c r="D3809" s="15" t="s">
        <v>1073</v>
      </c>
      <c r="E3809" s="15"/>
      <c r="F3809" s="15" t="s">
        <v>1069</v>
      </c>
      <c r="G3809" s="15" t="s">
        <v>112</v>
      </c>
      <c r="H3809" s="15"/>
    </row>
    <row r="3810" customFormat="false" ht="26.25" hidden="false" customHeight="true" outlineLevel="0" collapsed="false">
      <c r="A3810" s="15" t="s">
        <v>423</v>
      </c>
      <c r="B3810" s="15" t="s">
        <v>426</v>
      </c>
      <c r="C3810" s="15" t="s">
        <v>726</v>
      </c>
      <c r="D3810" s="15" t="n">
        <v>3825</v>
      </c>
      <c r="E3810" s="15" t="s">
        <v>725</v>
      </c>
      <c r="F3810" s="15" t="s">
        <v>1069</v>
      </c>
      <c r="G3810" s="15" t="s">
        <v>128</v>
      </c>
      <c r="H3810" s="15" t="s">
        <v>1074</v>
      </c>
    </row>
    <row r="3811" customFormat="false" ht="26.25" hidden="false" customHeight="true" outlineLevel="0" collapsed="false">
      <c r="A3811" s="15" t="s">
        <v>423</v>
      </c>
      <c r="B3811" s="15" t="s">
        <v>426</v>
      </c>
      <c r="C3811" s="15" t="s">
        <v>727</v>
      </c>
      <c r="D3811" s="15" t="n">
        <v>1684</v>
      </c>
      <c r="E3811" s="15" t="s">
        <v>725</v>
      </c>
      <c r="F3811" s="15" t="s">
        <v>1069</v>
      </c>
      <c r="G3811" s="15" t="s">
        <v>128</v>
      </c>
      <c r="H3811" s="15" t="s">
        <v>1074</v>
      </c>
    </row>
    <row r="3812" customFormat="false" ht="26.25" hidden="false" customHeight="true" outlineLevel="0" collapsed="false">
      <c r="A3812" s="15" t="s">
        <v>423</v>
      </c>
      <c r="B3812" s="15" t="s">
        <v>426</v>
      </c>
      <c r="C3812" s="15" t="s">
        <v>728</v>
      </c>
      <c r="D3812" s="15" t="n">
        <v>1562</v>
      </c>
      <c r="E3812" s="15" t="s">
        <v>725</v>
      </c>
      <c r="F3812" s="15" t="s">
        <v>1069</v>
      </c>
      <c r="G3812" s="15" t="s">
        <v>293</v>
      </c>
      <c r="H3812" s="15" t="s">
        <v>1075</v>
      </c>
    </row>
    <row r="3813" customFormat="false" ht="15" hidden="false" customHeight="true" outlineLevel="0" collapsed="false">
      <c r="A3813" s="15" t="s">
        <v>423</v>
      </c>
      <c r="B3813" s="15" t="s">
        <v>426</v>
      </c>
      <c r="C3813" s="15" t="s">
        <v>84</v>
      </c>
      <c r="D3813" s="15" t="s">
        <v>1071</v>
      </c>
      <c r="E3813" s="15" t="s">
        <v>725</v>
      </c>
      <c r="F3813" s="15" t="s">
        <v>1069</v>
      </c>
      <c r="G3813" s="15" t="s">
        <v>293</v>
      </c>
      <c r="H3813" s="15" t="s">
        <v>1076</v>
      </c>
    </row>
    <row r="3814" customFormat="false" ht="15" hidden="false" customHeight="true" outlineLevel="0" collapsed="false">
      <c r="A3814" s="15" t="s">
        <v>423</v>
      </c>
      <c r="B3814" s="15" t="s">
        <v>426</v>
      </c>
      <c r="C3814" s="15" t="s">
        <v>789</v>
      </c>
      <c r="D3814" s="15" t="s">
        <v>790</v>
      </c>
      <c r="E3814" s="15"/>
      <c r="F3814" s="15" t="s">
        <v>1069</v>
      </c>
      <c r="G3814" s="15" t="s">
        <v>112</v>
      </c>
      <c r="H3814" s="15"/>
    </row>
    <row r="3815" customFormat="false" ht="15" hidden="false" customHeight="true" outlineLevel="0" collapsed="false">
      <c r="A3815" s="15" t="s">
        <v>423</v>
      </c>
      <c r="B3815" s="15" t="s">
        <v>426</v>
      </c>
      <c r="C3815" s="15" t="s">
        <v>984</v>
      </c>
      <c r="D3815" s="15" t="s">
        <v>1077</v>
      </c>
      <c r="E3815" s="15"/>
      <c r="F3815" s="15" t="s">
        <v>1069</v>
      </c>
      <c r="G3815" s="15" t="s">
        <v>112</v>
      </c>
      <c r="H3815" s="15"/>
    </row>
    <row r="3816" customFormat="false" ht="26.25" hidden="false" customHeight="true" outlineLevel="0" collapsed="false">
      <c r="A3816" s="15" t="s">
        <v>423</v>
      </c>
      <c r="B3816" s="15" t="s">
        <v>426</v>
      </c>
      <c r="C3816" s="15" t="s">
        <v>939</v>
      </c>
      <c r="D3816" s="15" t="n">
        <v>35</v>
      </c>
      <c r="E3816" s="15"/>
      <c r="F3816" s="15" t="s">
        <v>1069</v>
      </c>
      <c r="G3816" s="15" t="s">
        <v>293</v>
      </c>
      <c r="H3816" s="15" t="s">
        <v>1078</v>
      </c>
    </row>
    <row r="3817" customFormat="false" ht="15" hidden="false" customHeight="true" outlineLevel="0" collapsed="false">
      <c r="A3817" s="15" t="s">
        <v>423</v>
      </c>
      <c r="B3817" s="15" t="s">
        <v>426</v>
      </c>
      <c r="C3817" s="15" t="s">
        <v>719</v>
      </c>
      <c r="D3817" s="15" t="n">
        <v>30</v>
      </c>
      <c r="E3817" s="15" t="s">
        <v>720</v>
      </c>
      <c r="F3817" s="15" t="s">
        <v>1069</v>
      </c>
      <c r="G3817" s="15" t="s">
        <v>293</v>
      </c>
      <c r="H3817" s="15" t="s">
        <v>1079</v>
      </c>
    </row>
    <row r="3818" customFormat="false" ht="15" hidden="false" customHeight="true" outlineLevel="0" collapsed="false">
      <c r="A3818" s="15" t="s">
        <v>423</v>
      </c>
      <c r="B3818" s="15" t="s">
        <v>426</v>
      </c>
      <c r="C3818" s="15" t="s">
        <v>1080</v>
      </c>
      <c r="D3818" s="15" t="s">
        <v>1081</v>
      </c>
      <c r="E3818" s="15"/>
      <c r="F3818" s="15" t="s">
        <v>1069</v>
      </c>
      <c r="G3818" s="15" t="s">
        <v>112</v>
      </c>
      <c r="H3818" s="15" t="s">
        <v>1082</v>
      </c>
    </row>
    <row r="3819" customFormat="false" ht="15" hidden="false" customHeight="true" outlineLevel="0" collapsed="false">
      <c r="A3819" s="15" t="s">
        <v>423</v>
      </c>
      <c r="B3819" s="15" t="s">
        <v>426</v>
      </c>
      <c r="C3819" s="15" t="s">
        <v>835</v>
      </c>
      <c r="D3819" s="15" t="s">
        <v>836</v>
      </c>
      <c r="E3819" s="15"/>
      <c r="F3819" s="15" t="s">
        <v>1069</v>
      </c>
      <c r="G3819" s="15" t="s">
        <v>112</v>
      </c>
      <c r="H3819" s="15"/>
    </row>
    <row r="3820" customFormat="false" ht="15" hidden="false" customHeight="true" outlineLevel="0" collapsed="false">
      <c r="A3820" s="15" t="s">
        <v>423</v>
      </c>
      <c r="B3820" s="15" t="s">
        <v>426</v>
      </c>
      <c r="C3820" s="15" t="s">
        <v>833</v>
      </c>
      <c r="D3820" s="15" t="s">
        <v>938</v>
      </c>
      <c r="E3820" s="15"/>
      <c r="F3820" s="15" t="s">
        <v>1069</v>
      </c>
      <c r="G3820" s="15" t="s">
        <v>112</v>
      </c>
      <c r="H3820" s="15"/>
    </row>
    <row r="3821" customFormat="false" ht="15" hidden="false" customHeight="true" outlineLevel="0" collapsed="false">
      <c r="A3821" s="15" t="s">
        <v>423</v>
      </c>
      <c r="B3821" s="15" t="s">
        <v>426</v>
      </c>
      <c r="C3821" s="15" t="s">
        <v>86</v>
      </c>
      <c r="D3821" s="15" t="n">
        <v>6</v>
      </c>
      <c r="E3821" s="15" t="s">
        <v>721</v>
      </c>
      <c r="F3821" s="15" t="s">
        <v>1069</v>
      </c>
      <c r="G3821" s="15" t="s">
        <v>112</v>
      </c>
      <c r="H3821" s="15" t="s">
        <v>1083</v>
      </c>
    </row>
    <row r="3822" customFormat="false" ht="26.25" hidden="false" customHeight="true" outlineLevel="0" collapsed="false">
      <c r="A3822" s="15" t="s">
        <v>423</v>
      </c>
      <c r="B3822" s="15" t="s">
        <v>426</v>
      </c>
      <c r="C3822" s="15" t="s">
        <v>942</v>
      </c>
      <c r="D3822" s="15" t="s">
        <v>943</v>
      </c>
      <c r="E3822" s="15"/>
      <c r="F3822" s="15" t="s">
        <v>1069</v>
      </c>
      <c r="G3822" s="15" t="s">
        <v>293</v>
      </c>
      <c r="H3822" s="15" t="s">
        <v>1075</v>
      </c>
    </row>
    <row r="3823" customFormat="false" ht="15" hidden="false" customHeight="true" outlineLevel="0" collapsed="false">
      <c r="A3823" s="15" t="s">
        <v>423</v>
      </c>
      <c r="B3823" s="15" t="s">
        <v>426</v>
      </c>
      <c r="C3823" s="15" t="s">
        <v>737</v>
      </c>
      <c r="D3823" s="15" t="n">
        <v>45</v>
      </c>
      <c r="E3823" s="15" t="s">
        <v>738</v>
      </c>
      <c r="F3823" s="15" t="s">
        <v>1069</v>
      </c>
      <c r="G3823" s="15" t="s">
        <v>112</v>
      </c>
      <c r="H3823" s="15"/>
    </row>
    <row r="3824" customFormat="false" ht="15" hidden="false" customHeight="true" outlineLevel="0" collapsed="false">
      <c r="A3824" s="15" t="s">
        <v>423</v>
      </c>
      <c r="B3824" s="15" t="s">
        <v>426</v>
      </c>
      <c r="C3824" s="15" t="s">
        <v>714</v>
      </c>
      <c r="D3824" s="15" t="n">
        <v>110</v>
      </c>
      <c r="E3824" s="15" t="s">
        <v>715</v>
      </c>
      <c r="F3824" s="15" t="s">
        <v>1069</v>
      </c>
      <c r="G3824" s="15" t="s">
        <v>112</v>
      </c>
      <c r="H3824" s="15"/>
    </row>
    <row r="3825" customFormat="false" ht="15" hidden="false" customHeight="true" outlineLevel="0" collapsed="false">
      <c r="A3825" s="15" t="s">
        <v>423</v>
      </c>
      <c r="B3825" s="15" t="s">
        <v>426</v>
      </c>
      <c r="C3825" s="15" t="s">
        <v>1084</v>
      </c>
      <c r="D3825" s="15" t="n">
        <v>6.2</v>
      </c>
      <c r="E3825" s="15"/>
      <c r="F3825" s="15" t="s">
        <v>1069</v>
      </c>
      <c r="G3825" s="15" t="s">
        <v>293</v>
      </c>
      <c r="H3825" s="15" t="s">
        <v>1085</v>
      </c>
    </row>
    <row r="3826" customFormat="false" ht="15" hidden="false" customHeight="true" outlineLevel="0" collapsed="false">
      <c r="A3826" s="15" t="s">
        <v>423</v>
      </c>
      <c r="B3826" s="15" t="s">
        <v>426</v>
      </c>
      <c r="C3826" s="15" t="s">
        <v>98</v>
      </c>
      <c r="D3826" s="15" t="s">
        <v>836</v>
      </c>
      <c r="E3826" s="15"/>
      <c r="F3826" s="15" t="s">
        <v>1069</v>
      </c>
      <c r="G3826" s="15" t="s">
        <v>112</v>
      </c>
      <c r="H3826" s="15"/>
    </row>
    <row r="3827" customFormat="false" ht="26.25" hidden="false" customHeight="true" outlineLevel="0" collapsed="false">
      <c r="A3827" s="15" t="s">
        <v>423</v>
      </c>
      <c r="B3827" s="15" t="s">
        <v>426</v>
      </c>
      <c r="C3827" s="15" t="s">
        <v>733</v>
      </c>
      <c r="D3827" s="15" t="s">
        <v>1086</v>
      </c>
      <c r="E3827" s="15"/>
      <c r="F3827" s="15" t="s">
        <v>1069</v>
      </c>
      <c r="G3827" s="15" t="s">
        <v>293</v>
      </c>
      <c r="H3827" s="15" t="s">
        <v>1075</v>
      </c>
    </row>
    <row r="3828" customFormat="false" ht="26.25" hidden="false" customHeight="true" outlineLevel="0" collapsed="false">
      <c r="A3828" s="15" t="s">
        <v>423</v>
      </c>
      <c r="B3828" s="15" t="s">
        <v>426</v>
      </c>
      <c r="C3828" s="15" t="s">
        <v>940</v>
      </c>
      <c r="D3828" s="15" t="n">
        <v>2.6</v>
      </c>
      <c r="E3828" s="15"/>
      <c r="F3828" s="15" t="s">
        <v>1069</v>
      </c>
      <c r="G3828" s="15" t="s">
        <v>293</v>
      </c>
      <c r="H3828" s="15" t="s">
        <v>1075</v>
      </c>
    </row>
    <row r="3829" customFormat="false" ht="26.25" hidden="false" customHeight="true" outlineLevel="0" collapsed="false">
      <c r="A3829" s="15" t="s">
        <v>423</v>
      </c>
      <c r="B3829" s="15" t="s">
        <v>426</v>
      </c>
      <c r="C3829" s="15" t="s">
        <v>1087</v>
      </c>
      <c r="D3829" s="15" t="n">
        <v>6.9</v>
      </c>
      <c r="E3829" s="15"/>
      <c r="F3829" s="15" t="s">
        <v>1069</v>
      </c>
      <c r="G3829" s="15" t="s">
        <v>293</v>
      </c>
      <c r="H3829" s="15" t="s">
        <v>1075</v>
      </c>
    </row>
    <row r="3830" customFormat="false" ht="15" hidden="false" customHeight="true" outlineLevel="0" collapsed="false">
      <c r="A3830" s="15" t="s">
        <v>423</v>
      </c>
      <c r="B3830" s="15" t="s">
        <v>426</v>
      </c>
      <c r="C3830" s="15" t="s">
        <v>752</v>
      </c>
      <c r="D3830" s="15" t="s">
        <v>1088</v>
      </c>
      <c r="E3830" s="15"/>
      <c r="F3830" s="15" t="s">
        <v>1069</v>
      </c>
      <c r="G3830" s="15" t="s">
        <v>112</v>
      </c>
      <c r="H3830" s="15" t="s">
        <v>1089</v>
      </c>
    </row>
    <row r="3831" customFormat="false" ht="15" hidden="false" customHeight="true" outlineLevel="0" collapsed="false">
      <c r="A3831" s="15" t="s">
        <v>423</v>
      </c>
      <c r="B3831" s="15" t="s">
        <v>426</v>
      </c>
      <c r="C3831" s="15" t="s">
        <v>743</v>
      </c>
      <c r="D3831" s="15" t="s">
        <v>1090</v>
      </c>
      <c r="E3831" s="15"/>
      <c r="F3831" s="15" t="s">
        <v>1069</v>
      </c>
      <c r="G3831" s="15" t="s">
        <v>112</v>
      </c>
      <c r="H3831" s="15" t="s">
        <v>1089</v>
      </c>
    </row>
    <row r="3832" customFormat="false" ht="15" hidden="false" customHeight="true" outlineLevel="0" collapsed="false">
      <c r="A3832" s="15" t="s">
        <v>423</v>
      </c>
      <c r="B3832" s="15" t="s">
        <v>426</v>
      </c>
      <c r="C3832" s="15" t="s">
        <v>759</v>
      </c>
      <c r="D3832" s="15" t="s">
        <v>750</v>
      </c>
      <c r="E3832" s="15"/>
      <c r="F3832" s="15" t="s">
        <v>1069</v>
      </c>
      <c r="G3832" s="15" t="s">
        <v>112</v>
      </c>
      <c r="H3832" s="15"/>
    </row>
    <row r="3833" customFormat="false" ht="15" hidden="false" customHeight="true" outlineLevel="0" collapsed="false">
      <c r="A3833" s="15" t="s">
        <v>423</v>
      </c>
      <c r="B3833" s="15" t="s">
        <v>426</v>
      </c>
      <c r="C3833" s="15" t="s">
        <v>757</v>
      </c>
      <c r="D3833" s="15" t="s">
        <v>1091</v>
      </c>
      <c r="E3833" s="15"/>
      <c r="F3833" s="15" t="s">
        <v>1069</v>
      </c>
      <c r="G3833" s="15" t="s">
        <v>112</v>
      </c>
      <c r="H3833" s="15"/>
    </row>
    <row r="3834" customFormat="false" ht="15" hidden="false" customHeight="true" outlineLevel="0" collapsed="false">
      <c r="A3834" s="15" t="s">
        <v>423</v>
      </c>
      <c r="B3834" s="15" t="s">
        <v>426</v>
      </c>
      <c r="C3834" s="15" t="s">
        <v>747</v>
      </c>
      <c r="D3834" s="15" t="s">
        <v>1092</v>
      </c>
      <c r="E3834" s="15"/>
      <c r="F3834" s="15" t="s">
        <v>1069</v>
      </c>
      <c r="G3834" s="15" t="s">
        <v>112</v>
      </c>
      <c r="H3834" s="15"/>
    </row>
    <row r="3835" customFormat="false" ht="15" hidden="false" customHeight="true" outlineLevel="0" collapsed="false">
      <c r="A3835" s="15" t="s">
        <v>423</v>
      </c>
      <c r="B3835" s="15" t="s">
        <v>426</v>
      </c>
      <c r="C3835" s="15" t="s">
        <v>848</v>
      </c>
      <c r="D3835" s="15" t="s">
        <v>755</v>
      </c>
      <c r="E3835" s="15"/>
      <c r="F3835" s="15" t="s">
        <v>1069</v>
      </c>
      <c r="G3835" s="15" t="s">
        <v>112</v>
      </c>
      <c r="H3835" s="15"/>
    </row>
    <row r="3836" customFormat="false" ht="15" hidden="false" customHeight="true" outlineLevel="0" collapsed="false">
      <c r="A3836" s="15" t="s">
        <v>423</v>
      </c>
      <c r="B3836" s="15" t="s">
        <v>426</v>
      </c>
      <c r="C3836" s="15" t="s">
        <v>854</v>
      </c>
      <c r="D3836" s="15" t="s">
        <v>755</v>
      </c>
      <c r="E3836" s="15"/>
      <c r="F3836" s="15" t="s">
        <v>1069</v>
      </c>
      <c r="G3836" s="15" t="s">
        <v>112</v>
      </c>
      <c r="H3836" s="15"/>
    </row>
    <row r="3837" customFormat="false" ht="15" hidden="false" customHeight="true" outlineLevel="0" collapsed="false">
      <c r="A3837" s="15" t="s">
        <v>423</v>
      </c>
      <c r="B3837" s="15" t="s">
        <v>426</v>
      </c>
      <c r="C3837" s="15" t="s">
        <v>1093</v>
      </c>
      <c r="D3837" s="15" t="s">
        <v>755</v>
      </c>
      <c r="E3837" s="15"/>
      <c r="F3837" s="15" t="s">
        <v>1069</v>
      </c>
      <c r="G3837" s="15" t="s">
        <v>112</v>
      </c>
      <c r="H3837" s="15"/>
    </row>
    <row r="3838" customFormat="false" ht="15" hidden="false" customHeight="true" outlineLevel="0" collapsed="false">
      <c r="A3838" s="15" t="s">
        <v>423</v>
      </c>
      <c r="B3838" s="15" t="s">
        <v>426</v>
      </c>
      <c r="C3838" s="15" t="s">
        <v>973</v>
      </c>
      <c r="D3838" s="15" t="s">
        <v>755</v>
      </c>
      <c r="E3838" s="15"/>
      <c r="F3838" s="15" t="s">
        <v>1069</v>
      </c>
      <c r="G3838" s="15" t="s">
        <v>112</v>
      </c>
      <c r="H3838" s="15"/>
    </row>
    <row r="3839" customFormat="false" ht="15" hidden="false" customHeight="true" outlineLevel="0" collapsed="false">
      <c r="A3839" s="15" t="s">
        <v>423</v>
      </c>
      <c r="B3839" s="15" t="s">
        <v>426</v>
      </c>
      <c r="C3839" s="15" t="s">
        <v>87</v>
      </c>
      <c r="D3839" s="15" t="s">
        <v>429</v>
      </c>
      <c r="E3839" s="15"/>
      <c r="F3839" s="15" t="s">
        <v>971</v>
      </c>
      <c r="G3839" s="15" t="s">
        <v>112</v>
      </c>
      <c r="H3839" s="15" t="s">
        <v>1094</v>
      </c>
    </row>
    <row r="3840" customFormat="false" ht="26.25" hidden="false" customHeight="true" outlineLevel="0" collapsed="false">
      <c r="A3840" s="15" t="s">
        <v>432</v>
      </c>
      <c r="B3840" s="15" t="s">
        <v>433</v>
      </c>
      <c r="C3840" s="15" t="s">
        <v>769</v>
      </c>
      <c r="D3840" s="15" t="n">
        <v>5</v>
      </c>
      <c r="E3840" s="15" t="s">
        <v>721</v>
      </c>
      <c r="F3840" s="15" t="s">
        <v>1069</v>
      </c>
      <c r="G3840" s="15" t="s">
        <v>128</v>
      </c>
      <c r="H3840" s="15" t="s">
        <v>1070</v>
      </c>
    </row>
    <row r="3841" customFormat="false" ht="15" hidden="false" customHeight="true" outlineLevel="0" collapsed="false">
      <c r="A3841" s="15" t="s">
        <v>432</v>
      </c>
      <c r="B3841" s="15" t="s">
        <v>433</v>
      </c>
      <c r="C3841" s="15" t="s">
        <v>718</v>
      </c>
      <c r="D3841" s="15" t="s">
        <v>1071</v>
      </c>
      <c r="E3841" s="15"/>
      <c r="F3841" s="15" t="s">
        <v>1069</v>
      </c>
      <c r="G3841" s="15" t="s">
        <v>293</v>
      </c>
      <c r="H3841" s="15" t="s">
        <v>1072</v>
      </c>
    </row>
    <row r="3842" customFormat="false" ht="15" hidden="false" customHeight="true" outlineLevel="0" collapsed="false">
      <c r="A3842" s="15" t="s">
        <v>432</v>
      </c>
      <c r="B3842" s="15" t="s">
        <v>433</v>
      </c>
      <c r="C3842" s="15" t="s">
        <v>935</v>
      </c>
      <c r="D3842" s="15" t="s">
        <v>936</v>
      </c>
      <c r="E3842" s="15"/>
      <c r="F3842" s="15" t="s">
        <v>1069</v>
      </c>
      <c r="G3842" s="15" t="s">
        <v>112</v>
      </c>
      <c r="H3842" s="15"/>
    </row>
    <row r="3843" customFormat="false" ht="15" hidden="false" customHeight="true" outlineLevel="0" collapsed="false">
      <c r="A3843" s="15" t="s">
        <v>432</v>
      </c>
      <c r="B3843" s="15" t="s">
        <v>433</v>
      </c>
      <c r="C3843" s="15" t="s">
        <v>722</v>
      </c>
      <c r="D3843" s="15" t="n">
        <v>240</v>
      </c>
      <c r="E3843" s="15" t="s">
        <v>723</v>
      </c>
      <c r="F3843" s="15" t="s">
        <v>1069</v>
      </c>
      <c r="G3843" s="15" t="s">
        <v>112</v>
      </c>
      <c r="H3843" s="15"/>
    </row>
    <row r="3844" customFormat="false" ht="15" hidden="false" customHeight="true" outlineLevel="0" collapsed="false">
      <c r="A3844" s="15" t="s">
        <v>432</v>
      </c>
      <c r="B3844" s="15" t="s">
        <v>433</v>
      </c>
      <c r="C3844" s="15" t="s">
        <v>729</v>
      </c>
      <c r="D3844" s="15" t="n">
        <v>2400</v>
      </c>
      <c r="E3844" s="15" t="s">
        <v>725</v>
      </c>
      <c r="F3844" s="15" t="s">
        <v>1069</v>
      </c>
      <c r="G3844" s="15" t="s">
        <v>112</v>
      </c>
      <c r="H3844" s="15"/>
    </row>
    <row r="3845" customFormat="false" ht="15" hidden="false" customHeight="true" outlineLevel="0" collapsed="false">
      <c r="A3845" s="15" t="s">
        <v>432</v>
      </c>
      <c r="B3845" s="15" t="s">
        <v>433</v>
      </c>
      <c r="C3845" s="15" t="s">
        <v>776</v>
      </c>
      <c r="D3845" s="15" t="s">
        <v>1073</v>
      </c>
      <c r="E3845" s="15"/>
      <c r="F3845" s="15" t="s">
        <v>1069</v>
      </c>
      <c r="G3845" s="15" t="s">
        <v>112</v>
      </c>
      <c r="H3845" s="15"/>
    </row>
    <row r="3846" customFormat="false" ht="26.25" hidden="false" customHeight="true" outlineLevel="0" collapsed="false">
      <c r="A3846" s="15" t="s">
        <v>432</v>
      </c>
      <c r="B3846" s="15" t="s">
        <v>433</v>
      </c>
      <c r="C3846" s="15" t="s">
        <v>726</v>
      </c>
      <c r="D3846" s="15" t="n">
        <v>3825</v>
      </c>
      <c r="E3846" s="15" t="s">
        <v>725</v>
      </c>
      <c r="F3846" s="15" t="s">
        <v>1069</v>
      </c>
      <c r="G3846" s="15" t="s">
        <v>128</v>
      </c>
      <c r="H3846" s="15" t="s">
        <v>1074</v>
      </c>
    </row>
    <row r="3847" customFormat="false" ht="26.25" hidden="false" customHeight="true" outlineLevel="0" collapsed="false">
      <c r="A3847" s="15" t="s">
        <v>432</v>
      </c>
      <c r="B3847" s="15" t="s">
        <v>433</v>
      </c>
      <c r="C3847" s="15" t="s">
        <v>727</v>
      </c>
      <c r="D3847" s="15" t="n">
        <v>1684</v>
      </c>
      <c r="E3847" s="15" t="s">
        <v>725</v>
      </c>
      <c r="F3847" s="15" t="s">
        <v>1069</v>
      </c>
      <c r="G3847" s="15" t="s">
        <v>128</v>
      </c>
      <c r="H3847" s="15" t="s">
        <v>1074</v>
      </c>
    </row>
    <row r="3848" customFormat="false" ht="26.25" hidden="false" customHeight="true" outlineLevel="0" collapsed="false">
      <c r="A3848" s="15" t="s">
        <v>432</v>
      </c>
      <c r="B3848" s="15" t="s">
        <v>433</v>
      </c>
      <c r="C3848" s="15" t="s">
        <v>728</v>
      </c>
      <c r="D3848" s="15" t="n">
        <v>1562</v>
      </c>
      <c r="E3848" s="15" t="s">
        <v>725</v>
      </c>
      <c r="F3848" s="15" t="s">
        <v>1069</v>
      </c>
      <c r="G3848" s="15" t="s">
        <v>293</v>
      </c>
      <c r="H3848" s="15" t="s">
        <v>1075</v>
      </c>
    </row>
    <row r="3849" customFormat="false" ht="15" hidden="false" customHeight="true" outlineLevel="0" collapsed="false">
      <c r="A3849" s="15" t="s">
        <v>432</v>
      </c>
      <c r="B3849" s="15" t="s">
        <v>433</v>
      </c>
      <c r="C3849" s="15" t="s">
        <v>84</v>
      </c>
      <c r="D3849" s="15" t="s">
        <v>1071</v>
      </c>
      <c r="E3849" s="15" t="s">
        <v>725</v>
      </c>
      <c r="F3849" s="15" t="s">
        <v>1069</v>
      </c>
      <c r="G3849" s="15" t="s">
        <v>293</v>
      </c>
      <c r="H3849" s="15" t="s">
        <v>1076</v>
      </c>
    </row>
    <row r="3850" customFormat="false" ht="15" hidden="false" customHeight="true" outlineLevel="0" collapsed="false">
      <c r="A3850" s="15" t="s">
        <v>432</v>
      </c>
      <c r="B3850" s="15" t="s">
        <v>433</v>
      </c>
      <c r="C3850" s="15" t="s">
        <v>789</v>
      </c>
      <c r="D3850" s="15" t="s">
        <v>790</v>
      </c>
      <c r="E3850" s="15"/>
      <c r="F3850" s="15" t="s">
        <v>1069</v>
      </c>
      <c r="G3850" s="15" t="s">
        <v>112</v>
      </c>
      <c r="H3850" s="15"/>
    </row>
    <row r="3851" customFormat="false" ht="15" hidden="false" customHeight="true" outlineLevel="0" collapsed="false">
      <c r="A3851" s="15" t="s">
        <v>432</v>
      </c>
      <c r="B3851" s="15" t="s">
        <v>433</v>
      </c>
      <c r="C3851" s="15" t="s">
        <v>984</v>
      </c>
      <c r="D3851" s="15" t="s">
        <v>1077</v>
      </c>
      <c r="E3851" s="15"/>
      <c r="F3851" s="15" t="s">
        <v>1069</v>
      </c>
      <c r="G3851" s="15" t="s">
        <v>112</v>
      </c>
      <c r="H3851" s="15"/>
    </row>
    <row r="3852" customFormat="false" ht="26.25" hidden="false" customHeight="true" outlineLevel="0" collapsed="false">
      <c r="A3852" s="15" t="s">
        <v>432</v>
      </c>
      <c r="B3852" s="15" t="s">
        <v>433</v>
      </c>
      <c r="C3852" s="15" t="s">
        <v>939</v>
      </c>
      <c r="D3852" s="15" t="n">
        <v>35</v>
      </c>
      <c r="E3852" s="15"/>
      <c r="F3852" s="15" t="s">
        <v>1069</v>
      </c>
      <c r="G3852" s="15" t="s">
        <v>293</v>
      </c>
      <c r="H3852" s="15" t="s">
        <v>1078</v>
      </c>
    </row>
    <row r="3853" customFormat="false" ht="15" hidden="false" customHeight="true" outlineLevel="0" collapsed="false">
      <c r="A3853" s="15" t="s">
        <v>432</v>
      </c>
      <c r="B3853" s="15" t="s">
        <v>433</v>
      </c>
      <c r="C3853" s="15" t="s">
        <v>719</v>
      </c>
      <c r="D3853" s="15" t="n">
        <v>30</v>
      </c>
      <c r="E3853" s="15" t="s">
        <v>720</v>
      </c>
      <c r="F3853" s="15" t="s">
        <v>1069</v>
      </c>
      <c r="G3853" s="15" t="s">
        <v>293</v>
      </c>
      <c r="H3853" s="15" t="s">
        <v>1079</v>
      </c>
    </row>
    <row r="3854" customFormat="false" ht="15" hidden="false" customHeight="true" outlineLevel="0" collapsed="false">
      <c r="A3854" s="15" t="s">
        <v>432</v>
      </c>
      <c r="B3854" s="15" t="s">
        <v>433</v>
      </c>
      <c r="C3854" s="15" t="s">
        <v>1080</v>
      </c>
      <c r="D3854" s="15" t="s">
        <v>1081</v>
      </c>
      <c r="E3854" s="15"/>
      <c r="F3854" s="15" t="s">
        <v>1069</v>
      </c>
      <c r="G3854" s="15" t="s">
        <v>112</v>
      </c>
      <c r="H3854" s="15" t="s">
        <v>1082</v>
      </c>
    </row>
    <row r="3855" customFormat="false" ht="15" hidden="false" customHeight="true" outlineLevel="0" collapsed="false">
      <c r="A3855" s="15" t="s">
        <v>432</v>
      </c>
      <c r="B3855" s="15" t="s">
        <v>433</v>
      </c>
      <c r="C3855" s="15" t="s">
        <v>835</v>
      </c>
      <c r="D3855" s="15" t="s">
        <v>836</v>
      </c>
      <c r="E3855" s="15"/>
      <c r="F3855" s="15" t="s">
        <v>1069</v>
      </c>
      <c r="G3855" s="15" t="s">
        <v>112</v>
      </c>
      <c r="H3855" s="15"/>
    </row>
    <row r="3856" customFormat="false" ht="15" hidden="false" customHeight="true" outlineLevel="0" collapsed="false">
      <c r="A3856" s="15" t="s">
        <v>432</v>
      </c>
      <c r="B3856" s="15" t="s">
        <v>433</v>
      </c>
      <c r="C3856" s="15" t="s">
        <v>833</v>
      </c>
      <c r="D3856" s="15" t="s">
        <v>938</v>
      </c>
      <c r="E3856" s="15"/>
      <c r="F3856" s="15" t="s">
        <v>1069</v>
      </c>
      <c r="G3856" s="15" t="s">
        <v>112</v>
      </c>
      <c r="H3856" s="15"/>
    </row>
    <row r="3857" customFormat="false" ht="15" hidden="false" customHeight="true" outlineLevel="0" collapsed="false">
      <c r="A3857" s="15" t="s">
        <v>432</v>
      </c>
      <c r="B3857" s="15" t="s">
        <v>433</v>
      </c>
      <c r="C3857" s="15" t="s">
        <v>86</v>
      </c>
      <c r="D3857" s="15" t="n">
        <v>6</v>
      </c>
      <c r="E3857" s="15" t="s">
        <v>721</v>
      </c>
      <c r="F3857" s="15" t="s">
        <v>1069</v>
      </c>
      <c r="G3857" s="15" t="s">
        <v>112</v>
      </c>
      <c r="H3857" s="15" t="s">
        <v>1083</v>
      </c>
    </row>
    <row r="3858" customFormat="false" ht="26.25" hidden="false" customHeight="true" outlineLevel="0" collapsed="false">
      <c r="A3858" s="15" t="s">
        <v>432</v>
      </c>
      <c r="B3858" s="15" t="s">
        <v>433</v>
      </c>
      <c r="C3858" s="15" t="s">
        <v>942</v>
      </c>
      <c r="D3858" s="15" t="s">
        <v>943</v>
      </c>
      <c r="E3858" s="15"/>
      <c r="F3858" s="15" t="s">
        <v>1069</v>
      </c>
      <c r="G3858" s="15" t="s">
        <v>293</v>
      </c>
      <c r="H3858" s="15" t="s">
        <v>1075</v>
      </c>
    </row>
    <row r="3859" customFormat="false" ht="15" hidden="false" customHeight="true" outlineLevel="0" collapsed="false">
      <c r="A3859" s="15" t="s">
        <v>432</v>
      </c>
      <c r="B3859" s="15" t="s">
        <v>433</v>
      </c>
      <c r="C3859" s="15" t="s">
        <v>737</v>
      </c>
      <c r="D3859" s="15" t="n">
        <v>45</v>
      </c>
      <c r="E3859" s="15" t="s">
        <v>738</v>
      </c>
      <c r="F3859" s="15" t="s">
        <v>1069</v>
      </c>
      <c r="G3859" s="15" t="s">
        <v>112</v>
      </c>
      <c r="H3859" s="15"/>
    </row>
    <row r="3860" customFormat="false" ht="15" hidden="false" customHeight="true" outlineLevel="0" collapsed="false">
      <c r="A3860" s="15" t="s">
        <v>432</v>
      </c>
      <c r="B3860" s="15" t="s">
        <v>433</v>
      </c>
      <c r="C3860" s="15" t="s">
        <v>714</v>
      </c>
      <c r="D3860" s="15" t="n">
        <v>110</v>
      </c>
      <c r="E3860" s="15" t="s">
        <v>715</v>
      </c>
      <c r="F3860" s="15" t="s">
        <v>1069</v>
      </c>
      <c r="G3860" s="15" t="s">
        <v>112</v>
      </c>
      <c r="H3860" s="15"/>
    </row>
    <row r="3861" customFormat="false" ht="15" hidden="false" customHeight="true" outlineLevel="0" collapsed="false">
      <c r="A3861" s="15" t="s">
        <v>432</v>
      </c>
      <c r="B3861" s="15" t="s">
        <v>433</v>
      </c>
      <c r="C3861" s="15" t="s">
        <v>1084</v>
      </c>
      <c r="D3861" s="15" t="n">
        <v>6.2</v>
      </c>
      <c r="E3861" s="15"/>
      <c r="F3861" s="15" t="s">
        <v>1069</v>
      </c>
      <c r="G3861" s="15" t="s">
        <v>293</v>
      </c>
      <c r="H3861" s="15" t="s">
        <v>1085</v>
      </c>
    </row>
    <row r="3862" customFormat="false" ht="15" hidden="false" customHeight="true" outlineLevel="0" collapsed="false">
      <c r="A3862" s="15" t="s">
        <v>432</v>
      </c>
      <c r="B3862" s="15" t="s">
        <v>433</v>
      </c>
      <c r="C3862" s="15" t="s">
        <v>98</v>
      </c>
      <c r="D3862" s="15" t="s">
        <v>836</v>
      </c>
      <c r="E3862" s="15"/>
      <c r="F3862" s="15" t="s">
        <v>1069</v>
      </c>
      <c r="G3862" s="15" t="s">
        <v>112</v>
      </c>
      <c r="H3862" s="15"/>
    </row>
    <row r="3863" customFormat="false" ht="26.25" hidden="false" customHeight="true" outlineLevel="0" collapsed="false">
      <c r="A3863" s="15" t="s">
        <v>432</v>
      </c>
      <c r="B3863" s="15" t="s">
        <v>433</v>
      </c>
      <c r="C3863" s="15" t="s">
        <v>733</v>
      </c>
      <c r="D3863" s="15" t="s">
        <v>1086</v>
      </c>
      <c r="E3863" s="15"/>
      <c r="F3863" s="15" t="s">
        <v>1069</v>
      </c>
      <c r="G3863" s="15" t="s">
        <v>293</v>
      </c>
      <c r="H3863" s="15" t="s">
        <v>1075</v>
      </c>
    </row>
    <row r="3864" customFormat="false" ht="26.25" hidden="false" customHeight="true" outlineLevel="0" collapsed="false">
      <c r="A3864" s="15" t="s">
        <v>432</v>
      </c>
      <c r="B3864" s="15" t="s">
        <v>433</v>
      </c>
      <c r="C3864" s="15" t="s">
        <v>940</v>
      </c>
      <c r="D3864" s="15" t="n">
        <v>2.6</v>
      </c>
      <c r="E3864" s="15"/>
      <c r="F3864" s="15" t="s">
        <v>1069</v>
      </c>
      <c r="G3864" s="15" t="s">
        <v>293</v>
      </c>
      <c r="H3864" s="15" t="s">
        <v>1075</v>
      </c>
    </row>
    <row r="3865" customFormat="false" ht="26.25" hidden="false" customHeight="true" outlineLevel="0" collapsed="false">
      <c r="A3865" s="15" t="s">
        <v>432</v>
      </c>
      <c r="B3865" s="15" t="s">
        <v>433</v>
      </c>
      <c r="C3865" s="15" t="s">
        <v>1087</v>
      </c>
      <c r="D3865" s="15" t="n">
        <v>6.9</v>
      </c>
      <c r="E3865" s="15"/>
      <c r="F3865" s="15" t="s">
        <v>1069</v>
      </c>
      <c r="G3865" s="15" t="s">
        <v>293</v>
      </c>
      <c r="H3865" s="15" t="s">
        <v>1075</v>
      </c>
    </row>
    <row r="3866" customFormat="false" ht="15" hidden="false" customHeight="true" outlineLevel="0" collapsed="false">
      <c r="A3866" s="15" t="s">
        <v>432</v>
      </c>
      <c r="B3866" s="15" t="s">
        <v>433</v>
      </c>
      <c r="C3866" s="15" t="s">
        <v>752</v>
      </c>
      <c r="D3866" s="15" t="s">
        <v>1095</v>
      </c>
      <c r="E3866" s="15"/>
      <c r="F3866" s="15" t="s">
        <v>1069</v>
      </c>
      <c r="G3866" s="15" t="s">
        <v>112</v>
      </c>
      <c r="H3866" s="15" t="s">
        <v>1089</v>
      </c>
    </row>
    <row r="3867" customFormat="false" ht="15" hidden="false" customHeight="true" outlineLevel="0" collapsed="false">
      <c r="A3867" s="15" t="s">
        <v>432</v>
      </c>
      <c r="B3867" s="15" t="s">
        <v>433</v>
      </c>
      <c r="C3867" s="15" t="s">
        <v>743</v>
      </c>
      <c r="D3867" s="15" t="s">
        <v>974</v>
      </c>
      <c r="E3867" s="15"/>
      <c r="F3867" s="15" t="s">
        <v>1069</v>
      </c>
      <c r="G3867" s="15" t="s">
        <v>112</v>
      </c>
      <c r="H3867" s="15"/>
    </row>
    <row r="3868" customFormat="false" ht="15" hidden="false" customHeight="true" outlineLevel="0" collapsed="false">
      <c r="A3868" s="15" t="s">
        <v>432</v>
      </c>
      <c r="B3868" s="15" t="s">
        <v>433</v>
      </c>
      <c r="C3868" s="15" t="s">
        <v>759</v>
      </c>
      <c r="D3868" s="15" t="s">
        <v>944</v>
      </c>
      <c r="E3868" s="15"/>
      <c r="F3868" s="15" t="s">
        <v>1069</v>
      </c>
      <c r="G3868" s="15" t="s">
        <v>112</v>
      </c>
      <c r="H3868" s="15"/>
    </row>
    <row r="3869" customFormat="false" ht="15" hidden="false" customHeight="true" outlineLevel="0" collapsed="false">
      <c r="A3869" s="15" t="s">
        <v>432</v>
      </c>
      <c r="B3869" s="15" t="s">
        <v>433</v>
      </c>
      <c r="C3869" s="15" t="s">
        <v>757</v>
      </c>
      <c r="D3869" s="15" t="s">
        <v>1091</v>
      </c>
      <c r="E3869" s="15"/>
      <c r="F3869" s="15" t="s">
        <v>1069</v>
      </c>
      <c r="G3869" s="15" t="s">
        <v>112</v>
      </c>
      <c r="H3869" s="15"/>
    </row>
    <row r="3870" customFormat="false" ht="15" hidden="false" customHeight="true" outlineLevel="0" collapsed="false">
      <c r="A3870" s="15" t="s">
        <v>432</v>
      </c>
      <c r="B3870" s="15" t="s">
        <v>433</v>
      </c>
      <c r="C3870" s="15" t="s">
        <v>747</v>
      </c>
      <c r="D3870" s="15" t="s">
        <v>1096</v>
      </c>
      <c r="E3870" s="15"/>
      <c r="F3870" s="15" t="s">
        <v>1069</v>
      </c>
      <c r="G3870" s="15" t="s">
        <v>112</v>
      </c>
      <c r="H3870" s="15"/>
    </row>
    <row r="3871" customFormat="false" ht="15" hidden="false" customHeight="true" outlineLevel="0" collapsed="false">
      <c r="A3871" s="15" t="s">
        <v>432</v>
      </c>
      <c r="B3871" s="15" t="s">
        <v>433</v>
      </c>
      <c r="C3871" s="15" t="s">
        <v>848</v>
      </c>
      <c r="D3871" s="15" t="s">
        <v>755</v>
      </c>
      <c r="E3871" s="15"/>
      <c r="F3871" s="15" t="s">
        <v>1069</v>
      </c>
      <c r="G3871" s="15" t="s">
        <v>112</v>
      </c>
      <c r="H3871" s="15"/>
    </row>
    <row r="3872" customFormat="false" ht="15" hidden="false" customHeight="true" outlineLevel="0" collapsed="false">
      <c r="A3872" s="15" t="s">
        <v>432</v>
      </c>
      <c r="B3872" s="15" t="s">
        <v>433</v>
      </c>
      <c r="C3872" s="15" t="s">
        <v>854</v>
      </c>
      <c r="D3872" s="15" t="s">
        <v>755</v>
      </c>
      <c r="E3872" s="15"/>
      <c r="F3872" s="15" t="s">
        <v>1069</v>
      </c>
      <c r="G3872" s="15" t="s">
        <v>112</v>
      </c>
      <c r="H3872" s="15"/>
    </row>
    <row r="3873" customFormat="false" ht="15" hidden="false" customHeight="true" outlineLevel="0" collapsed="false">
      <c r="A3873" s="15" t="s">
        <v>432</v>
      </c>
      <c r="B3873" s="15" t="s">
        <v>433</v>
      </c>
      <c r="C3873" s="15" t="s">
        <v>1093</v>
      </c>
      <c r="D3873" s="15" t="s">
        <v>755</v>
      </c>
      <c r="E3873" s="15"/>
      <c r="F3873" s="15" t="s">
        <v>1069</v>
      </c>
      <c r="G3873" s="15" t="s">
        <v>112</v>
      </c>
      <c r="H3873" s="15"/>
    </row>
    <row r="3874" customFormat="false" ht="15" hidden="false" customHeight="true" outlineLevel="0" collapsed="false">
      <c r="A3874" s="15" t="s">
        <v>432</v>
      </c>
      <c r="B3874" s="15" t="s">
        <v>433</v>
      </c>
      <c r="C3874" s="15" t="s">
        <v>973</v>
      </c>
      <c r="D3874" s="15" t="s">
        <v>755</v>
      </c>
      <c r="E3874" s="15"/>
      <c r="F3874" s="15" t="s">
        <v>1069</v>
      </c>
      <c r="G3874" s="15" t="s">
        <v>112</v>
      </c>
      <c r="H3874" s="15"/>
    </row>
    <row r="3875" customFormat="false" ht="15" hidden="false" customHeight="true" outlineLevel="0" collapsed="false">
      <c r="A3875" s="15" t="s">
        <v>432</v>
      </c>
      <c r="B3875" s="15" t="s">
        <v>433</v>
      </c>
      <c r="C3875" s="15" t="s">
        <v>87</v>
      </c>
      <c r="D3875" s="15" t="s">
        <v>429</v>
      </c>
      <c r="E3875" s="15"/>
      <c r="F3875" s="15" t="s">
        <v>971</v>
      </c>
      <c r="G3875" s="15" t="s">
        <v>112</v>
      </c>
      <c r="H3875" s="15" t="s">
        <v>1094</v>
      </c>
    </row>
    <row r="3876" customFormat="false" ht="26.25" hidden="false" customHeight="true" outlineLevel="0" collapsed="false">
      <c r="A3876" s="15" t="s">
        <v>435</v>
      </c>
      <c r="B3876" s="15" t="s">
        <v>436</v>
      </c>
      <c r="C3876" s="15" t="s">
        <v>769</v>
      </c>
      <c r="D3876" s="15" t="n">
        <v>5</v>
      </c>
      <c r="E3876" s="15" t="s">
        <v>721</v>
      </c>
      <c r="F3876" s="15" t="s">
        <v>1069</v>
      </c>
      <c r="G3876" s="15" t="s">
        <v>128</v>
      </c>
      <c r="H3876" s="15" t="s">
        <v>1070</v>
      </c>
    </row>
    <row r="3877" customFormat="false" ht="15" hidden="false" customHeight="true" outlineLevel="0" collapsed="false">
      <c r="A3877" s="15" t="s">
        <v>435</v>
      </c>
      <c r="B3877" s="15" t="s">
        <v>436</v>
      </c>
      <c r="C3877" s="15" t="s">
        <v>718</v>
      </c>
      <c r="D3877" s="15" t="s">
        <v>1071</v>
      </c>
      <c r="E3877" s="15"/>
      <c r="F3877" s="15" t="s">
        <v>1069</v>
      </c>
      <c r="G3877" s="15" t="s">
        <v>293</v>
      </c>
      <c r="H3877" s="15" t="s">
        <v>1072</v>
      </c>
    </row>
    <row r="3878" customFormat="false" ht="15" hidden="false" customHeight="true" outlineLevel="0" collapsed="false">
      <c r="A3878" s="15" t="s">
        <v>435</v>
      </c>
      <c r="B3878" s="15" t="s">
        <v>436</v>
      </c>
      <c r="C3878" s="15" t="s">
        <v>935</v>
      </c>
      <c r="D3878" s="15" t="s">
        <v>936</v>
      </c>
      <c r="E3878" s="15"/>
      <c r="F3878" s="15" t="s">
        <v>1069</v>
      </c>
      <c r="G3878" s="15" t="s">
        <v>112</v>
      </c>
      <c r="H3878" s="15"/>
    </row>
    <row r="3879" customFormat="false" ht="15" hidden="false" customHeight="true" outlineLevel="0" collapsed="false">
      <c r="A3879" s="15" t="s">
        <v>435</v>
      </c>
      <c r="B3879" s="15" t="s">
        <v>436</v>
      </c>
      <c r="C3879" s="15" t="s">
        <v>722</v>
      </c>
      <c r="D3879" s="15" t="n">
        <v>240</v>
      </c>
      <c r="E3879" s="15" t="s">
        <v>723</v>
      </c>
      <c r="F3879" s="15" t="s">
        <v>1069</v>
      </c>
      <c r="G3879" s="15" t="s">
        <v>112</v>
      </c>
      <c r="H3879" s="15"/>
    </row>
    <row r="3880" customFormat="false" ht="15" hidden="false" customHeight="true" outlineLevel="0" collapsed="false">
      <c r="A3880" s="15" t="s">
        <v>435</v>
      </c>
      <c r="B3880" s="15" t="s">
        <v>436</v>
      </c>
      <c r="C3880" s="15" t="s">
        <v>729</v>
      </c>
      <c r="D3880" s="15" t="n">
        <v>2400</v>
      </c>
      <c r="E3880" s="15" t="s">
        <v>725</v>
      </c>
      <c r="F3880" s="15" t="s">
        <v>1069</v>
      </c>
      <c r="G3880" s="15" t="s">
        <v>112</v>
      </c>
      <c r="H3880" s="15"/>
    </row>
    <row r="3881" customFormat="false" ht="15" hidden="false" customHeight="true" outlineLevel="0" collapsed="false">
      <c r="A3881" s="15" t="s">
        <v>435</v>
      </c>
      <c r="B3881" s="15" t="s">
        <v>436</v>
      </c>
      <c r="C3881" s="15" t="s">
        <v>776</v>
      </c>
      <c r="D3881" s="15" t="s">
        <v>1073</v>
      </c>
      <c r="E3881" s="15"/>
      <c r="F3881" s="15" t="s">
        <v>1069</v>
      </c>
      <c r="G3881" s="15" t="s">
        <v>112</v>
      </c>
      <c r="H3881" s="15"/>
    </row>
    <row r="3882" customFormat="false" ht="26.25" hidden="false" customHeight="true" outlineLevel="0" collapsed="false">
      <c r="A3882" s="15" t="s">
        <v>435</v>
      </c>
      <c r="B3882" s="15" t="s">
        <v>436</v>
      </c>
      <c r="C3882" s="15" t="s">
        <v>726</v>
      </c>
      <c r="D3882" s="15" t="n">
        <v>3825</v>
      </c>
      <c r="E3882" s="15" t="s">
        <v>725</v>
      </c>
      <c r="F3882" s="15" t="s">
        <v>1069</v>
      </c>
      <c r="G3882" s="15" t="s">
        <v>128</v>
      </c>
      <c r="H3882" s="15" t="s">
        <v>1074</v>
      </c>
    </row>
    <row r="3883" customFormat="false" ht="26.25" hidden="false" customHeight="true" outlineLevel="0" collapsed="false">
      <c r="A3883" s="15" t="s">
        <v>435</v>
      </c>
      <c r="B3883" s="15" t="s">
        <v>436</v>
      </c>
      <c r="C3883" s="15" t="s">
        <v>727</v>
      </c>
      <c r="D3883" s="15" t="n">
        <v>1684</v>
      </c>
      <c r="E3883" s="15" t="s">
        <v>725</v>
      </c>
      <c r="F3883" s="15" t="s">
        <v>1069</v>
      </c>
      <c r="G3883" s="15" t="s">
        <v>128</v>
      </c>
      <c r="H3883" s="15" t="s">
        <v>1074</v>
      </c>
    </row>
    <row r="3884" customFormat="false" ht="26.25" hidden="false" customHeight="true" outlineLevel="0" collapsed="false">
      <c r="A3884" s="15" t="s">
        <v>435</v>
      </c>
      <c r="B3884" s="15" t="s">
        <v>436</v>
      </c>
      <c r="C3884" s="15" t="s">
        <v>728</v>
      </c>
      <c r="D3884" s="15" t="n">
        <v>1562</v>
      </c>
      <c r="E3884" s="15" t="s">
        <v>725</v>
      </c>
      <c r="F3884" s="15" t="s">
        <v>1069</v>
      </c>
      <c r="G3884" s="15" t="s">
        <v>293</v>
      </c>
      <c r="H3884" s="15" t="s">
        <v>1075</v>
      </c>
    </row>
    <row r="3885" customFormat="false" ht="15" hidden="false" customHeight="true" outlineLevel="0" collapsed="false">
      <c r="A3885" s="15" t="s">
        <v>435</v>
      </c>
      <c r="B3885" s="15" t="s">
        <v>436</v>
      </c>
      <c r="C3885" s="15" t="s">
        <v>84</v>
      </c>
      <c r="D3885" s="15" t="s">
        <v>1071</v>
      </c>
      <c r="E3885" s="15" t="s">
        <v>725</v>
      </c>
      <c r="F3885" s="15" t="s">
        <v>1069</v>
      </c>
      <c r="G3885" s="15" t="s">
        <v>293</v>
      </c>
      <c r="H3885" s="15" t="s">
        <v>1076</v>
      </c>
    </row>
    <row r="3886" customFormat="false" ht="15" hidden="false" customHeight="true" outlineLevel="0" collapsed="false">
      <c r="A3886" s="15" t="s">
        <v>435</v>
      </c>
      <c r="B3886" s="15" t="s">
        <v>436</v>
      </c>
      <c r="C3886" s="15" t="s">
        <v>789</v>
      </c>
      <c r="D3886" s="15" t="s">
        <v>790</v>
      </c>
      <c r="E3886" s="15"/>
      <c r="F3886" s="15" t="s">
        <v>1069</v>
      </c>
      <c r="G3886" s="15" t="s">
        <v>112</v>
      </c>
      <c r="H3886" s="15"/>
    </row>
    <row r="3887" customFormat="false" ht="15" hidden="false" customHeight="true" outlineLevel="0" collapsed="false">
      <c r="A3887" s="15" t="s">
        <v>435</v>
      </c>
      <c r="B3887" s="15" t="s">
        <v>436</v>
      </c>
      <c r="C3887" s="15" t="s">
        <v>984</v>
      </c>
      <c r="D3887" s="15" t="s">
        <v>1077</v>
      </c>
      <c r="E3887" s="15"/>
      <c r="F3887" s="15" t="s">
        <v>1069</v>
      </c>
      <c r="G3887" s="15" t="s">
        <v>112</v>
      </c>
      <c r="H3887" s="15"/>
    </row>
    <row r="3888" customFormat="false" ht="26.25" hidden="false" customHeight="true" outlineLevel="0" collapsed="false">
      <c r="A3888" s="15" t="s">
        <v>435</v>
      </c>
      <c r="B3888" s="15" t="s">
        <v>436</v>
      </c>
      <c r="C3888" s="15" t="s">
        <v>939</v>
      </c>
      <c r="D3888" s="15" t="n">
        <v>35</v>
      </c>
      <c r="E3888" s="15"/>
      <c r="F3888" s="15" t="s">
        <v>1069</v>
      </c>
      <c r="G3888" s="15" t="s">
        <v>293</v>
      </c>
      <c r="H3888" s="15" t="s">
        <v>1078</v>
      </c>
    </row>
    <row r="3889" customFormat="false" ht="15" hidden="false" customHeight="true" outlineLevel="0" collapsed="false">
      <c r="A3889" s="15" t="s">
        <v>435</v>
      </c>
      <c r="B3889" s="15" t="s">
        <v>436</v>
      </c>
      <c r="C3889" s="15" t="s">
        <v>719</v>
      </c>
      <c r="D3889" s="15" t="n">
        <v>30</v>
      </c>
      <c r="E3889" s="15" t="s">
        <v>720</v>
      </c>
      <c r="F3889" s="15" t="s">
        <v>1069</v>
      </c>
      <c r="G3889" s="15" t="s">
        <v>293</v>
      </c>
      <c r="H3889" s="15" t="s">
        <v>1079</v>
      </c>
    </row>
    <row r="3890" customFormat="false" ht="15" hidden="false" customHeight="true" outlineLevel="0" collapsed="false">
      <c r="A3890" s="15" t="s">
        <v>435</v>
      </c>
      <c r="B3890" s="15" t="s">
        <v>436</v>
      </c>
      <c r="C3890" s="15" t="s">
        <v>1080</v>
      </c>
      <c r="D3890" s="15" t="s">
        <v>1081</v>
      </c>
      <c r="E3890" s="15"/>
      <c r="F3890" s="15" t="s">
        <v>1069</v>
      </c>
      <c r="G3890" s="15" t="s">
        <v>112</v>
      </c>
      <c r="H3890" s="15" t="s">
        <v>1082</v>
      </c>
    </row>
    <row r="3891" customFormat="false" ht="15" hidden="false" customHeight="true" outlineLevel="0" collapsed="false">
      <c r="A3891" s="15" t="s">
        <v>435</v>
      </c>
      <c r="B3891" s="15" t="s">
        <v>436</v>
      </c>
      <c r="C3891" s="15" t="s">
        <v>835</v>
      </c>
      <c r="D3891" s="15" t="s">
        <v>836</v>
      </c>
      <c r="E3891" s="15"/>
      <c r="F3891" s="15" t="s">
        <v>1069</v>
      </c>
      <c r="G3891" s="15" t="s">
        <v>112</v>
      </c>
      <c r="H3891" s="15"/>
    </row>
    <row r="3892" customFormat="false" ht="15" hidden="false" customHeight="true" outlineLevel="0" collapsed="false">
      <c r="A3892" s="15" t="s">
        <v>435</v>
      </c>
      <c r="B3892" s="15" t="s">
        <v>436</v>
      </c>
      <c r="C3892" s="15" t="s">
        <v>833</v>
      </c>
      <c r="D3892" s="15" t="s">
        <v>938</v>
      </c>
      <c r="E3892" s="15"/>
      <c r="F3892" s="15" t="s">
        <v>1069</v>
      </c>
      <c r="G3892" s="15" t="s">
        <v>112</v>
      </c>
      <c r="H3892" s="15"/>
    </row>
    <row r="3893" customFormat="false" ht="15" hidden="false" customHeight="true" outlineLevel="0" collapsed="false">
      <c r="A3893" s="15" t="s">
        <v>435</v>
      </c>
      <c r="B3893" s="15" t="s">
        <v>436</v>
      </c>
      <c r="C3893" s="15" t="s">
        <v>86</v>
      </c>
      <c r="D3893" s="15" t="n">
        <v>6</v>
      </c>
      <c r="E3893" s="15" t="s">
        <v>721</v>
      </c>
      <c r="F3893" s="15" t="s">
        <v>1069</v>
      </c>
      <c r="G3893" s="15" t="s">
        <v>112</v>
      </c>
      <c r="H3893" s="15" t="s">
        <v>1083</v>
      </c>
    </row>
    <row r="3894" customFormat="false" ht="26.25" hidden="false" customHeight="true" outlineLevel="0" collapsed="false">
      <c r="A3894" s="15" t="s">
        <v>435</v>
      </c>
      <c r="B3894" s="15" t="s">
        <v>436</v>
      </c>
      <c r="C3894" s="15" t="s">
        <v>942</v>
      </c>
      <c r="D3894" s="15" t="s">
        <v>943</v>
      </c>
      <c r="E3894" s="15"/>
      <c r="F3894" s="15" t="s">
        <v>1069</v>
      </c>
      <c r="G3894" s="15" t="s">
        <v>293</v>
      </c>
      <c r="H3894" s="15" t="s">
        <v>1075</v>
      </c>
    </row>
    <row r="3895" customFormat="false" ht="15" hidden="false" customHeight="true" outlineLevel="0" collapsed="false">
      <c r="A3895" s="15" t="s">
        <v>435</v>
      </c>
      <c r="B3895" s="15" t="s">
        <v>436</v>
      </c>
      <c r="C3895" s="15" t="s">
        <v>737</v>
      </c>
      <c r="D3895" s="15" t="n">
        <v>55</v>
      </c>
      <c r="E3895" s="15" t="s">
        <v>738</v>
      </c>
      <c r="F3895" s="15" t="s">
        <v>1069</v>
      </c>
      <c r="G3895" s="15" t="s">
        <v>112</v>
      </c>
      <c r="H3895" s="15"/>
    </row>
    <row r="3896" customFormat="false" ht="15" hidden="false" customHeight="true" outlineLevel="0" collapsed="false">
      <c r="A3896" s="15" t="s">
        <v>435</v>
      </c>
      <c r="B3896" s="15" t="s">
        <v>436</v>
      </c>
      <c r="C3896" s="15" t="s">
        <v>714</v>
      </c>
      <c r="D3896" s="15" t="n">
        <v>114</v>
      </c>
      <c r="E3896" s="15" t="s">
        <v>715</v>
      </c>
      <c r="F3896" s="15" t="s">
        <v>1069</v>
      </c>
      <c r="G3896" s="15" t="s">
        <v>112</v>
      </c>
      <c r="H3896" s="15"/>
    </row>
    <row r="3897" customFormat="false" ht="15" hidden="false" customHeight="true" outlineLevel="0" collapsed="false">
      <c r="A3897" s="15" t="s">
        <v>435</v>
      </c>
      <c r="B3897" s="15" t="s">
        <v>436</v>
      </c>
      <c r="C3897" s="15" t="s">
        <v>1084</v>
      </c>
      <c r="D3897" s="15" t="n">
        <v>5.7</v>
      </c>
      <c r="E3897" s="15"/>
      <c r="F3897" s="15" t="s">
        <v>1069</v>
      </c>
      <c r="G3897" s="15" t="s">
        <v>293</v>
      </c>
      <c r="H3897" s="15" t="s">
        <v>1085</v>
      </c>
    </row>
    <row r="3898" customFormat="false" ht="39" hidden="false" customHeight="true" outlineLevel="0" collapsed="false">
      <c r="A3898" s="15" t="s">
        <v>435</v>
      </c>
      <c r="B3898" s="15" t="s">
        <v>436</v>
      </c>
      <c r="C3898" s="15" t="s">
        <v>98</v>
      </c>
      <c r="D3898" s="15" t="s">
        <v>950</v>
      </c>
      <c r="E3898" s="15"/>
      <c r="F3898" s="15" t="s">
        <v>1069</v>
      </c>
      <c r="G3898" s="15" t="s">
        <v>112</v>
      </c>
      <c r="H3898" s="15"/>
    </row>
    <row r="3899" customFormat="false" ht="26.25" hidden="false" customHeight="true" outlineLevel="0" collapsed="false">
      <c r="A3899" s="15" t="s">
        <v>435</v>
      </c>
      <c r="B3899" s="15" t="s">
        <v>436</v>
      </c>
      <c r="C3899" s="15" t="s">
        <v>733</v>
      </c>
      <c r="D3899" s="15" t="s">
        <v>1097</v>
      </c>
      <c r="E3899" s="15"/>
      <c r="F3899" s="15" t="s">
        <v>1069</v>
      </c>
      <c r="G3899" s="15" t="s">
        <v>293</v>
      </c>
      <c r="H3899" s="15" t="s">
        <v>1075</v>
      </c>
    </row>
    <row r="3900" customFormat="false" ht="26.25" hidden="false" customHeight="true" outlineLevel="0" collapsed="false">
      <c r="A3900" s="15" t="s">
        <v>435</v>
      </c>
      <c r="B3900" s="15" t="s">
        <v>436</v>
      </c>
      <c r="C3900" s="15" t="s">
        <v>940</v>
      </c>
      <c r="D3900" s="15" t="n">
        <v>3.5</v>
      </c>
      <c r="E3900" s="15"/>
      <c r="F3900" s="15" t="s">
        <v>1069</v>
      </c>
      <c r="G3900" s="15" t="s">
        <v>293</v>
      </c>
      <c r="H3900" s="15" t="s">
        <v>1075</v>
      </c>
    </row>
    <row r="3901" customFormat="false" ht="26.25" hidden="false" customHeight="true" outlineLevel="0" collapsed="false">
      <c r="A3901" s="15" t="s">
        <v>435</v>
      </c>
      <c r="B3901" s="15" t="s">
        <v>436</v>
      </c>
      <c r="C3901" s="15" t="s">
        <v>1087</v>
      </c>
      <c r="D3901" s="15" t="n">
        <v>8.7</v>
      </c>
      <c r="E3901" s="15"/>
      <c r="F3901" s="15" t="s">
        <v>1069</v>
      </c>
      <c r="G3901" s="15" t="s">
        <v>293</v>
      </c>
      <c r="H3901" s="15" t="s">
        <v>1075</v>
      </c>
    </row>
    <row r="3902" customFormat="false" ht="15" hidden="false" customHeight="true" outlineLevel="0" collapsed="false">
      <c r="A3902" s="15" t="s">
        <v>435</v>
      </c>
      <c r="B3902" s="15" t="s">
        <v>436</v>
      </c>
      <c r="C3902" s="15" t="s">
        <v>752</v>
      </c>
      <c r="D3902" s="15" t="s">
        <v>1095</v>
      </c>
      <c r="E3902" s="15"/>
      <c r="F3902" s="15" t="s">
        <v>1069</v>
      </c>
      <c r="G3902" s="15" t="s">
        <v>112</v>
      </c>
      <c r="H3902" s="15" t="s">
        <v>1089</v>
      </c>
    </row>
    <row r="3903" customFormat="false" ht="15" hidden="false" customHeight="true" outlineLevel="0" collapsed="false">
      <c r="A3903" s="15" t="s">
        <v>435</v>
      </c>
      <c r="B3903" s="15" t="s">
        <v>436</v>
      </c>
      <c r="C3903" s="15" t="s">
        <v>743</v>
      </c>
      <c r="D3903" s="15" t="s">
        <v>974</v>
      </c>
      <c r="E3903" s="15"/>
      <c r="F3903" s="15" t="s">
        <v>1069</v>
      </c>
      <c r="G3903" s="15" t="s">
        <v>112</v>
      </c>
      <c r="H3903" s="15"/>
    </row>
    <row r="3904" customFormat="false" ht="15" hidden="false" customHeight="true" outlineLevel="0" collapsed="false">
      <c r="A3904" s="15" t="s">
        <v>435</v>
      </c>
      <c r="B3904" s="15" t="s">
        <v>436</v>
      </c>
      <c r="C3904" s="15" t="s">
        <v>759</v>
      </c>
      <c r="D3904" s="15" t="s">
        <v>944</v>
      </c>
      <c r="E3904" s="15"/>
      <c r="F3904" s="15" t="s">
        <v>1069</v>
      </c>
      <c r="G3904" s="15" t="s">
        <v>112</v>
      </c>
      <c r="H3904" s="15"/>
    </row>
    <row r="3905" customFormat="false" ht="15" hidden="false" customHeight="true" outlineLevel="0" collapsed="false">
      <c r="A3905" s="15" t="s">
        <v>435</v>
      </c>
      <c r="B3905" s="15" t="s">
        <v>436</v>
      </c>
      <c r="C3905" s="15" t="s">
        <v>757</v>
      </c>
      <c r="D3905" s="15" t="s">
        <v>1091</v>
      </c>
      <c r="E3905" s="15"/>
      <c r="F3905" s="15" t="s">
        <v>1069</v>
      </c>
      <c r="G3905" s="15" t="s">
        <v>112</v>
      </c>
      <c r="H3905" s="15"/>
    </row>
    <row r="3906" customFormat="false" ht="15" hidden="false" customHeight="true" outlineLevel="0" collapsed="false">
      <c r="A3906" s="15" t="s">
        <v>435</v>
      </c>
      <c r="B3906" s="15" t="s">
        <v>436</v>
      </c>
      <c r="C3906" s="15" t="s">
        <v>747</v>
      </c>
      <c r="D3906" s="15" t="s">
        <v>1096</v>
      </c>
      <c r="E3906" s="15"/>
      <c r="F3906" s="15" t="s">
        <v>1069</v>
      </c>
      <c r="G3906" s="15" t="s">
        <v>112</v>
      </c>
      <c r="H3906" s="15"/>
    </row>
    <row r="3907" customFormat="false" ht="15" hidden="false" customHeight="true" outlineLevel="0" collapsed="false">
      <c r="A3907" s="15" t="s">
        <v>435</v>
      </c>
      <c r="B3907" s="15" t="s">
        <v>436</v>
      </c>
      <c r="C3907" s="15" t="s">
        <v>848</v>
      </c>
      <c r="D3907" s="15" t="s">
        <v>755</v>
      </c>
      <c r="E3907" s="15"/>
      <c r="F3907" s="15" t="s">
        <v>1069</v>
      </c>
      <c r="G3907" s="15" t="s">
        <v>112</v>
      </c>
      <c r="H3907" s="15"/>
    </row>
    <row r="3908" customFormat="false" ht="15" hidden="false" customHeight="true" outlineLevel="0" collapsed="false">
      <c r="A3908" s="15" t="s">
        <v>435</v>
      </c>
      <c r="B3908" s="15" t="s">
        <v>436</v>
      </c>
      <c r="C3908" s="15" t="s">
        <v>854</v>
      </c>
      <c r="D3908" s="15" t="s">
        <v>755</v>
      </c>
      <c r="E3908" s="15"/>
      <c r="F3908" s="15" t="s">
        <v>1069</v>
      </c>
      <c r="G3908" s="15" t="s">
        <v>112</v>
      </c>
      <c r="H3908" s="15"/>
    </row>
    <row r="3909" customFormat="false" ht="15" hidden="false" customHeight="true" outlineLevel="0" collapsed="false">
      <c r="A3909" s="15" t="s">
        <v>435</v>
      </c>
      <c r="B3909" s="15" t="s">
        <v>436</v>
      </c>
      <c r="C3909" s="15" t="s">
        <v>1093</v>
      </c>
      <c r="D3909" s="15" t="s">
        <v>755</v>
      </c>
      <c r="E3909" s="15"/>
      <c r="F3909" s="15" t="s">
        <v>1069</v>
      </c>
      <c r="G3909" s="15" t="s">
        <v>112</v>
      </c>
      <c r="H3909" s="15"/>
    </row>
    <row r="3910" customFormat="false" ht="15" hidden="false" customHeight="true" outlineLevel="0" collapsed="false">
      <c r="A3910" s="15" t="s">
        <v>435</v>
      </c>
      <c r="B3910" s="15" t="s">
        <v>436</v>
      </c>
      <c r="C3910" s="15" t="s">
        <v>973</v>
      </c>
      <c r="D3910" s="15" t="s">
        <v>755</v>
      </c>
      <c r="E3910" s="15"/>
      <c r="F3910" s="15" t="s">
        <v>1069</v>
      </c>
      <c r="G3910" s="15" t="s">
        <v>112</v>
      </c>
      <c r="H3910" s="15"/>
    </row>
    <row r="3911" customFormat="false" ht="15" hidden="false" customHeight="true" outlineLevel="0" collapsed="false">
      <c r="A3911" s="15" t="s">
        <v>435</v>
      </c>
      <c r="B3911" s="15" t="s">
        <v>436</v>
      </c>
      <c r="C3911" s="15" t="s">
        <v>87</v>
      </c>
      <c r="D3911" s="15" t="s">
        <v>429</v>
      </c>
      <c r="E3911" s="15"/>
      <c r="F3911" s="15" t="s">
        <v>971</v>
      </c>
      <c r="G3911" s="15" t="s">
        <v>112</v>
      </c>
      <c r="H3911" s="15" t="s">
        <v>1094</v>
      </c>
    </row>
    <row r="3912" customFormat="false" ht="26.25" hidden="false" customHeight="true" outlineLevel="0" collapsed="false">
      <c r="A3912" s="15" t="s">
        <v>439</v>
      </c>
      <c r="B3912" s="15" t="s">
        <v>440</v>
      </c>
      <c r="C3912" s="15" t="s">
        <v>769</v>
      </c>
      <c r="D3912" s="15" t="n">
        <v>5</v>
      </c>
      <c r="E3912" s="15" t="s">
        <v>721</v>
      </c>
      <c r="F3912" s="15" t="s">
        <v>1069</v>
      </c>
      <c r="G3912" s="15" t="s">
        <v>128</v>
      </c>
      <c r="H3912" s="15" t="s">
        <v>1070</v>
      </c>
    </row>
    <row r="3913" customFormat="false" ht="15" hidden="false" customHeight="true" outlineLevel="0" collapsed="false">
      <c r="A3913" s="15" t="s">
        <v>439</v>
      </c>
      <c r="B3913" s="15" t="s">
        <v>440</v>
      </c>
      <c r="C3913" s="15" t="s">
        <v>718</v>
      </c>
      <c r="D3913" s="15" t="s">
        <v>1071</v>
      </c>
      <c r="E3913" s="15"/>
      <c r="F3913" s="15" t="s">
        <v>1069</v>
      </c>
      <c r="G3913" s="15" t="s">
        <v>293</v>
      </c>
      <c r="H3913" s="15" t="s">
        <v>1072</v>
      </c>
    </row>
    <row r="3914" customFormat="false" ht="15" hidden="false" customHeight="true" outlineLevel="0" collapsed="false">
      <c r="A3914" s="15" t="s">
        <v>439</v>
      </c>
      <c r="B3914" s="15" t="s">
        <v>440</v>
      </c>
      <c r="C3914" s="15" t="s">
        <v>935</v>
      </c>
      <c r="D3914" s="15" t="s">
        <v>936</v>
      </c>
      <c r="E3914" s="15"/>
      <c r="F3914" s="15" t="s">
        <v>1069</v>
      </c>
      <c r="G3914" s="15" t="s">
        <v>112</v>
      </c>
      <c r="H3914" s="15"/>
    </row>
    <row r="3915" customFormat="false" ht="15" hidden="false" customHeight="true" outlineLevel="0" collapsed="false">
      <c r="A3915" s="15" t="s">
        <v>439</v>
      </c>
      <c r="B3915" s="15" t="s">
        <v>440</v>
      </c>
      <c r="C3915" s="15" t="s">
        <v>722</v>
      </c>
      <c r="D3915" s="15" t="n">
        <v>240</v>
      </c>
      <c r="E3915" s="15" t="s">
        <v>723</v>
      </c>
      <c r="F3915" s="15" t="s">
        <v>1069</v>
      </c>
      <c r="G3915" s="15" t="s">
        <v>112</v>
      </c>
      <c r="H3915" s="15"/>
    </row>
    <row r="3916" customFormat="false" ht="15" hidden="false" customHeight="true" outlineLevel="0" collapsed="false">
      <c r="A3916" s="15" t="s">
        <v>439</v>
      </c>
      <c r="B3916" s="15" t="s">
        <v>440</v>
      </c>
      <c r="C3916" s="15" t="s">
        <v>729</v>
      </c>
      <c r="D3916" s="15" t="n">
        <v>2400</v>
      </c>
      <c r="E3916" s="15" t="s">
        <v>725</v>
      </c>
      <c r="F3916" s="15" t="s">
        <v>1069</v>
      </c>
      <c r="G3916" s="15" t="s">
        <v>112</v>
      </c>
      <c r="H3916" s="15"/>
    </row>
    <row r="3917" customFormat="false" ht="15" hidden="false" customHeight="true" outlineLevel="0" collapsed="false">
      <c r="A3917" s="15" t="s">
        <v>439</v>
      </c>
      <c r="B3917" s="15" t="s">
        <v>440</v>
      </c>
      <c r="C3917" s="15" t="s">
        <v>776</v>
      </c>
      <c r="D3917" s="15" t="s">
        <v>1073</v>
      </c>
      <c r="E3917" s="15"/>
      <c r="F3917" s="15" t="s">
        <v>1069</v>
      </c>
      <c r="G3917" s="15" t="s">
        <v>112</v>
      </c>
      <c r="H3917" s="15"/>
    </row>
    <row r="3918" customFormat="false" ht="26.25" hidden="false" customHeight="true" outlineLevel="0" collapsed="false">
      <c r="A3918" s="15" t="s">
        <v>439</v>
      </c>
      <c r="B3918" s="15" t="s">
        <v>440</v>
      </c>
      <c r="C3918" s="15" t="s">
        <v>726</v>
      </c>
      <c r="D3918" s="15" t="n">
        <v>3825</v>
      </c>
      <c r="E3918" s="15" t="s">
        <v>725</v>
      </c>
      <c r="F3918" s="15" t="s">
        <v>1069</v>
      </c>
      <c r="G3918" s="15" t="s">
        <v>128</v>
      </c>
      <c r="H3918" s="15" t="s">
        <v>1074</v>
      </c>
    </row>
    <row r="3919" customFormat="false" ht="26.25" hidden="false" customHeight="true" outlineLevel="0" collapsed="false">
      <c r="A3919" s="15" t="s">
        <v>439</v>
      </c>
      <c r="B3919" s="15" t="s">
        <v>440</v>
      </c>
      <c r="C3919" s="15" t="s">
        <v>727</v>
      </c>
      <c r="D3919" s="15" t="n">
        <v>1684</v>
      </c>
      <c r="E3919" s="15" t="s">
        <v>725</v>
      </c>
      <c r="F3919" s="15" t="s">
        <v>1069</v>
      </c>
      <c r="G3919" s="15" t="s">
        <v>128</v>
      </c>
      <c r="H3919" s="15" t="s">
        <v>1074</v>
      </c>
    </row>
    <row r="3920" customFormat="false" ht="26.25" hidden="false" customHeight="true" outlineLevel="0" collapsed="false">
      <c r="A3920" s="15" t="s">
        <v>439</v>
      </c>
      <c r="B3920" s="15" t="s">
        <v>440</v>
      </c>
      <c r="C3920" s="15" t="s">
        <v>728</v>
      </c>
      <c r="D3920" s="15" t="n">
        <v>1562</v>
      </c>
      <c r="E3920" s="15" t="s">
        <v>725</v>
      </c>
      <c r="F3920" s="15" t="s">
        <v>1069</v>
      </c>
      <c r="G3920" s="15" t="s">
        <v>293</v>
      </c>
      <c r="H3920" s="15" t="s">
        <v>1075</v>
      </c>
    </row>
    <row r="3921" customFormat="false" ht="15" hidden="false" customHeight="true" outlineLevel="0" collapsed="false">
      <c r="A3921" s="15" t="s">
        <v>439</v>
      </c>
      <c r="B3921" s="15" t="s">
        <v>440</v>
      </c>
      <c r="C3921" s="15" t="s">
        <v>84</v>
      </c>
      <c r="D3921" s="15" t="s">
        <v>1071</v>
      </c>
      <c r="E3921" s="15" t="s">
        <v>725</v>
      </c>
      <c r="F3921" s="15" t="s">
        <v>1069</v>
      </c>
      <c r="G3921" s="15" t="s">
        <v>293</v>
      </c>
      <c r="H3921" s="15" t="s">
        <v>1076</v>
      </c>
    </row>
    <row r="3922" customFormat="false" ht="15" hidden="false" customHeight="true" outlineLevel="0" collapsed="false">
      <c r="A3922" s="15" t="s">
        <v>439</v>
      </c>
      <c r="B3922" s="15" t="s">
        <v>440</v>
      </c>
      <c r="C3922" s="15" t="s">
        <v>789</v>
      </c>
      <c r="D3922" s="15" t="s">
        <v>790</v>
      </c>
      <c r="E3922" s="15"/>
      <c r="F3922" s="15" t="s">
        <v>1069</v>
      </c>
      <c r="G3922" s="15" t="s">
        <v>112</v>
      </c>
      <c r="H3922" s="15"/>
    </row>
    <row r="3923" customFormat="false" ht="15" hidden="false" customHeight="true" outlineLevel="0" collapsed="false">
      <c r="A3923" s="15" t="s">
        <v>439</v>
      </c>
      <c r="B3923" s="15" t="s">
        <v>440</v>
      </c>
      <c r="C3923" s="15" t="s">
        <v>984</v>
      </c>
      <c r="D3923" s="15" t="s">
        <v>1077</v>
      </c>
      <c r="E3923" s="15"/>
      <c r="F3923" s="15" t="s">
        <v>1069</v>
      </c>
      <c r="G3923" s="15" t="s">
        <v>112</v>
      </c>
      <c r="H3923" s="15"/>
    </row>
    <row r="3924" customFormat="false" ht="26.25" hidden="false" customHeight="true" outlineLevel="0" collapsed="false">
      <c r="A3924" s="15" t="s">
        <v>439</v>
      </c>
      <c r="B3924" s="15" t="s">
        <v>440</v>
      </c>
      <c r="C3924" s="15" t="s">
        <v>939</v>
      </c>
      <c r="D3924" s="15" t="n">
        <v>35</v>
      </c>
      <c r="E3924" s="15"/>
      <c r="F3924" s="15" t="s">
        <v>1069</v>
      </c>
      <c r="G3924" s="15" t="s">
        <v>293</v>
      </c>
      <c r="H3924" s="15" t="s">
        <v>1078</v>
      </c>
    </row>
    <row r="3925" customFormat="false" ht="15" hidden="false" customHeight="true" outlineLevel="0" collapsed="false">
      <c r="A3925" s="15" t="s">
        <v>439</v>
      </c>
      <c r="B3925" s="15" t="s">
        <v>440</v>
      </c>
      <c r="C3925" s="15" t="s">
        <v>719</v>
      </c>
      <c r="D3925" s="15" t="n">
        <v>30</v>
      </c>
      <c r="E3925" s="15" t="s">
        <v>720</v>
      </c>
      <c r="F3925" s="15" t="s">
        <v>1069</v>
      </c>
      <c r="G3925" s="15" t="s">
        <v>293</v>
      </c>
      <c r="H3925" s="15" t="s">
        <v>1079</v>
      </c>
    </row>
    <row r="3926" customFormat="false" ht="15" hidden="false" customHeight="true" outlineLevel="0" collapsed="false">
      <c r="A3926" s="15" t="s">
        <v>439</v>
      </c>
      <c r="B3926" s="15" t="s">
        <v>440</v>
      </c>
      <c r="C3926" s="15" t="s">
        <v>1080</v>
      </c>
      <c r="D3926" s="15" t="s">
        <v>1081</v>
      </c>
      <c r="E3926" s="15"/>
      <c r="F3926" s="15" t="s">
        <v>1069</v>
      </c>
      <c r="G3926" s="15" t="s">
        <v>112</v>
      </c>
      <c r="H3926" s="15" t="s">
        <v>1082</v>
      </c>
    </row>
    <row r="3927" customFormat="false" ht="15" hidden="false" customHeight="true" outlineLevel="0" collapsed="false">
      <c r="A3927" s="15" t="s">
        <v>439</v>
      </c>
      <c r="B3927" s="15" t="s">
        <v>440</v>
      </c>
      <c r="C3927" s="15" t="s">
        <v>835</v>
      </c>
      <c r="D3927" s="15" t="s">
        <v>836</v>
      </c>
      <c r="E3927" s="15"/>
      <c r="F3927" s="15" t="s">
        <v>1069</v>
      </c>
      <c r="G3927" s="15" t="s">
        <v>112</v>
      </c>
      <c r="H3927" s="15"/>
    </row>
    <row r="3928" customFormat="false" ht="15" hidden="false" customHeight="true" outlineLevel="0" collapsed="false">
      <c r="A3928" s="15" t="s">
        <v>439</v>
      </c>
      <c r="B3928" s="15" t="s">
        <v>440</v>
      </c>
      <c r="C3928" s="15" t="s">
        <v>833</v>
      </c>
      <c r="D3928" s="15" t="s">
        <v>938</v>
      </c>
      <c r="E3928" s="15"/>
      <c r="F3928" s="15" t="s">
        <v>1069</v>
      </c>
      <c r="G3928" s="15" t="s">
        <v>112</v>
      </c>
      <c r="H3928" s="15"/>
    </row>
    <row r="3929" customFormat="false" ht="15" hidden="false" customHeight="true" outlineLevel="0" collapsed="false">
      <c r="A3929" s="15" t="s">
        <v>439</v>
      </c>
      <c r="B3929" s="15" t="s">
        <v>440</v>
      </c>
      <c r="C3929" s="15" t="s">
        <v>86</v>
      </c>
      <c r="D3929" s="15" t="n">
        <v>6</v>
      </c>
      <c r="E3929" s="15" t="s">
        <v>721</v>
      </c>
      <c r="F3929" s="15" t="s">
        <v>1069</v>
      </c>
      <c r="G3929" s="15" t="s">
        <v>112</v>
      </c>
      <c r="H3929" s="15" t="s">
        <v>1083</v>
      </c>
    </row>
    <row r="3930" customFormat="false" ht="26.25" hidden="false" customHeight="true" outlineLevel="0" collapsed="false">
      <c r="A3930" s="15" t="s">
        <v>439</v>
      </c>
      <c r="B3930" s="15" t="s">
        <v>440</v>
      </c>
      <c r="C3930" s="15" t="s">
        <v>942</v>
      </c>
      <c r="D3930" s="15" t="s">
        <v>943</v>
      </c>
      <c r="E3930" s="15"/>
      <c r="F3930" s="15" t="s">
        <v>1069</v>
      </c>
      <c r="G3930" s="15" t="s">
        <v>293</v>
      </c>
      <c r="H3930" s="15" t="s">
        <v>1075</v>
      </c>
    </row>
    <row r="3931" customFormat="false" ht="15" hidden="false" customHeight="true" outlineLevel="0" collapsed="false">
      <c r="A3931" s="15" t="s">
        <v>439</v>
      </c>
      <c r="B3931" s="15" t="s">
        <v>440</v>
      </c>
      <c r="C3931" s="15" t="s">
        <v>737</v>
      </c>
      <c r="D3931" s="15" t="n">
        <v>55</v>
      </c>
      <c r="E3931" s="15" t="s">
        <v>738</v>
      </c>
      <c r="F3931" s="15" t="s">
        <v>1069</v>
      </c>
      <c r="G3931" s="15" t="s">
        <v>112</v>
      </c>
      <c r="H3931" s="15"/>
    </row>
    <row r="3932" customFormat="false" ht="15" hidden="false" customHeight="true" outlineLevel="0" collapsed="false">
      <c r="A3932" s="15" t="s">
        <v>439</v>
      </c>
      <c r="B3932" s="15" t="s">
        <v>440</v>
      </c>
      <c r="C3932" s="15" t="s">
        <v>714</v>
      </c>
      <c r="D3932" s="15" t="n">
        <v>114</v>
      </c>
      <c r="E3932" s="15" t="s">
        <v>715</v>
      </c>
      <c r="F3932" s="15" t="s">
        <v>1069</v>
      </c>
      <c r="G3932" s="15" t="s">
        <v>112</v>
      </c>
      <c r="H3932" s="15"/>
    </row>
    <row r="3933" customFormat="false" ht="15" hidden="false" customHeight="true" outlineLevel="0" collapsed="false">
      <c r="A3933" s="15" t="s">
        <v>439</v>
      </c>
      <c r="B3933" s="15" t="s">
        <v>440</v>
      </c>
      <c r="C3933" s="15" t="s">
        <v>1084</v>
      </c>
      <c r="D3933" s="15" t="n">
        <v>5.7</v>
      </c>
      <c r="E3933" s="15"/>
      <c r="F3933" s="15" t="s">
        <v>1069</v>
      </c>
      <c r="G3933" s="15" t="s">
        <v>293</v>
      </c>
      <c r="H3933" s="15" t="s">
        <v>1085</v>
      </c>
    </row>
    <row r="3934" customFormat="false" ht="39" hidden="false" customHeight="true" outlineLevel="0" collapsed="false">
      <c r="A3934" s="15" t="s">
        <v>439</v>
      </c>
      <c r="B3934" s="15" t="s">
        <v>440</v>
      </c>
      <c r="C3934" s="15" t="s">
        <v>98</v>
      </c>
      <c r="D3934" s="15" t="s">
        <v>950</v>
      </c>
      <c r="E3934" s="15"/>
      <c r="F3934" s="15" t="s">
        <v>1069</v>
      </c>
      <c r="G3934" s="15" t="s">
        <v>112</v>
      </c>
      <c r="H3934" s="15"/>
    </row>
    <row r="3935" customFormat="false" ht="26.25" hidden="false" customHeight="true" outlineLevel="0" collapsed="false">
      <c r="A3935" s="15" t="s">
        <v>439</v>
      </c>
      <c r="B3935" s="15" t="s">
        <v>440</v>
      </c>
      <c r="C3935" s="15" t="s">
        <v>733</v>
      </c>
      <c r="D3935" s="15" t="s">
        <v>1097</v>
      </c>
      <c r="E3935" s="15"/>
      <c r="F3935" s="15" t="s">
        <v>1069</v>
      </c>
      <c r="G3935" s="15" t="s">
        <v>293</v>
      </c>
      <c r="H3935" s="15" t="s">
        <v>1075</v>
      </c>
    </row>
    <row r="3936" customFormat="false" ht="26.25" hidden="false" customHeight="true" outlineLevel="0" collapsed="false">
      <c r="A3936" s="15" t="s">
        <v>439</v>
      </c>
      <c r="B3936" s="15" t="s">
        <v>440</v>
      </c>
      <c r="C3936" s="15" t="s">
        <v>940</v>
      </c>
      <c r="D3936" s="15" t="n">
        <v>3.5</v>
      </c>
      <c r="E3936" s="15"/>
      <c r="F3936" s="15" t="s">
        <v>1069</v>
      </c>
      <c r="G3936" s="15" t="s">
        <v>293</v>
      </c>
      <c r="H3936" s="15" t="s">
        <v>1075</v>
      </c>
    </row>
    <row r="3937" customFormat="false" ht="26.25" hidden="false" customHeight="true" outlineLevel="0" collapsed="false">
      <c r="A3937" s="15" t="s">
        <v>439</v>
      </c>
      <c r="B3937" s="15" t="s">
        <v>440</v>
      </c>
      <c r="C3937" s="15" t="s">
        <v>1087</v>
      </c>
      <c r="D3937" s="15" t="n">
        <v>8.7</v>
      </c>
      <c r="E3937" s="15"/>
      <c r="F3937" s="15" t="s">
        <v>1069</v>
      </c>
      <c r="G3937" s="15" t="s">
        <v>293</v>
      </c>
      <c r="H3937" s="15" t="s">
        <v>1075</v>
      </c>
    </row>
    <row r="3938" customFormat="false" ht="15" hidden="false" customHeight="true" outlineLevel="0" collapsed="false">
      <c r="A3938" s="15" t="s">
        <v>439</v>
      </c>
      <c r="B3938" s="15" t="s">
        <v>440</v>
      </c>
      <c r="C3938" s="15" t="s">
        <v>752</v>
      </c>
      <c r="D3938" s="15" t="s">
        <v>1098</v>
      </c>
      <c r="E3938" s="15"/>
      <c r="F3938" s="15" t="s">
        <v>1069</v>
      </c>
      <c r="G3938" s="15" t="s">
        <v>112</v>
      </c>
      <c r="H3938" s="15"/>
    </row>
    <row r="3939" customFormat="false" ht="15" hidden="false" customHeight="true" outlineLevel="0" collapsed="false">
      <c r="A3939" s="15" t="s">
        <v>439</v>
      </c>
      <c r="B3939" s="15" t="s">
        <v>440</v>
      </c>
      <c r="C3939" s="15" t="s">
        <v>743</v>
      </c>
      <c r="D3939" s="15" t="s">
        <v>1099</v>
      </c>
      <c r="E3939" s="15"/>
      <c r="F3939" s="15" t="s">
        <v>1069</v>
      </c>
      <c r="G3939" s="15" t="s">
        <v>112</v>
      </c>
      <c r="H3939" s="15"/>
    </row>
    <row r="3940" customFormat="false" ht="15" hidden="false" customHeight="true" outlineLevel="0" collapsed="false">
      <c r="A3940" s="15" t="s">
        <v>439</v>
      </c>
      <c r="B3940" s="15" t="s">
        <v>440</v>
      </c>
      <c r="C3940" s="15" t="s">
        <v>759</v>
      </c>
      <c r="D3940" s="15" t="s">
        <v>944</v>
      </c>
      <c r="E3940" s="15"/>
      <c r="F3940" s="15" t="s">
        <v>1069</v>
      </c>
      <c r="G3940" s="15" t="s">
        <v>112</v>
      </c>
      <c r="H3940" s="15"/>
    </row>
    <row r="3941" customFormat="false" ht="15" hidden="false" customHeight="true" outlineLevel="0" collapsed="false">
      <c r="A3941" s="15" t="s">
        <v>439</v>
      </c>
      <c r="B3941" s="15" t="s">
        <v>440</v>
      </c>
      <c r="C3941" s="15" t="s">
        <v>757</v>
      </c>
      <c r="D3941" s="15" t="s">
        <v>1091</v>
      </c>
      <c r="E3941" s="15"/>
      <c r="F3941" s="15" t="s">
        <v>1069</v>
      </c>
      <c r="G3941" s="15" t="s">
        <v>112</v>
      </c>
      <c r="H3941" s="15"/>
    </row>
    <row r="3942" customFormat="false" ht="15" hidden="false" customHeight="true" outlineLevel="0" collapsed="false">
      <c r="A3942" s="15" t="s">
        <v>439</v>
      </c>
      <c r="B3942" s="15" t="s">
        <v>440</v>
      </c>
      <c r="C3942" s="15" t="s">
        <v>747</v>
      </c>
      <c r="D3942" s="15" t="s">
        <v>1100</v>
      </c>
      <c r="E3942" s="15"/>
      <c r="F3942" s="15" t="s">
        <v>1069</v>
      </c>
      <c r="G3942" s="15" t="s">
        <v>112</v>
      </c>
      <c r="H3942" s="15"/>
    </row>
    <row r="3943" customFormat="false" ht="15" hidden="false" customHeight="true" outlineLevel="0" collapsed="false">
      <c r="A3943" s="15" t="s">
        <v>439</v>
      </c>
      <c r="B3943" s="15" t="s">
        <v>440</v>
      </c>
      <c r="C3943" s="15" t="s">
        <v>848</v>
      </c>
      <c r="D3943" s="15" t="s">
        <v>849</v>
      </c>
      <c r="E3943" s="15"/>
      <c r="F3943" s="15" t="s">
        <v>1069</v>
      </c>
      <c r="G3943" s="15" t="s">
        <v>112</v>
      </c>
      <c r="H3943" s="15"/>
    </row>
    <row r="3944" customFormat="false" ht="15" hidden="false" customHeight="true" outlineLevel="0" collapsed="false">
      <c r="A3944" s="15" t="s">
        <v>439</v>
      </c>
      <c r="B3944" s="15" t="s">
        <v>440</v>
      </c>
      <c r="C3944" s="15" t="s">
        <v>854</v>
      </c>
      <c r="D3944" s="15" t="s">
        <v>803</v>
      </c>
      <c r="E3944" s="15"/>
      <c r="F3944" s="15" t="s">
        <v>1069</v>
      </c>
      <c r="G3944" s="15" t="s">
        <v>112</v>
      </c>
      <c r="H3944" s="15"/>
    </row>
    <row r="3945" customFormat="false" ht="15" hidden="false" customHeight="true" outlineLevel="0" collapsed="false">
      <c r="A3945" s="15" t="s">
        <v>439</v>
      </c>
      <c r="B3945" s="15" t="s">
        <v>440</v>
      </c>
      <c r="C3945" s="15" t="s">
        <v>1093</v>
      </c>
      <c r="D3945" s="15" t="s">
        <v>803</v>
      </c>
      <c r="E3945" s="15"/>
      <c r="F3945" s="15" t="s">
        <v>1069</v>
      </c>
      <c r="G3945" s="15" t="s">
        <v>112</v>
      </c>
      <c r="H3945" s="15"/>
    </row>
    <row r="3946" customFormat="false" ht="15" hidden="false" customHeight="true" outlineLevel="0" collapsed="false">
      <c r="A3946" s="15" t="s">
        <v>439</v>
      </c>
      <c r="B3946" s="15" t="s">
        <v>440</v>
      </c>
      <c r="C3946" s="15" t="s">
        <v>973</v>
      </c>
      <c r="D3946" s="15" t="s">
        <v>803</v>
      </c>
      <c r="E3946" s="15"/>
      <c r="F3946" s="15" t="s">
        <v>1069</v>
      </c>
      <c r="G3946" s="15" t="s">
        <v>112</v>
      </c>
      <c r="H3946" s="15"/>
    </row>
    <row r="3947" customFormat="false" ht="15" hidden="false" customHeight="true" outlineLevel="0" collapsed="false">
      <c r="A3947" s="15" t="s">
        <v>439</v>
      </c>
      <c r="B3947" s="15" t="s">
        <v>440</v>
      </c>
      <c r="C3947" s="15" t="s">
        <v>87</v>
      </c>
      <c r="D3947" s="15" t="s">
        <v>1101</v>
      </c>
      <c r="E3947" s="15"/>
      <c r="F3947" s="15" t="s">
        <v>971</v>
      </c>
      <c r="G3947" s="15" t="s">
        <v>112</v>
      </c>
      <c r="H3947" s="15"/>
    </row>
    <row r="3948" customFormat="false" ht="15" hidden="false" customHeight="true" outlineLevel="0" collapsed="false">
      <c r="A3948" s="15" t="s">
        <v>443</v>
      </c>
      <c r="B3948" s="15" t="s">
        <v>446</v>
      </c>
      <c r="C3948" s="15" t="s">
        <v>769</v>
      </c>
      <c r="D3948" s="15" t="n">
        <v>5</v>
      </c>
      <c r="E3948" s="15" t="s">
        <v>721</v>
      </c>
      <c r="F3948" s="15" t="s">
        <v>1102</v>
      </c>
      <c r="G3948" s="15" t="s">
        <v>112</v>
      </c>
      <c r="H3948" s="15"/>
    </row>
    <row r="3949" customFormat="false" ht="15" hidden="false" customHeight="true" outlineLevel="0" collapsed="false">
      <c r="A3949" s="15" t="s">
        <v>443</v>
      </c>
      <c r="B3949" s="15" t="s">
        <v>446</v>
      </c>
      <c r="C3949" s="15" t="s">
        <v>737</v>
      </c>
      <c r="D3949" s="15" t="n">
        <v>55</v>
      </c>
      <c r="E3949" s="15" t="s">
        <v>738</v>
      </c>
      <c r="F3949" s="15" t="s">
        <v>1102</v>
      </c>
      <c r="G3949" s="15" t="s">
        <v>112</v>
      </c>
      <c r="H3949" s="15"/>
    </row>
    <row r="3950" customFormat="false" ht="15" hidden="false" customHeight="true" outlineLevel="0" collapsed="false">
      <c r="A3950" s="15" t="s">
        <v>443</v>
      </c>
      <c r="B3950" s="15" t="s">
        <v>446</v>
      </c>
      <c r="C3950" s="15" t="s">
        <v>714</v>
      </c>
      <c r="D3950" s="15" t="n">
        <v>170</v>
      </c>
      <c r="E3950" s="15" t="s">
        <v>715</v>
      </c>
      <c r="F3950" s="15" t="s">
        <v>1102</v>
      </c>
      <c r="G3950" s="15" t="s">
        <v>112</v>
      </c>
      <c r="H3950" s="15"/>
    </row>
    <row r="3951" customFormat="false" ht="15" hidden="false" customHeight="true" outlineLevel="0" collapsed="false">
      <c r="A3951" s="15" t="s">
        <v>443</v>
      </c>
      <c r="B3951" s="15" t="s">
        <v>446</v>
      </c>
      <c r="C3951" s="15" t="s">
        <v>718</v>
      </c>
      <c r="D3951" s="15" t="s">
        <v>302</v>
      </c>
      <c r="E3951" s="15"/>
      <c r="F3951" s="15" t="s">
        <v>1102</v>
      </c>
      <c r="G3951" s="15" t="s">
        <v>112</v>
      </c>
      <c r="H3951" s="15"/>
    </row>
    <row r="3952" customFormat="false" ht="15" hidden="false" customHeight="true" outlineLevel="0" collapsed="false">
      <c r="A3952" s="15" t="s">
        <v>443</v>
      </c>
      <c r="B3952" s="15" t="s">
        <v>446</v>
      </c>
      <c r="C3952" s="15" t="s">
        <v>935</v>
      </c>
      <c r="D3952" s="15" t="s">
        <v>936</v>
      </c>
      <c r="E3952" s="15"/>
      <c r="F3952" s="15" t="s">
        <v>1102</v>
      </c>
      <c r="G3952" s="15" t="s">
        <v>112</v>
      </c>
      <c r="H3952" s="15"/>
    </row>
    <row r="3953" customFormat="false" ht="15" hidden="false" customHeight="true" outlineLevel="0" collapsed="false">
      <c r="A3953" s="15" t="s">
        <v>443</v>
      </c>
      <c r="B3953" s="15" t="s">
        <v>446</v>
      </c>
      <c r="C3953" s="15" t="s">
        <v>722</v>
      </c>
      <c r="D3953" s="15" t="n">
        <v>316</v>
      </c>
      <c r="E3953" s="15" t="s">
        <v>723</v>
      </c>
      <c r="F3953" s="15" t="s">
        <v>1102</v>
      </c>
      <c r="G3953" s="15" t="s">
        <v>112</v>
      </c>
      <c r="H3953" s="15"/>
    </row>
    <row r="3954" customFormat="false" ht="15" hidden="false" customHeight="true" outlineLevel="0" collapsed="false">
      <c r="A3954" s="15" t="s">
        <v>443</v>
      </c>
      <c r="B3954" s="15" t="s">
        <v>446</v>
      </c>
      <c r="C3954" s="15" t="s">
        <v>726</v>
      </c>
      <c r="D3954" s="15" t="n">
        <v>3993</v>
      </c>
      <c r="E3954" s="15" t="s">
        <v>725</v>
      </c>
      <c r="F3954" s="15" t="s">
        <v>1102</v>
      </c>
      <c r="G3954" s="15" t="s">
        <v>112</v>
      </c>
      <c r="H3954" s="15"/>
    </row>
    <row r="3955" customFormat="false" ht="15" hidden="false" customHeight="true" outlineLevel="0" collapsed="false">
      <c r="A3955" s="15" t="s">
        <v>443</v>
      </c>
      <c r="B3955" s="15" t="s">
        <v>446</v>
      </c>
      <c r="C3955" s="15" t="s">
        <v>727</v>
      </c>
      <c r="D3955" s="15" t="n">
        <v>1677</v>
      </c>
      <c r="E3955" s="15" t="s">
        <v>725</v>
      </c>
      <c r="F3955" s="15" t="s">
        <v>1102</v>
      </c>
      <c r="G3955" s="15" t="s">
        <v>112</v>
      </c>
      <c r="H3955" s="15"/>
    </row>
    <row r="3956" customFormat="false" ht="15" hidden="false" customHeight="true" outlineLevel="0" collapsed="false">
      <c r="A3956" s="15" t="s">
        <v>443</v>
      </c>
      <c r="B3956" s="15" t="s">
        <v>446</v>
      </c>
      <c r="C3956" s="15" t="s">
        <v>728</v>
      </c>
      <c r="D3956" s="15" t="n">
        <v>1532</v>
      </c>
      <c r="E3956" s="15" t="s">
        <v>725</v>
      </c>
      <c r="F3956" s="15" t="s">
        <v>1102</v>
      </c>
      <c r="G3956" s="15" t="s">
        <v>112</v>
      </c>
      <c r="H3956" s="15"/>
    </row>
    <row r="3957" customFormat="false" ht="15" hidden="false" customHeight="true" outlineLevel="0" collapsed="false">
      <c r="A3957" s="15" t="s">
        <v>443</v>
      </c>
      <c r="B3957" s="15" t="s">
        <v>446</v>
      </c>
      <c r="C3957" s="15" t="s">
        <v>729</v>
      </c>
      <c r="D3957" s="15" t="n">
        <v>2450</v>
      </c>
      <c r="E3957" s="15" t="s">
        <v>725</v>
      </c>
      <c r="F3957" s="15" t="s">
        <v>1102</v>
      </c>
      <c r="G3957" s="15" t="s">
        <v>112</v>
      </c>
      <c r="H3957" s="15"/>
    </row>
    <row r="3958" customFormat="false" ht="15" hidden="false" customHeight="true" outlineLevel="0" collapsed="false">
      <c r="A3958" s="15" t="s">
        <v>443</v>
      </c>
      <c r="B3958" s="15" t="s">
        <v>446</v>
      </c>
      <c r="C3958" s="15" t="s">
        <v>776</v>
      </c>
      <c r="D3958" s="15" t="s">
        <v>1073</v>
      </c>
      <c r="E3958" s="15"/>
      <c r="F3958" s="15" t="s">
        <v>1102</v>
      </c>
      <c r="G3958" s="15" t="s">
        <v>112</v>
      </c>
      <c r="H3958" s="15"/>
    </row>
    <row r="3959" customFormat="false" ht="15" hidden="false" customHeight="true" outlineLevel="0" collapsed="false">
      <c r="A3959" s="15" t="s">
        <v>443</v>
      </c>
      <c r="B3959" s="15" t="s">
        <v>446</v>
      </c>
      <c r="C3959" s="15" t="s">
        <v>939</v>
      </c>
      <c r="D3959" s="15" t="n">
        <v>59</v>
      </c>
      <c r="E3959" s="15"/>
      <c r="F3959" s="15" t="s">
        <v>1102</v>
      </c>
      <c r="G3959" s="15" t="s">
        <v>112</v>
      </c>
      <c r="H3959" s="15"/>
    </row>
    <row r="3960" customFormat="false" ht="26.25" hidden="false" customHeight="true" outlineLevel="0" collapsed="false">
      <c r="A3960" s="15" t="s">
        <v>443</v>
      </c>
      <c r="B3960" s="15" t="s">
        <v>446</v>
      </c>
      <c r="C3960" s="15" t="s">
        <v>940</v>
      </c>
      <c r="D3960" s="15" t="s">
        <v>1103</v>
      </c>
      <c r="E3960" s="15"/>
      <c r="F3960" s="15" t="s">
        <v>1102</v>
      </c>
      <c r="G3960" s="15" t="s">
        <v>112</v>
      </c>
      <c r="H3960" s="15"/>
    </row>
    <row r="3961" customFormat="false" ht="15" hidden="false" customHeight="true" outlineLevel="0" collapsed="false">
      <c r="A3961" s="15" t="s">
        <v>443</v>
      </c>
      <c r="B3961" s="15" t="s">
        <v>446</v>
      </c>
      <c r="C3961" s="15" t="s">
        <v>86</v>
      </c>
      <c r="D3961" s="15" t="n">
        <v>2</v>
      </c>
      <c r="E3961" s="15" t="s">
        <v>721</v>
      </c>
      <c r="F3961" s="15" t="s">
        <v>1102</v>
      </c>
      <c r="G3961" s="15" t="s">
        <v>112</v>
      </c>
      <c r="H3961" s="15"/>
    </row>
    <row r="3962" customFormat="false" ht="15" hidden="false" customHeight="true" outlineLevel="0" collapsed="false">
      <c r="A3962" s="15" t="s">
        <v>443</v>
      </c>
      <c r="B3962" s="15" t="s">
        <v>446</v>
      </c>
      <c r="C3962" s="15" t="s">
        <v>749</v>
      </c>
      <c r="D3962" s="15" t="s">
        <v>120</v>
      </c>
      <c r="E3962" s="15"/>
      <c r="F3962" s="15" t="s">
        <v>1102</v>
      </c>
      <c r="G3962" s="15" t="s">
        <v>112</v>
      </c>
      <c r="H3962" s="15"/>
    </row>
    <row r="3963" customFormat="false" ht="15" hidden="false" customHeight="true" outlineLevel="0" collapsed="false">
      <c r="A3963" s="15" t="s">
        <v>443</v>
      </c>
      <c r="B3963" s="15" t="s">
        <v>446</v>
      </c>
      <c r="C3963" s="15" t="s">
        <v>98</v>
      </c>
      <c r="D3963" s="15" t="s">
        <v>836</v>
      </c>
      <c r="E3963" s="15"/>
      <c r="F3963" s="15" t="s">
        <v>1102</v>
      </c>
      <c r="G3963" s="15" t="s">
        <v>112</v>
      </c>
      <c r="H3963" s="15"/>
    </row>
    <row r="3964" customFormat="false" ht="15" hidden="false" customHeight="true" outlineLevel="0" collapsed="false">
      <c r="A3964" s="15" t="s">
        <v>443</v>
      </c>
      <c r="B3964" s="15" t="s">
        <v>446</v>
      </c>
      <c r="C3964" s="15" t="s">
        <v>835</v>
      </c>
      <c r="D3964" s="15" t="s">
        <v>836</v>
      </c>
      <c r="E3964" s="15"/>
      <c r="F3964" s="15" t="s">
        <v>1102</v>
      </c>
      <c r="G3964" s="15" t="s">
        <v>112</v>
      </c>
      <c r="H3964" s="15"/>
    </row>
    <row r="3965" customFormat="false" ht="15" hidden="false" customHeight="true" outlineLevel="0" collapsed="false">
      <c r="A3965" s="15" t="s">
        <v>443</v>
      </c>
      <c r="B3965" s="15" t="s">
        <v>446</v>
      </c>
      <c r="C3965" s="15" t="s">
        <v>833</v>
      </c>
      <c r="D3965" s="15" t="s">
        <v>938</v>
      </c>
      <c r="E3965" s="15"/>
      <c r="F3965" s="15" t="s">
        <v>1102</v>
      </c>
      <c r="G3965" s="15" t="s">
        <v>112</v>
      </c>
      <c r="H3965" s="15"/>
    </row>
    <row r="3966" customFormat="false" ht="26.25" hidden="false" customHeight="true" outlineLevel="0" collapsed="false">
      <c r="A3966" s="15" t="s">
        <v>443</v>
      </c>
      <c r="B3966" s="15" t="s">
        <v>446</v>
      </c>
      <c r="C3966" s="15" t="s">
        <v>887</v>
      </c>
      <c r="D3966" s="15" t="s">
        <v>1104</v>
      </c>
      <c r="E3966" s="15"/>
      <c r="F3966" s="15" t="s">
        <v>1105</v>
      </c>
      <c r="G3966" s="15" t="s">
        <v>112</v>
      </c>
      <c r="H3966" s="15" t="s">
        <v>1106</v>
      </c>
    </row>
    <row r="3967" customFormat="false" ht="15" hidden="false" customHeight="true" outlineLevel="0" collapsed="false">
      <c r="A3967" s="15" t="s">
        <v>449</v>
      </c>
      <c r="B3967" s="15" t="s">
        <v>450</v>
      </c>
      <c r="C3967" s="15" t="s">
        <v>769</v>
      </c>
      <c r="D3967" s="15" t="n">
        <v>5</v>
      </c>
      <c r="E3967" s="15" t="s">
        <v>721</v>
      </c>
      <c r="F3967" s="15" t="s">
        <v>1102</v>
      </c>
      <c r="G3967" s="15" t="s">
        <v>112</v>
      </c>
      <c r="H3967" s="15"/>
    </row>
    <row r="3968" customFormat="false" ht="15" hidden="false" customHeight="true" outlineLevel="0" collapsed="false">
      <c r="A3968" s="15" t="s">
        <v>449</v>
      </c>
      <c r="B3968" s="15" t="s">
        <v>450</v>
      </c>
      <c r="C3968" s="15" t="s">
        <v>737</v>
      </c>
      <c r="D3968" s="15" t="n">
        <v>55</v>
      </c>
      <c r="E3968" s="15" t="s">
        <v>738</v>
      </c>
      <c r="F3968" s="15" t="s">
        <v>1102</v>
      </c>
      <c r="G3968" s="15" t="s">
        <v>112</v>
      </c>
      <c r="H3968" s="15"/>
    </row>
    <row r="3969" customFormat="false" ht="15" hidden="false" customHeight="true" outlineLevel="0" collapsed="false">
      <c r="A3969" s="15" t="s">
        <v>449</v>
      </c>
      <c r="B3969" s="15" t="s">
        <v>450</v>
      </c>
      <c r="C3969" s="15" t="s">
        <v>714</v>
      </c>
      <c r="D3969" s="15" t="n">
        <v>170</v>
      </c>
      <c r="E3969" s="15" t="s">
        <v>715</v>
      </c>
      <c r="F3969" s="15" t="s">
        <v>1102</v>
      </c>
      <c r="G3969" s="15" t="s">
        <v>112</v>
      </c>
      <c r="H3969" s="15"/>
    </row>
    <row r="3970" customFormat="false" ht="15" hidden="false" customHeight="true" outlineLevel="0" collapsed="false">
      <c r="A3970" s="15" t="s">
        <v>449</v>
      </c>
      <c r="B3970" s="15" t="s">
        <v>450</v>
      </c>
      <c r="C3970" s="15" t="s">
        <v>718</v>
      </c>
      <c r="D3970" s="15" t="s">
        <v>302</v>
      </c>
      <c r="E3970" s="15"/>
      <c r="F3970" s="15" t="s">
        <v>1102</v>
      </c>
      <c r="G3970" s="15" t="s">
        <v>112</v>
      </c>
      <c r="H3970" s="15"/>
    </row>
    <row r="3971" customFormat="false" ht="15" hidden="false" customHeight="true" outlineLevel="0" collapsed="false">
      <c r="A3971" s="15" t="s">
        <v>449</v>
      </c>
      <c r="B3971" s="15" t="s">
        <v>450</v>
      </c>
      <c r="C3971" s="15" t="s">
        <v>935</v>
      </c>
      <c r="D3971" s="15" t="s">
        <v>936</v>
      </c>
      <c r="E3971" s="15"/>
      <c r="F3971" s="15" t="s">
        <v>1102</v>
      </c>
      <c r="G3971" s="15" t="s">
        <v>112</v>
      </c>
      <c r="H3971" s="15"/>
    </row>
    <row r="3972" customFormat="false" ht="15" hidden="false" customHeight="true" outlineLevel="0" collapsed="false">
      <c r="A3972" s="15" t="s">
        <v>449</v>
      </c>
      <c r="B3972" s="15" t="s">
        <v>450</v>
      </c>
      <c r="C3972" s="15" t="s">
        <v>722</v>
      </c>
      <c r="D3972" s="15" t="n">
        <v>316</v>
      </c>
      <c r="E3972" s="15" t="s">
        <v>723</v>
      </c>
      <c r="F3972" s="15" t="s">
        <v>1102</v>
      </c>
      <c r="G3972" s="15" t="s">
        <v>112</v>
      </c>
      <c r="H3972" s="15"/>
    </row>
    <row r="3973" customFormat="false" ht="15" hidden="false" customHeight="true" outlineLevel="0" collapsed="false">
      <c r="A3973" s="15" t="s">
        <v>449</v>
      </c>
      <c r="B3973" s="15" t="s">
        <v>450</v>
      </c>
      <c r="C3973" s="15" t="s">
        <v>726</v>
      </c>
      <c r="D3973" s="15" t="n">
        <v>3993</v>
      </c>
      <c r="E3973" s="15" t="s">
        <v>725</v>
      </c>
      <c r="F3973" s="15" t="s">
        <v>1102</v>
      </c>
      <c r="G3973" s="15" t="s">
        <v>112</v>
      </c>
      <c r="H3973" s="15"/>
    </row>
    <row r="3974" customFormat="false" ht="15" hidden="false" customHeight="true" outlineLevel="0" collapsed="false">
      <c r="A3974" s="15" t="s">
        <v>449</v>
      </c>
      <c r="B3974" s="15" t="s">
        <v>450</v>
      </c>
      <c r="C3974" s="15" t="s">
        <v>727</v>
      </c>
      <c r="D3974" s="15" t="n">
        <v>1677</v>
      </c>
      <c r="E3974" s="15" t="s">
        <v>725</v>
      </c>
      <c r="F3974" s="15" t="s">
        <v>1102</v>
      </c>
      <c r="G3974" s="15" t="s">
        <v>112</v>
      </c>
      <c r="H3974" s="15"/>
    </row>
    <row r="3975" customFormat="false" ht="15" hidden="false" customHeight="true" outlineLevel="0" collapsed="false">
      <c r="A3975" s="15" t="s">
        <v>449</v>
      </c>
      <c r="B3975" s="15" t="s">
        <v>450</v>
      </c>
      <c r="C3975" s="15" t="s">
        <v>728</v>
      </c>
      <c r="D3975" s="15" t="n">
        <v>1532</v>
      </c>
      <c r="E3975" s="15" t="s">
        <v>725</v>
      </c>
      <c r="F3975" s="15" t="s">
        <v>1102</v>
      </c>
      <c r="G3975" s="15" t="s">
        <v>112</v>
      </c>
      <c r="H3975" s="15"/>
    </row>
    <row r="3976" customFormat="false" ht="15" hidden="false" customHeight="true" outlineLevel="0" collapsed="false">
      <c r="A3976" s="15" t="s">
        <v>449</v>
      </c>
      <c r="B3976" s="15" t="s">
        <v>450</v>
      </c>
      <c r="C3976" s="15" t="s">
        <v>729</v>
      </c>
      <c r="D3976" s="15" t="n">
        <v>2450</v>
      </c>
      <c r="E3976" s="15" t="s">
        <v>725</v>
      </c>
      <c r="F3976" s="15" t="s">
        <v>1102</v>
      </c>
      <c r="G3976" s="15" t="s">
        <v>112</v>
      </c>
      <c r="H3976" s="15"/>
    </row>
    <row r="3977" customFormat="false" ht="15" hidden="false" customHeight="true" outlineLevel="0" collapsed="false">
      <c r="A3977" s="15" t="s">
        <v>449</v>
      </c>
      <c r="B3977" s="15" t="s">
        <v>450</v>
      </c>
      <c r="C3977" s="15" t="s">
        <v>776</v>
      </c>
      <c r="D3977" s="15" t="s">
        <v>1073</v>
      </c>
      <c r="E3977" s="15"/>
      <c r="F3977" s="15" t="s">
        <v>1102</v>
      </c>
      <c r="G3977" s="15" t="s">
        <v>112</v>
      </c>
      <c r="H3977" s="15"/>
    </row>
    <row r="3978" customFormat="false" ht="15" hidden="false" customHeight="true" outlineLevel="0" collapsed="false">
      <c r="A3978" s="15" t="s">
        <v>449</v>
      </c>
      <c r="B3978" s="15" t="s">
        <v>450</v>
      </c>
      <c r="C3978" s="15" t="s">
        <v>939</v>
      </c>
      <c r="D3978" s="15" t="n">
        <v>59</v>
      </c>
      <c r="E3978" s="15"/>
      <c r="F3978" s="15" t="s">
        <v>1102</v>
      </c>
      <c r="G3978" s="15" t="s">
        <v>112</v>
      </c>
      <c r="H3978" s="15"/>
    </row>
    <row r="3979" customFormat="false" ht="26.25" hidden="false" customHeight="true" outlineLevel="0" collapsed="false">
      <c r="A3979" s="15" t="s">
        <v>449</v>
      </c>
      <c r="B3979" s="15" t="s">
        <v>450</v>
      </c>
      <c r="C3979" s="15" t="s">
        <v>940</v>
      </c>
      <c r="D3979" s="15" t="s">
        <v>1103</v>
      </c>
      <c r="E3979" s="15"/>
      <c r="F3979" s="15" t="s">
        <v>1102</v>
      </c>
      <c r="G3979" s="15" t="s">
        <v>112</v>
      </c>
      <c r="H3979" s="15"/>
    </row>
    <row r="3980" customFormat="false" ht="15" hidden="false" customHeight="true" outlineLevel="0" collapsed="false">
      <c r="A3980" s="15" t="s">
        <v>449</v>
      </c>
      <c r="B3980" s="15" t="s">
        <v>450</v>
      </c>
      <c r="C3980" s="15" t="s">
        <v>86</v>
      </c>
      <c r="D3980" s="15" t="n">
        <v>2</v>
      </c>
      <c r="E3980" s="15" t="s">
        <v>721</v>
      </c>
      <c r="F3980" s="15" t="s">
        <v>1102</v>
      </c>
      <c r="G3980" s="15" t="s">
        <v>112</v>
      </c>
      <c r="H3980" s="15"/>
    </row>
    <row r="3981" customFormat="false" ht="15" hidden="false" customHeight="true" outlineLevel="0" collapsed="false">
      <c r="A3981" s="15" t="s">
        <v>449</v>
      </c>
      <c r="B3981" s="15" t="s">
        <v>450</v>
      </c>
      <c r="C3981" s="15" t="s">
        <v>749</v>
      </c>
      <c r="D3981" s="15" t="s">
        <v>120</v>
      </c>
      <c r="E3981" s="15"/>
      <c r="F3981" s="15" t="s">
        <v>1102</v>
      </c>
      <c r="G3981" s="15" t="s">
        <v>112</v>
      </c>
      <c r="H3981" s="15"/>
    </row>
    <row r="3982" customFormat="false" ht="15" hidden="false" customHeight="true" outlineLevel="0" collapsed="false">
      <c r="A3982" s="15" t="s">
        <v>449</v>
      </c>
      <c r="B3982" s="15" t="s">
        <v>450</v>
      </c>
      <c r="C3982" s="15" t="s">
        <v>98</v>
      </c>
      <c r="D3982" s="15" t="s">
        <v>836</v>
      </c>
      <c r="E3982" s="15"/>
      <c r="F3982" s="15" t="s">
        <v>1102</v>
      </c>
      <c r="G3982" s="15" t="s">
        <v>112</v>
      </c>
      <c r="H3982" s="15"/>
    </row>
    <row r="3983" customFormat="false" ht="15" hidden="false" customHeight="true" outlineLevel="0" collapsed="false">
      <c r="A3983" s="15" t="s">
        <v>449</v>
      </c>
      <c r="B3983" s="15" t="s">
        <v>450</v>
      </c>
      <c r="C3983" s="15" t="s">
        <v>835</v>
      </c>
      <c r="D3983" s="15" t="s">
        <v>836</v>
      </c>
      <c r="E3983" s="15"/>
      <c r="F3983" s="15" t="s">
        <v>1102</v>
      </c>
      <c r="G3983" s="15" t="s">
        <v>112</v>
      </c>
      <c r="H3983" s="15"/>
    </row>
    <row r="3984" customFormat="false" ht="15" hidden="false" customHeight="true" outlineLevel="0" collapsed="false">
      <c r="A3984" s="15" t="s">
        <v>449</v>
      </c>
      <c r="B3984" s="15" t="s">
        <v>450</v>
      </c>
      <c r="C3984" s="15" t="s">
        <v>833</v>
      </c>
      <c r="D3984" s="15" t="s">
        <v>938</v>
      </c>
      <c r="E3984" s="15"/>
      <c r="F3984" s="15" t="s">
        <v>1102</v>
      </c>
      <c r="G3984" s="15" t="s">
        <v>112</v>
      </c>
      <c r="H3984" s="15"/>
    </row>
    <row r="3985" customFormat="false" ht="26.25" hidden="false" customHeight="true" outlineLevel="0" collapsed="false">
      <c r="A3985" s="15" t="s">
        <v>449</v>
      </c>
      <c r="B3985" s="15" t="s">
        <v>450</v>
      </c>
      <c r="C3985" s="15" t="s">
        <v>887</v>
      </c>
      <c r="D3985" s="15" t="s">
        <v>1104</v>
      </c>
      <c r="E3985" s="15"/>
      <c r="F3985" s="15" t="s">
        <v>1105</v>
      </c>
      <c r="G3985" s="15" t="s">
        <v>112</v>
      </c>
      <c r="H3985" s="15" t="s">
        <v>1106</v>
      </c>
    </row>
    <row r="3986" customFormat="false" ht="15" hidden="false" customHeight="true" outlineLevel="0" collapsed="false">
      <c r="A3986" s="15" t="s">
        <v>452</v>
      </c>
      <c r="B3986" s="15" t="s">
        <v>453</v>
      </c>
      <c r="C3986" s="15" t="s">
        <v>769</v>
      </c>
      <c r="D3986" s="15" t="n">
        <v>5</v>
      </c>
      <c r="E3986" s="15" t="s">
        <v>721</v>
      </c>
      <c r="F3986" s="15" t="s">
        <v>1102</v>
      </c>
      <c r="G3986" s="15" t="s">
        <v>112</v>
      </c>
      <c r="H3986" s="15"/>
    </row>
    <row r="3987" customFormat="false" ht="15" hidden="false" customHeight="true" outlineLevel="0" collapsed="false">
      <c r="A3987" s="15" t="s">
        <v>452</v>
      </c>
      <c r="B3987" s="15" t="s">
        <v>453</v>
      </c>
      <c r="C3987" s="15" t="s">
        <v>737</v>
      </c>
      <c r="D3987" s="15" t="n">
        <v>55</v>
      </c>
      <c r="E3987" s="15" t="s">
        <v>738</v>
      </c>
      <c r="F3987" s="15" t="s">
        <v>1102</v>
      </c>
      <c r="G3987" s="15" t="s">
        <v>112</v>
      </c>
      <c r="H3987" s="15"/>
    </row>
    <row r="3988" customFormat="false" ht="15" hidden="false" customHeight="true" outlineLevel="0" collapsed="false">
      <c r="A3988" s="15" t="s">
        <v>452</v>
      </c>
      <c r="B3988" s="15" t="s">
        <v>453</v>
      </c>
      <c r="C3988" s="15" t="s">
        <v>714</v>
      </c>
      <c r="D3988" s="15" t="n">
        <v>170</v>
      </c>
      <c r="E3988" s="15" t="s">
        <v>715</v>
      </c>
      <c r="F3988" s="15" t="s">
        <v>1102</v>
      </c>
      <c r="G3988" s="15" t="s">
        <v>112</v>
      </c>
      <c r="H3988" s="15"/>
    </row>
    <row r="3989" customFormat="false" ht="15" hidden="false" customHeight="true" outlineLevel="0" collapsed="false">
      <c r="A3989" s="15" t="s">
        <v>452</v>
      </c>
      <c r="B3989" s="15" t="s">
        <v>453</v>
      </c>
      <c r="C3989" s="15" t="s">
        <v>718</v>
      </c>
      <c r="D3989" s="15" t="s">
        <v>302</v>
      </c>
      <c r="E3989" s="15"/>
      <c r="F3989" s="15" t="s">
        <v>1102</v>
      </c>
      <c r="G3989" s="15" t="s">
        <v>112</v>
      </c>
      <c r="H3989" s="15"/>
    </row>
    <row r="3990" customFormat="false" ht="15" hidden="false" customHeight="true" outlineLevel="0" collapsed="false">
      <c r="A3990" s="15" t="s">
        <v>452</v>
      </c>
      <c r="B3990" s="15" t="s">
        <v>453</v>
      </c>
      <c r="C3990" s="15" t="s">
        <v>935</v>
      </c>
      <c r="D3990" s="15" t="s">
        <v>936</v>
      </c>
      <c r="E3990" s="15"/>
      <c r="F3990" s="15" t="s">
        <v>1102</v>
      </c>
      <c r="G3990" s="15" t="s">
        <v>112</v>
      </c>
      <c r="H3990" s="15"/>
    </row>
    <row r="3991" customFormat="false" ht="15" hidden="false" customHeight="true" outlineLevel="0" collapsed="false">
      <c r="A3991" s="15" t="s">
        <v>452</v>
      </c>
      <c r="B3991" s="15" t="s">
        <v>453</v>
      </c>
      <c r="C3991" s="15" t="s">
        <v>722</v>
      </c>
      <c r="D3991" s="15" t="n">
        <v>316</v>
      </c>
      <c r="E3991" s="15" t="s">
        <v>723</v>
      </c>
      <c r="F3991" s="15" t="s">
        <v>1102</v>
      </c>
      <c r="G3991" s="15" t="s">
        <v>112</v>
      </c>
      <c r="H3991" s="15"/>
    </row>
    <row r="3992" customFormat="false" ht="15" hidden="false" customHeight="true" outlineLevel="0" collapsed="false">
      <c r="A3992" s="15" t="s">
        <v>452</v>
      </c>
      <c r="B3992" s="15" t="s">
        <v>453</v>
      </c>
      <c r="C3992" s="15" t="s">
        <v>726</v>
      </c>
      <c r="D3992" s="15" t="n">
        <v>3993</v>
      </c>
      <c r="E3992" s="15" t="s">
        <v>725</v>
      </c>
      <c r="F3992" s="15" t="s">
        <v>1102</v>
      </c>
      <c r="G3992" s="15" t="s">
        <v>112</v>
      </c>
      <c r="H3992" s="15"/>
    </row>
    <row r="3993" customFormat="false" ht="15" hidden="false" customHeight="true" outlineLevel="0" collapsed="false">
      <c r="A3993" s="15" t="s">
        <v>452</v>
      </c>
      <c r="B3993" s="15" t="s">
        <v>453</v>
      </c>
      <c r="C3993" s="15" t="s">
        <v>727</v>
      </c>
      <c r="D3993" s="15" t="n">
        <v>1677</v>
      </c>
      <c r="E3993" s="15" t="s">
        <v>725</v>
      </c>
      <c r="F3993" s="15" t="s">
        <v>1102</v>
      </c>
      <c r="G3993" s="15" t="s">
        <v>112</v>
      </c>
      <c r="H3993" s="15"/>
    </row>
    <row r="3994" customFormat="false" ht="15" hidden="false" customHeight="true" outlineLevel="0" collapsed="false">
      <c r="A3994" s="15" t="s">
        <v>452</v>
      </c>
      <c r="B3994" s="15" t="s">
        <v>453</v>
      </c>
      <c r="C3994" s="15" t="s">
        <v>728</v>
      </c>
      <c r="D3994" s="15" t="n">
        <v>1532</v>
      </c>
      <c r="E3994" s="15" t="s">
        <v>725</v>
      </c>
      <c r="F3994" s="15" t="s">
        <v>1102</v>
      </c>
      <c r="G3994" s="15" t="s">
        <v>112</v>
      </c>
      <c r="H3994" s="15"/>
    </row>
    <row r="3995" customFormat="false" ht="15" hidden="false" customHeight="true" outlineLevel="0" collapsed="false">
      <c r="A3995" s="15" t="s">
        <v>452</v>
      </c>
      <c r="B3995" s="15" t="s">
        <v>453</v>
      </c>
      <c r="C3995" s="15" t="s">
        <v>729</v>
      </c>
      <c r="D3995" s="15" t="n">
        <v>2450</v>
      </c>
      <c r="E3995" s="15" t="s">
        <v>725</v>
      </c>
      <c r="F3995" s="15" t="s">
        <v>1102</v>
      </c>
      <c r="G3995" s="15" t="s">
        <v>112</v>
      </c>
      <c r="H3995" s="15"/>
    </row>
    <row r="3996" customFormat="false" ht="15" hidden="false" customHeight="true" outlineLevel="0" collapsed="false">
      <c r="A3996" s="15" t="s">
        <v>452</v>
      </c>
      <c r="B3996" s="15" t="s">
        <v>453</v>
      </c>
      <c r="C3996" s="15" t="s">
        <v>776</v>
      </c>
      <c r="D3996" s="15" t="s">
        <v>1073</v>
      </c>
      <c r="E3996" s="15"/>
      <c r="F3996" s="15" t="s">
        <v>1102</v>
      </c>
      <c r="G3996" s="15" t="s">
        <v>112</v>
      </c>
      <c r="H3996" s="15"/>
    </row>
    <row r="3997" customFormat="false" ht="15" hidden="false" customHeight="true" outlineLevel="0" collapsed="false">
      <c r="A3997" s="15" t="s">
        <v>452</v>
      </c>
      <c r="B3997" s="15" t="s">
        <v>453</v>
      </c>
      <c r="C3997" s="15" t="s">
        <v>939</v>
      </c>
      <c r="D3997" s="15" t="n">
        <v>59</v>
      </c>
      <c r="E3997" s="15"/>
      <c r="F3997" s="15" t="s">
        <v>1102</v>
      </c>
      <c r="G3997" s="15" t="s">
        <v>112</v>
      </c>
      <c r="H3997" s="15"/>
    </row>
    <row r="3998" customFormat="false" ht="26.25" hidden="false" customHeight="true" outlineLevel="0" collapsed="false">
      <c r="A3998" s="15" t="s">
        <v>452</v>
      </c>
      <c r="B3998" s="15" t="s">
        <v>453</v>
      </c>
      <c r="C3998" s="15" t="s">
        <v>940</v>
      </c>
      <c r="D3998" s="15" t="s">
        <v>1103</v>
      </c>
      <c r="E3998" s="15"/>
      <c r="F3998" s="15" t="s">
        <v>1102</v>
      </c>
      <c r="G3998" s="15" t="s">
        <v>112</v>
      </c>
      <c r="H3998" s="15"/>
    </row>
    <row r="3999" customFormat="false" ht="15" hidden="false" customHeight="true" outlineLevel="0" collapsed="false">
      <c r="A3999" s="15" t="s">
        <v>452</v>
      </c>
      <c r="B3999" s="15" t="s">
        <v>453</v>
      </c>
      <c r="C3999" s="15" t="s">
        <v>86</v>
      </c>
      <c r="D3999" s="15" t="n">
        <v>2</v>
      </c>
      <c r="E3999" s="15" t="s">
        <v>721</v>
      </c>
      <c r="F3999" s="15" t="s">
        <v>1102</v>
      </c>
      <c r="G3999" s="15" t="s">
        <v>112</v>
      </c>
      <c r="H3999" s="15"/>
    </row>
    <row r="4000" customFormat="false" ht="15" hidden="false" customHeight="true" outlineLevel="0" collapsed="false">
      <c r="A4000" s="15" t="s">
        <v>452</v>
      </c>
      <c r="B4000" s="15" t="s">
        <v>453</v>
      </c>
      <c r="C4000" s="15" t="s">
        <v>749</v>
      </c>
      <c r="D4000" s="15" t="s">
        <v>120</v>
      </c>
      <c r="E4000" s="15"/>
      <c r="F4000" s="15" t="s">
        <v>1102</v>
      </c>
      <c r="G4000" s="15" t="s">
        <v>112</v>
      </c>
      <c r="H4000" s="15"/>
    </row>
    <row r="4001" customFormat="false" ht="15" hidden="false" customHeight="true" outlineLevel="0" collapsed="false">
      <c r="A4001" s="15" t="s">
        <v>452</v>
      </c>
      <c r="B4001" s="15" t="s">
        <v>453</v>
      </c>
      <c r="C4001" s="15" t="s">
        <v>98</v>
      </c>
      <c r="D4001" s="15" t="s">
        <v>836</v>
      </c>
      <c r="E4001" s="15"/>
      <c r="F4001" s="15" t="s">
        <v>1102</v>
      </c>
      <c r="G4001" s="15" t="s">
        <v>112</v>
      </c>
      <c r="H4001" s="15"/>
    </row>
    <row r="4002" customFormat="false" ht="15" hidden="false" customHeight="true" outlineLevel="0" collapsed="false">
      <c r="A4002" s="15" t="s">
        <v>452</v>
      </c>
      <c r="B4002" s="15" t="s">
        <v>453</v>
      </c>
      <c r="C4002" s="15" t="s">
        <v>835</v>
      </c>
      <c r="D4002" s="15" t="s">
        <v>836</v>
      </c>
      <c r="E4002" s="15"/>
      <c r="F4002" s="15" t="s">
        <v>1102</v>
      </c>
      <c r="G4002" s="15" t="s">
        <v>112</v>
      </c>
      <c r="H4002" s="15"/>
    </row>
    <row r="4003" customFormat="false" ht="15" hidden="false" customHeight="true" outlineLevel="0" collapsed="false">
      <c r="A4003" s="15" t="s">
        <v>452</v>
      </c>
      <c r="B4003" s="15" t="s">
        <v>453</v>
      </c>
      <c r="C4003" s="15" t="s">
        <v>833</v>
      </c>
      <c r="D4003" s="15" t="s">
        <v>938</v>
      </c>
      <c r="E4003" s="15"/>
      <c r="F4003" s="15" t="s">
        <v>1102</v>
      </c>
      <c r="G4003" s="15" t="s">
        <v>112</v>
      </c>
      <c r="H4003" s="15"/>
    </row>
    <row r="4004" customFormat="false" ht="26.25" hidden="false" customHeight="true" outlineLevel="0" collapsed="false">
      <c r="A4004" s="15" t="s">
        <v>452</v>
      </c>
      <c r="B4004" s="15" t="s">
        <v>453</v>
      </c>
      <c r="C4004" s="15" t="s">
        <v>887</v>
      </c>
      <c r="D4004" s="15" t="s">
        <v>1104</v>
      </c>
      <c r="E4004" s="15"/>
      <c r="F4004" s="15" t="s">
        <v>1105</v>
      </c>
      <c r="G4004" s="15" t="s">
        <v>112</v>
      </c>
      <c r="H4004" s="15" t="s">
        <v>1106</v>
      </c>
    </row>
    <row r="4005" customFormat="false" ht="15" hidden="false" customHeight="true" outlineLevel="0" collapsed="false">
      <c r="A4005" s="15" t="s">
        <v>455</v>
      </c>
      <c r="B4005" s="15" t="s">
        <v>456</v>
      </c>
      <c r="C4005" s="15" t="s">
        <v>769</v>
      </c>
      <c r="D4005" s="15" t="n">
        <v>5</v>
      </c>
      <c r="E4005" s="15" t="s">
        <v>721</v>
      </c>
      <c r="F4005" s="15" t="s">
        <v>1102</v>
      </c>
      <c r="G4005" s="15" t="s">
        <v>112</v>
      </c>
      <c r="H4005" s="15"/>
    </row>
    <row r="4006" customFormat="false" ht="15" hidden="false" customHeight="true" outlineLevel="0" collapsed="false">
      <c r="A4006" s="15" t="s">
        <v>455</v>
      </c>
      <c r="B4006" s="15" t="s">
        <v>456</v>
      </c>
      <c r="C4006" s="15" t="s">
        <v>737</v>
      </c>
      <c r="D4006" s="15" t="n">
        <v>55</v>
      </c>
      <c r="E4006" s="15" t="s">
        <v>738</v>
      </c>
      <c r="F4006" s="15" t="s">
        <v>1102</v>
      </c>
      <c r="G4006" s="15" t="s">
        <v>112</v>
      </c>
      <c r="H4006" s="15"/>
    </row>
    <row r="4007" customFormat="false" ht="15" hidden="false" customHeight="true" outlineLevel="0" collapsed="false">
      <c r="A4007" s="15" t="s">
        <v>455</v>
      </c>
      <c r="B4007" s="15" t="s">
        <v>456</v>
      </c>
      <c r="C4007" s="15" t="s">
        <v>714</v>
      </c>
      <c r="D4007" s="15" t="n">
        <v>170</v>
      </c>
      <c r="E4007" s="15" t="s">
        <v>715</v>
      </c>
      <c r="F4007" s="15" t="s">
        <v>1102</v>
      </c>
      <c r="G4007" s="15" t="s">
        <v>112</v>
      </c>
      <c r="H4007" s="15"/>
    </row>
    <row r="4008" customFormat="false" ht="15" hidden="false" customHeight="true" outlineLevel="0" collapsed="false">
      <c r="A4008" s="15" t="s">
        <v>455</v>
      </c>
      <c r="B4008" s="15" t="s">
        <v>456</v>
      </c>
      <c r="C4008" s="15" t="s">
        <v>718</v>
      </c>
      <c r="D4008" s="15" t="s">
        <v>302</v>
      </c>
      <c r="E4008" s="15"/>
      <c r="F4008" s="15" t="s">
        <v>1102</v>
      </c>
      <c r="G4008" s="15" t="s">
        <v>112</v>
      </c>
      <c r="H4008" s="15"/>
    </row>
    <row r="4009" customFormat="false" ht="15" hidden="false" customHeight="true" outlineLevel="0" collapsed="false">
      <c r="A4009" s="15" t="s">
        <v>455</v>
      </c>
      <c r="B4009" s="15" t="s">
        <v>456</v>
      </c>
      <c r="C4009" s="15" t="s">
        <v>935</v>
      </c>
      <c r="D4009" s="15" t="s">
        <v>936</v>
      </c>
      <c r="E4009" s="15"/>
      <c r="F4009" s="15" t="s">
        <v>1102</v>
      </c>
      <c r="G4009" s="15" t="s">
        <v>112</v>
      </c>
      <c r="H4009" s="15"/>
    </row>
    <row r="4010" customFormat="false" ht="15" hidden="false" customHeight="true" outlineLevel="0" collapsed="false">
      <c r="A4010" s="15" t="s">
        <v>455</v>
      </c>
      <c r="B4010" s="15" t="s">
        <v>456</v>
      </c>
      <c r="C4010" s="15" t="s">
        <v>722</v>
      </c>
      <c r="D4010" s="15" t="n">
        <v>316</v>
      </c>
      <c r="E4010" s="15" t="s">
        <v>723</v>
      </c>
      <c r="F4010" s="15" t="s">
        <v>1102</v>
      </c>
      <c r="G4010" s="15" t="s">
        <v>112</v>
      </c>
      <c r="H4010" s="15"/>
    </row>
    <row r="4011" customFormat="false" ht="15" hidden="false" customHeight="true" outlineLevel="0" collapsed="false">
      <c r="A4011" s="15" t="s">
        <v>455</v>
      </c>
      <c r="B4011" s="15" t="s">
        <v>456</v>
      </c>
      <c r="C4011" s="15" t="s">
        <v>726</v>
      </c>
      <c r="D4011" s="15" t="n">
        <v>3993</v>
      </c>
      <c r="E4011" s="15" t="s">
        <v>725</v>
      </c>
      <c r="F4011" s="15" t="s">
        <v>1102</v>
      </c>
      <c r="G4011" s="15" t="s">
        <v>112</v>
      </c>
      <c r="H4011" s="15"/>
    </row>
    <row r="4012" customFormat="false" ht="15" hidden="false" customHeight="true" outlineLevel="0" collapsed="false">
      <c r="A4012" s="15" t="s">
        <v>455</v>
      </c>
      <c r="B4012" s="15" t="s">
        <v>456</v>
      </c>
      <c r="C4012" s="15" t="s">
        <v>727</v>
      </c>
      <c r="D4012" s="15" t="n">
        <v>1677</v>
      </c>
      <c r="E4012" s="15" t="s">
        <v>725</v>
      </c>
      <c r="F4012" s="15" t="s">
        <v>1102</v>
      </c>
      <c r="G4012" s="15" t="s">
        <v>112</v>
      </c>
      <c r="H4012" s="15"/>
    </row>
    <row r="4013" customFormat="false" ht="15" hidden="false" customHeight="true" outlineLevel="0" collapsed="false">
      <c r="A4013" s="15" t="s">
        <v>455</v>
      </c>
      <c r="B4013" s="15" t="s">
        <v>456</v>
      </c>
      <c r="C4013" s="15" t="s">
        <v>728</v>
      </c>
      <c r="D4013" s="15" t="n">
        <v>1532</v>
      </c>
      <c r="E4013" s="15" t="s">
        <v>725</v>
      </c>
      <c r="F4013" s="15" t="s">
        <v>1102</v>
      </c>
      <c r="G4013" s="15" t="s">
        <v>112</v>
      </c>
      <c r="H4013" s="15"/>
    </row>
    <row r="4014" customFormat="false" ht="15" hidden="false" customHeight="true" outlineLevel="0" collapsed="false">
      <c r="A4014" s="15" t="s">
        <v>455</v>
      </c>
      <c r="B4014" s="15" t="s">
        <v>456</v>
      </c>
      <c r="C4014" s="15" t="s">
        <v>729</v>
      </c>
      <c r="D4014" s="15" t="n">
        <v>2450</v>
      </c>
      <c r="E4014" s="15" t="s">
        <v>725</v>
      </c>
      <c r="F4014" s="15" t="s">
        <v>1102</v>
      </c>
      <c r="G4014" s="15" t="s">
        <v>112</v>
      </c>
      <c r="H4014" s="15"/>
    </row>
    <row r="4015" customFormat="false" ht="15" hidden="false" customHeight="true" outlineLevel="0" collapsed="false">
      <c r="A4015" s="15" t="s">
        <v>455</v>
      </c>
      <c r="B4015" s="15" t="s">
        <v>456</v>
      </c>
      <c r="C4015" s="15" t="s">
        <v>776</v>
      </c>
      <c r="D4015" s="15" t="s">
        <v>1073</v>
      </c>
      <c r="E4015" s="15"/>
      <c r="F4015" s="15" t="s">
        <v>1102</v>
      </c>
      <c r="G4015" s="15" t="s">
        <v>112</v>
      </c>
      <c r="H4015" s="15"/>
    </row>
    <row r="4016" customFormat="false" ht="15" hidden="false" customHeight="true" outlineLevel="0" collapsed="false">
      <c r="A4016" s="15" t="s">
        <v>455</v>
      </c>
      <c r="B4016" s="15" t="s">
        <v>456</v>
      </c>
      <c r="C4016" s="15" t="s">
        <v>939</v>
      </c>
      <c r="D4016" s="15" t="n">
        <v>59</v>
      </c>
      <c r="E4016" s="15"/>
      <c r="F4016" s="15" t="s">
        <v>1102</v>
      </c>
      <c r="G4016" s="15" t="s">
        <v>112</v>
      </c>
      <c r="H4016" s="15"/>
    </row>
    <row r="4017" customFormat="false" ht="26.25" hidden="false" customHeight="true" outlineLevel="0" collapsed="false">
      <c r="A4017" s="15" t="s">
        <v>455</v>
      </c>
      <c r="B4017" s="15" t="s">
        <v>456</v>
      </c>
      <c r="C4017" s="15" t="s">
        <v>940</v>
      </c>
      <c r="D4017" s="15" t="s">
        <v>1103</v>
      </c>
      <c r="E4017" s="15"/>
      <c r="F4017" s="15" t="s">
        <v>1102</v>
      </c>
      <c r="G4017" s="15" t="s">
        <v>112</v>
      </c>
      <c r="H4017" s="15"/>
    </row>
    <row r="4018" customFormat="false" ht="15" hidden="false" customHeight="true" outlineLevel="0" collapsed="false">
      <c r="A4018" s="15" t="s">
        <v>455</v>
      </c>
      <c r="B4018" s="15" t="s">
        <v>456</v>
      </c>
      <c r="C4018" s="15" t="s">
        <v>86</v>
      </c>
      <c r="D4018" s="15" t="n">
        <v>2</v>
      </c>
      <c r="E4018" s="15" t="s">
        <v>721</v>
      </c>
      <c r="F4018" s="15" t="s">
        <v>1102</v>
      </c>
      <c r="G4018" s="15" t="s">
        <v>112</v>
      </c>
      <c r="H4018" s="15"/>
    </row>
    <row r="4019" customFormat="false" ht="15" hidden="false" customHeight="true" outlineLevel="0" collapsed="false">
      <c r="A4019" s="15" t="s">
        <v>455</v>
      </c>
      <c r="B4019" s="15" t="s">
        <v>456</v>
      </c>
      <c r="C4019" s="15" t="s">
        <v>749</v>
      </c>
      <c r="D4019" s="15" t="s">
        <v>120</v>
      </c>
      <c r="E4019" s="15"/>
      <c r="F4019" s="15" t="s">
        <v>1102</v>
      </c>
      <c r="G4019" s="15" t="s">
        <v>112</v>
      </c>
      <c r="H4019" s="15"/>
    </row>
    <row r="4020" customFormat="false" ht="15" hidden="false" customHeight="true" outlineLevel="0" collapsed="false">
      <c r="A4020" s="15" t="s">
        <v>455</v>
      </c>
      <c r="B4020" s="15" t="s">
        <v>456</v>
      </c>
      <c r="C4020" s="15" t="s">
        <v>98</v>
      </c>
      <c r="D4020" s="15" t="s">
        <v>836</v>
      </c>
      <c r="E4020" s="15"/>
      <c r="F4020" s="15" t="s">
        <v>1102</v>
      </c>
      <c r="G4020" s="15" t="s">
        <v>112</v>
      </c>
      <c r="H4020" s="15"/>
    </row>
    <row r="4021" customFormat="false" ht="15" hidden="false" customHeight="true" outlineLevel="0" collapsed="false">
      <c r="A4021" s="15" t="s">
        <v>455</v>
      </c>
      <c r="B4021" s="15" t="s">
        <v>456</v>
      </c>
      <c r="C4021" s="15" t="s">
        <v>835</v>
      </c>
      <c r="D4021" s="15" t="s">
        <v>836</v>
      </c>
      <c r="E4021" s="15"/>
      <c r="F4021" s="15" t="s">
        <v>1102</v>
      </c>
      <c r="G4021" s="15" t="s">
        <v>112</v>
      </c>
      <c r="H4021" s="15"/>
    </row>
    <row r="4022" customFormat="false" ht="15" hidden="false" customHeight="true" outlineLevel="0" collapsed="false">
      <c r="A4022" s="15" t="s">
        <v>455</v>
      </c>
      <c r="B4022" s="15" t="s">
        <v>456</v>
      </c>
      <c r="C4022" s="15" t="s">
        <v>833</v>
      </c>
      <c r="D4022" s="15" t="s">
        <v>938</v>
      </c>
      <c r="E4022" s="15"/>
      <c r="F4022" s="15" t="s">
        <v>1102</v>
      </c>
      <c r="G4022" s="15" t="s">
        <v>112</v>
      </c>
      <c r="H4022" s="15"/>
    </row>
    <row r="4023" customFormat="false" ht="26.25" hidden="false" customHeight="true" outlineLevel="0" collapsed="false">
      <c r="A4023" s="15" t="s">
        <v>455</v>
      </c>
      <c r="B4023" s="15" t="s">
        <v>456</v>
      </c>
      <c r="C4023" s="15" t="s">
        <v>887</v>
      </c>
      <c r="D4023" s="15" t="s">
        <v>1104</v>
      </c>
      <c r="E4023" s="15"/>
      <c r="F4023" s="15" t="s">
        <v>1105</v>
      </c>
      <c r="G4023" s="15" t="s">
        <v>112</v>
      </c>
      <c r="H4023" s="15" t="s">
        <v>1106</v>
      </c>
    </row>
    <row r="4024" customFormat="false" ht="15" hidden="false" customHeight="true" outlineLevel="0" collapsed="false">
      <c r="A4024" s="15" t="s">
        <v>352</v>
      </c>
      <c r="B4024" s="15" t="s">
        <v>354</v>
      </c>
      <c r="C4024" s="15" t="s">
        <v>854</v>
      </c>
      <c r="D4024" s="15" t="s">
        <v>755</v>
      </c>
      <c r="E4024" s="15"/>
      <c r="F4024" s="15" t="s">
        <v>971</v>
      </c>
      <c r="G4024" s="15" t="s">
        <v>112</v>
      </c>
      <c r="H4024" s="15" t="s">
        <v>1107</v>
      </c>
    </row>
    <row r="4025" customFormat="false" ht="15" hidden="false" customHeight="true" outlineLevel="0" collapsed="false">
      <c r="A4025" s="15" t="s">
        <v>359</v>
      </c>
      <c r="B4025" s="15" t="s">
        <v>360</v>
      </c>
      <c r="C4025" s="15" t="s">
        <v>1093</v>
      </c>
      <c r="D4025" s="15" t="s">
        <v>803</v>
      </c>
      <c r="E4025" s="15"/>
      <c r="F4025" s="15" t="s">
        <v>971</v>
      </c>
      <c r="G4025" s="15" t="s">
        <v>112</v>
      </c>
      <c r="H4025" s="15"/>
    </row>
    <row r="4026" customFormat="false" ht="15" hidden="false" customHeight="true" outlineLevel="0" collapsed="false">
      <c r="A4026" s="15" t="s">
        <v>359</v>
      </c>
      <c r="B4026" s="15" t="s">
        <v>360</v>
      </c>
      <c r="C4026" s="15" t="s">
        <v>1108</v>
      </c>
      <c r="D4026" s="15" t="s">
        <v>1109</v>
      </c>
      <c r="E4026" s="15"/>
      <c r="F4026" s="15" t="s">
        <v>971</v>
      </c>
      <c r="G4026" s="15" t="s">
        <v>112</v>
      </c>
      <c r="H4026" s="15"/>
    </row>
    <row r="4027" customFormat="false" ht="15" hidden="false" customHeight="true" outlineLevel="0" collapsed="false">
      <c r="A4027" s="15" t="s">
        <v>362</v>
      </c>
      <c r="B4027" s="15" t="s">
        <v>363</v>
      </c>
      <c r="C4027" s="15" t="s">
        <v>854</v>
      </c>
      <c r="D4027" s="15" t="s">
        <v>1008</v>
      </c>
      <c r="E4027" s="15"/>
      <c r="F4027" s="15" t="s">
        <v>971</v>
      </c>
      <c r="G4027" s="15" t="s">
        <v>112</v>
      </c>
      <c r="H4027" s="15"/>
    </row>
    <row r="4028" customFormat="false" ht="15" hidden="false" customHeight="true" outlineLevel="0" collapsed="false">
      <c r="A4028" s="15" t="s">
        <v>362</v>
      </c>
      <c r="B4028" s="15" t="s">
        <v>363</v>
      </c>
      <c r="C4028" s="15" t="s">
        <v>1110</v>
      </c>
      <c r="D4028" s="15" t="s">
        <v>1111</v>
      </c>
      <c r="E4028" s="15"/>
      <c r="F4028" s="15" t="s">
        <v>971</v>
      </c>
      <c r="G4028" s="15" t="s">
        <v>112</v>
      </c>
      <c r="H4028" s="15"/>
    </row>
    <row r="4029" customFormat="false" ht="15" hidden="false" customHeight="true" outlineLevel="0" collapsed="false">
      <c r="A4029" s="15" t="s">
        <v>365</v>
      </c>
      <c r="B4029" s="15" t="s">
        <v>366</v>
      </c>
      <c r="C4029" s="15" t="s">
        <v>854</v>
      </c>
      <c r="D4029" s="15" t="s">
        <v>1008</v>
      </c>
      <c r="E4029" s="15"/>
      <c r="F4029" s="15" t="s">
        <v>971</v>
      </c>
      <c r="G4029" s="15" t="s">
        <v>112</v>
      </c>
      <c r="H4029" s="15"/>
    </row>
    <row r="4030" customFormat="false" ht="15" hidden="false" customHeight="true" outlineLevel="0" collapsed="false">
      <c r="A4030" s="15" t="s">
        <v>368</v>
      </c>
      <c r="B4030" s="15" t="s">
        <v>369</v>
      </c>
      <c r="C4030" s="15" t="s">
        <v>851</v>
      </c>
      <c r="D4030" s="15" t="s">
        <v>860</v>
      </c>
      <c r="E4030" s="15"/>
      <c r="F4030" s="15" t="s">
        <v>971</v>
      </c>
      <c r="G4030" s="15" t="s">
        <v>112</v>
      </c>
      <c r="H4030" s="15"/>
    </row>
    <row r="4031" customFormat="false" ht="15" hidden="false" customHeight="true" outlineLevel="0" collapsed="false">
      <c r="A4031" s="15" t="s">
        <v>368</v>
      </c>
      <c r="B4031" s="15" t="s">
        <v>369</v>
      </c>
      <c r="C4031" s="15" t="s">
        <v>853</v>
      </c>
      <c r="D4031" s="15" t="s">
        <v>803</v>
      </c>
      <c r="E4031" s="15"/>
      <c r="F4031" s="15" t="s">
        <v>971</v>
      </c>
      <c r="G4031" s="15" t="s">
        <v>112</v>
      </c>
      <c r="H4031" s="15"/>
    </row>
    <row r="4032" customFormat="false" ht="15" hidden="false" customHeight="true" outlineLevel="0" collapsed="false">
      <c r="A4032" s="15" t="s">
        <v>368</v>
      </c>
      <c r="B4032" s="15" t="s">
        <v>369</v>
      </c>
      <c r="C4032" s="15" t="s">
        <v>1112</v>
      </c>
      <c r="D4032" s="15" t="s">
        <v>1113</v>
      </c>
      <c r="E4032" s="15"/>
      <c r="F4032" s="15" t="s">
        <v>971</v>
      </c>
      <c r="G4032" s="15" t="s">
        <v>112</v>
      </c>
      <c r="H4032" s="15"/>
    </row>
    <row r="4033" customFormat="false" ht="15" hidden="false" customHeight="true" outlineLevel="0" collapsed="false">
      <c r="A4033" s="15" t="s">
        <v>371</v>
      </c>
      <c r="B4033" s="15" t="s">
        <v>372</v>
      </c>
      <c r="C4033" s="15" t="s">
        <v>851</v>
      </c>
      <c r="D4033" s="15" t="s">
        <v>860</v>
      </c>
      <c r="E4033" s="15"/>
      <c r="F4033" s="15" t="s">
        <v>971</v>
      </c>
      <c r="G4033" s="15" t="s">
        <v>112</v>
      </c>
      <c r="H4033" s="15"/>
    </row>
    <row r="4034" customFormat="false" ht="15" hidden="false" customHeight="true" outlineLevel="0" collapsed="false">
      <c r="A4034" s="15" t="s">
        <v>371</v>
      </c>
      <c r="B4034" s="15" t="s">
        <v>372</v>
      </c>
      <c r="C4034" s="15" t="s">
        <v>853</v>
      </c>
      <c r="D4034" s="15" t="s">
        <v>803</v>
      </c>
      <c r="E4034" s="15"/>
      <c r="F4034" s="15" t="s">
        <v>971</v>
      </c>
      <c r="G4034" s="15" t="s">
        <v>112</v>
      </c>
      <c r="H4034" s="15"/>
    </row>
    <row r="4035" customFormat="false" ht="15" hidden="false" customHeight="true" outlineLevel="0" collapsed="false">
      <c r="A4035" s="15" t="s">
        <v>371</v>
      </c>
      <c r="B4035" s="15" t="s">
        <v>372</v>
      </c>
      <c r="C4035" s="15" t="s">
        <v>984</v>
      </c>
      <c r="D4035" s="15" t="s">
        <v>1114</v>
      </c>
      <c r="E4035" s="15"/>
      <c r="F4035" s="15" t="s">
        <v>971</v>
      </c>
      <c r="G4035" s="15" t="s">
        <v>112</v>
      </c>
      <c r="H4035" s="15"/>
    </row>
    <row r="4036" customFormat="false" ht="15" hidden="false" customHeight="true" outlineLevel="0" collapsed="false">
      <c r="A4036" s="15" t="s">
        <v>371</v>
      </c>
      <c r="B4036" s="15" t="s">
        <v>372</v>
      </c>
      <c r="C4036" s="15" t="s">
        <v>1020</v>
      </c>
      <c r="D4036" s="15" t="s">
        <v>1021</v>
      </c>
      <c r="E4036" s="15"/>
      <c r="F4036" s="15" t="s">
        <v>971</v>
      </c>
      <c r="G4036" s="15" t="s">
        <v>112</v>
      </c>
      <c r="H4036" s="15"/>
    </row>
    <row r="4037" customFormat="false" ht="15" hidden="false" customHeight="true" outlineLevel="0" collapsed="false">
      <c r="A4037" s="15" t="s">
        <v>443</v>
      </c>
      <c r="B4037" s="15" t="s">
        <v>446</v>
      </c>
      <c r="C4037" s="15" t="s">
        <v>1115</v>
      </c>
      <c r="D4037" s="15" t="s">
        <v>1116</v>
      </c>
      <c r="E4037" s="15"/>
      <c r="F4037" s="15" t="s">
        <v>971</v>
      </c>
      <c r="G4037" s="15" t="s">
        <v>112</v>
      </c>
      <c r="H4037" s="15"/>
    </row>
    <row r="4038" customFormat="false" ht="15" hidden="false" customHeight="true" outlineLevel="0" collapsed="false">
      <c r="A4038" s="15" t="s">
        <v>443</v>
      </c>
      <c r="B4038" s="15" t="s">
        <v>446</v>
      </c>
      <c r="C4038" s="15" t="s">
        <v>757</v>
      </c>
      <c r="D4038" s="15" t="s">
        <v>1091</v>
      </c>
      <c r="E4038" s="15"/>
      <c r="F4038" s="15" t="s">
        <v>971</v>
      </c>
      <c r="G4038" s="15" t="s">
        <v>112</v>
      </c>
      <c r="H4038" s="15"/>
    </row>
    <row r="4039" customFormat="false" ht="15" hidden="false" customHeight="true" outlineLevel="0" collapsed="false">
      <c r="A4039" s="15" t="s">
        <v>443</v>
      </c>
      <c r="B4039" s="15" t="s">
        <v>446</v>
      </c>
      <c r="C4039" s="15" t="s">
        <v>747</v>
      </c>
      <c r="D4039" s="15" t="s">
        <v>1117</v>
      </c>
      <c r="E4039" s="15"/>
      <c r="F4039" s="15" t="s">
        <v>971</v>
      </c>
      <c r="G4039" s="15" t="s">
        <v>112</v>
      </c>
      <c r="H4039" s="15"/>
    </row>
    <row r="4040" customFormat="false" ht="15" hidden="false" customHeight="true" outlineLevel="0" collapsed="false">
      <c r="A4040" s="15" t="s">
        <v>443</v>
      </c>
      <c r="B4040" s="15" t="s">
        <v>446</v>
      </c>
      <c r="C4040" s="15" t="s">
        <v>1118</v>
      </c>
      <c r="D4040" s="15" t="s">
        <v>1119</v>
      </c>
      <c r="E4040" s="15"/>
      <c r="F4040" s="15" t="s">
        <v>971</v>
      </c>
      <c r="G4040" s="15" t="s">
        <v>112</v>
      </c>
      <c r="H4040" s="15"/>
    </row>
    <row r="4041" customFormat="false" ht="15" hidden="false" customHeight="true" outlineLevel="0" collapsed="false">
      <c r="A4041" s="15" t="s">
        <v>443</v>
      </c>
      <c r="B4041" s="15" t="s">
        <v>446</v>
      </c>
      <c r="C4041" s="15" t="s">
        <v>1120</v>
      </c>
      <c r="D4041" s="15" t="s">
        <v>1121</v>
      </c>
      <c r="E4041" s="15"/>
      <c r="F4041" s="15" t="s">
        <v>971</v>
      </c>
      <c r="G4041" s="15" t="s">
        <v>112</v>
      </c>
      <c r="H4041" s="15"/>
    </row>
    <row r="4042" customFormat="false" ht="15" hidden="false" customHeight="true" outlineLevel="0" collapsed="false">
      <c r="A4042" s="15" t="s">
        <v>443</v>
      </c>
      <c r="B4042" s="15" t="s">
        <v>446</v>
      </c>
      <c r="C4042" s="15" t="s">
        <v>752</v>
      </c>
      <c r="D4042" s="15" t="s">
        <v>1122</v>
      </c>
      <c r="E4042" s="15"/>
      <c r="F4042" s="15" t="s">
        <v>971</v>
      </c>
      <c r="G4042" s="15" t="s">
        <v>112</v>
      </c>
      <c r="H4042" s="15"/>
    </row>
    <row r="4043" customFormat="false" ht="15" hidden="false" customHeight="true" outlineLevel="0" collapsed="false">
      <c r="A4043" s="15" t="s">
        <v>443</v>
      </c>
      <c r="B4043" s="15" t="s">
        <v>446</v>
      </c>
      <c r="C4043" s="15" t="s">
        <v>855</v>
      </c>
      <c r="D4043" s="15" t="s">
        <v>1123</v>
      </c>
      <c r="E4043" s="15"/>
      <c r="F4043" s="15" t="s">
        <v>971</v>
      </c>
      <c r="G4043" s="15" t="s">
        <v>112</v>
      </c>
      <c r="H4043" s="15"/>
    </row>
    <row r="4044" customFormat="false" ht="15" hidden="false" customHeight="true" outlineLevel="0" collapsed="false">
      <c r="A4044" s="15" t="s">
        <v>443</v>
      </c>
      <c r="B4044" s="15" t="s">
        <v>446</v>
      </c>
      <c r="C4044" s="15" t="s">
        <v>780</v>
      </c>
      <c r="D4044" s="15" t="s">
        <v>1124</v>
      </c>
      <c r="E4044" s="15"/>
      <c r="F4044" s="15" t="s">
        <v>971</v>
      </c>
      <c r="G4044" s="15" t="s">
        <v>112</v>
      </c>
      <c r="H4044" s="15"/>
    </row>
    <row r="4045" customFormat="false" ht="15" hidden="false" customHeight="true" outlineLevel="0" collapsed="false">
      <c r="A4045" s="15" t="s">
        <v>443</v>
      </c>
      <c r="B4045" s="15" t="s">
        <v>446</v>
      </c>
      <c r="C4045" s="15" t="s">
        <v>984</v>
      </c>
      <c r="D4045" s="15" t="s">
        <v>1125</v>
      </c>
      <c r="E4045" s="15"/>
      <c r="F4045" s="15" t="s">
        <v>971</v>
      </c>
      <c r="G4045" s="15" t="s">
        <v>112</v>
      </c>
      <c r="H4045" s="15"/>
    </row>
    <row r="4046" customFormat="false" ht="15" hidden="false" customHeight="true" outlineLevel="0" collapsed="false">
      <c r="A4046" s="15" t="s">
        <v>443</v>
      </c>
      <c r="B4046" s="15" t="s">
        <v>446</v>
      </c>
      <c r="C4046" s="15" t="s">
        <v>743</v>
      </c>
      <c r="D4046" s="15" t="s">
        <v>750</v>
      </c>
      <c r="E4046" s="15"/>
      <c r="F4046" s="15" t="s">
        <v>971</v>
      </c>
      <c r="G4046" s="15" t="s">
        <v>112</v>
      </c>
      <c r="H4046" s="15"/>
    </row>
    <row r="4047" customFormat="false" ht="15" hidden="false" customHeight="true" outlineLevel="0" collapsed="false">
      <c r="A4047" s="15" t="s">
        <v>443</v>
      </c>
      <c r="B4047" s="15" t="s">
        <v>446</v>
      </c>
      <c r="C4047" s="15" t="s">
        <v>759</v>
      </c>
      <c r="D4047" s="15" t="s">
        <v>750</v>
      </c>
      <c r="E4047" s="15"/>
      <c r="F4047" s="15" t="s">
        <v>971</v>
      </c>
      <c r="G4047" s="15" t="s">
        <v>112</v>
      </c>
      <c r="H4047" s="15"/>
    </row>
    <row r="4048" customFormat="false" ht="15" hidden="false" customHeight="true" outlineLevel="0" collapsed="false">
      <c r="A4048" s="15" t="s">
        <v>443</v>
      </c>
      <c r="B4048" s="15" t="s">
        <v>446</v>
      </c>
      <c r="C4048" s="15" t="s">
        <v>1126</v>
      </c>
      <c r="D4048" s="15" t="s">
        <v>429</v>
      </c>
      <c r="E4048" s="15"/>
      <c r="F4048" s="15" t="s">
        <v>971</v>
      </c>
      <c r="G4048" s="15" t="s">
        <v>112</v>
      </c>
      <c r="H4048" s="15"/>
    </row>
    <row r="4049" customFormat="false" ht="15" hidden="false" customHeight="true" outlineLevel="0" collapsed="false">
      <c r="A4049" s="15" t="s">
        <v>443</v>
      </c>
      <c r="B4049" s="15" t="s">
        <v>446</v>
      </c>
      <c r="C4049" s="15" t="s">
        <v>854</v>
      </c>
      <c r="D4049" s="15" t="s">
        <v>755</v>
      </c>
      <c r="E4049" s="15"/>
      <c r="F4049" s="15" t="s">
        <v>971</v>
      </c>
      <c r="G4049" s="15" t="s">
        <v>112</v>
      </c>
      <c r="H4049" s="15"/>
    </row>
    <row r="4050" customFormat="false" ht="15" hidden="false" customHeight="true" outlineLevel="0" collapsed="false">
      <c r="A4050" s="15" t="s">
        <v>443</v>
      </c>
      <c r="B4050" s="15" t="s">
        <v>446</v>
      </c>
      <c r="C4050" s="15" t="s">
        <v>848</v>
      </c>
      <c r="D4050" s="15" t="s">
        <v>755</v>
      </c>
      <c r="E4050" s="15"/>
      <c r="F4050" s="15" t="s">
        <v>971</v>
      </c>
      <c r="G4050" s="15" t="s">
        <v>112</v>
      </c>
      <c r="H4050" s="15"/>
    </row>
    <row r="4051" customFormat="false" ht="15" hidden="false" customHeight="true" outlineLevel="0" collapsed="false">
      <c r="A4051" s="15" t="s">
        <v>443</v>
      </c>
      <c r="B4051" s="15" t="s">
        <v>446</v>
      </c>
      <c r="C4051" s="15" t="s">
        <v>851</v>
      </c>
      <c r="D4051" s="15" t="s">
        <v>1127</v>
      </c>
      <c r="E4051" s="15"/>
      <c r="F4051" s="15" t="s">
        <v>971</v>
      </c>
      <c r="G4051" s="15" t="s">
        <v>293</v>
      </c>
      <c r="H4051" s="15"/>
    </row>
    <row r="4052" customFormat="false" ht="15" hidden="false" customHeight="true" outlineLevel="0" collapsed="false">
      <c r="A4052" s="15" t="s">
        <v>449</v>
      </c>
      <c r="B4052" s="15" t="s">
        <v>450</v>
      </c>
      <c r="C4052" s="15" t="s">
        <v>1115</v>
      </c>
      <c r="D4052" s="15" t="s">
        <v>1116</v>
      </c>
      <c r="E4052" s="15"/>
      <c r="F4052" s="15" t="s">
        <v>971</v>
      </c>
      <c r="G4052" s="15" t="s">
        <v>112</v>
      </c>
      <c r="H4052" s="15"/>
    </row>
    <row r="4053" customFormat="false" ht="15" hidden="false" customHeight="true" outlineLevel="0" collapsed="false">
      <c r="A4053" s="15" t="s">
        <v>449</v>
      </c>
      <c r="B4053" s="15" t="s">
        <v>450</v>
      </c>
      <c r="C4053" s="15" t="s">
        <v>757</v>
      </c>
      <c r="D4053" s="15" t="s">
        <v>1091</v>
      </c>
      <c r="E4053" s="15"/>
      <c r="F4053" s="15" t="s">
        <v>971</v>
      </c>
      <c r="G4053" s="15" t="s">
        <v>112</v>
      </c>
      <c r="H4053" s="15"/>
    </row>
    <row r="4054" customFormat="false" ht="15" hidden="false" customHeight="true" outlineLevel="0" collapsed="false">
      <c r="A4054" s="15" t="s">
        <v>449</v>
      </c>
      <c r="B4054" s="15" t="s">
        <v>450</v>
      </c>
      <c r="C4054" s="15" t="s">
        <v>747</v>
      </c>
      <c r="D4054" s="15" t="s">
        <v>1128</v>
      </c>
      <c r="E4054" s="15"/>
      <c r="F4054" s="15" t="s">
        <v>971</v>
      </c>
      <c r="G4054" s="15" t="s">
        <v>112</v>
      </c>
      <c r="H4054" s="15"/>
    </row>
    <row r="4055" customFormat="false" ht="15" hidden="false" customHeight="true" outlineLevel="0" collapsed="false">
      <c r="A4055" s="15" t="s">
        <v>449</v>
      </c>
      <c r="B4055" s="15" t="s">
        <v>450</v>
      </c>
      <c r="C4055" s="15" t="s">
        <v>1118</v>
      </c>
      <c r="D4055" s="15" t="s">
        <v>1119</v>
      </c>
      <c r="E4055" s="15"/>
      <c r="F4055" s="15" t="s">
        <v>971</v>
      </c>
      <c r="G4055" s="15" t="s">
        <v>112</v>
      </c>
      <c r="H4055" s="15"/>
    </row>
    <row r="4056" customFormat="false" ht="15" hidden="false" customHeight="true" outlineLevel="0" collapsed="false">
      <c r="A4056" s="15" t="s">
        <v>449</v>
      </c>
      <c r="B4056" s="15" t="s">
        <v>450</v>
      </c>
      <c r="C4056" s="15" t="s">
        <v>1120</v>
      </c>
      <c r="D4056" s="15" t="s">
        <v>1129</v>
      </c>
      <c r="E4056" s="15"/>
      <c r="F4056" s="15" t="s">
        <v>971</v>
      </c>
      <c r="G4056" s="15" t="s">
        <v>112</v>
      </c>
      <c r="H4056" s="15"/>
    </row>
    <row r="4057" customFormat="false" ht="15" hidden="false" customHeight="true" outlineLevel="0" collapsed="false">
      <c r="A4057" s="15" t="s">
        <v>449</v>
      </c>
      <c r="B4057" s="15" t="s">
        <v>450</v>
      </c>
      <c r="C4057" s="15" t="s">
        <v>752</v>
      </c>
      <c r="D4057" s="15" t="s">
        <v>1130</v>
      </c>
      <c r="E4057" s="15"/>
      <c r="F4057" s="15" t="s">
        <v>971</v>
      </c>
      <c r="G4057" s="15" t="s">
        <v>112</v>
      </c>
      <c r="H4057" s="15"/>
    </row>
    <row r="4058" customFormat="false" ht="15" hidden="false" customHeight="true" outlineLevel="0" collapsed="false">
      <c r="A4058" s="15" t="s">
        <v>449</v>
      </c>
      <c r="B4058" s="15" t="s">
        <v>450</v>
      </c>
      <c r="C4058" s="15" t="s">
        <v>855</v>
      </c>
      <c r="D4058" s="15" t="s">
        <v>1123</v>
      </c>
      <c r="E4058" s="15"/>
      <c r="F4058" s="15" t="s">
        <v>971</v>
      </c>
      <c r="G4058" s="15" t="s">
        <v>112</v>
      </c>
      <c r="H4058" s="15"/>
    </row>
    <row r="4059" customFormat="false" ht="15" hidden="false" customHeight="true" outlineLevel="0" collapsed="false">
      <c r="A4059" s="15" t="s">
        <v>449</v>
      </c>
      <c r="B4059" s="15" t="s">
        <v>450</v>
      </c>
      <c r="C4059" s="15" t="s">
        <v>780</v>
      </c>
      <c r="D4059" s="15" t="s">
        <v>1124</v>
      </c>
      <c r="E4059" s="15"/>
      <c r="F4059" s="15" t="s">
        <v>971</v>
      </c>
      <c r="G4059" s="15" t="s">
        <v>112</v>
      </c>
      <c r="H4059" s="15"/>
    </row>
    <row r="4060" customFormat="false" ht="15" hidden="false" customHeight="true" outlineLevel="0" collapsed="false">
      <c r="A4060" s="15" t="s">
        <v>449</v>
      </c>
      <c r="B4060" s="15" t="s">
        <v>450</v>
      </c>
      <c r="C4060" s="15" t="s">
        <v>984</v>
      </c>
      <c r="D4060" s="15" t="s">
        <v>1125</v>
      </c>
      <c r="E4060" s="15"/>
      <c r="F4060" s="15" t="s">
        <v>971</v>
      </c>
      <c r="G4060" s="15" t="s">
        <v>112</v>
      </c>
      <c r="H4060" s="15"/>
    </row>
    <row r="4061" customFormat="false" ht="15" hidden="false" customHeight="true" outlineLevel="0" collapsed="false">
      <c r="A4061" s="15" t="s">
        <v>449</v>
      </c>
      <c r="B4061" s="15" t="s">
        <v>450</v>
      </c>
      <c r="C4061" s="15" t="s">
        <v>743</v>
      </c>
      <c r="D4061" s="15" t="s">
        <v>1131</v>
      </c>
      <c r="E4061" s="15"/>
      <c r="F4061" s="15" t="s">
        <v>971</v>
      </c>
      <c r="G4061" s="15" t="s">
        <v>112</v>
      </c>
      <c r="H4061" s="15"/>
    </row>
    <row r="4062" customFormat="false" ht="15" hidden="false" customHeight="true" outlineLevel="0" collapsed="false">
      <c r="A4062" s="15" t="s">
        <v>449</v>
      </c>
      <c r="B4062" s="15" t="s">
        <v>450</v>
      </c>
      <c r="C4062" s="15" t="s">
        <v>759</v>
      </c>
      <c r="D4062" s="15" t="s">
        <v>944</v>
      </c>
      <c r="E4062" s="15"/>
      <c r="F4062" s="15" t="s">
        <v>971</v>
      </c>
      <c r="G4062" s="15" t="s">
        <v>112</v>
      </c>
      <c r="H4062" s="15"/>
    </row>
    <row r="4063" customFormat="false" ht="15" hidden="false" customHeight="true" outlineLevel="0" collapsed="false">
      <c r="A4063" s="15" t="s">
        <v>449</v>
      </c>
      <c r="B4063" s="15" t="s">
        <v>450</v>
      </c>
      <c r="C4063" s="15" t="s">
        <v>1126</v>
      </c>
      <c r="D4063" s="15" t="s">
        <v>803</v>
      </c>
      <c r="E4063" s="15"/>
      <c r="F4063" s="15" t="s">
        <v>971</v>
      </c>
      <c r="G4063" s="15" t="s">
        <v>112</v>
      </c>
      <c r="H4063" s="15"/>
    </row>
    <row r="4064" customFormat="false" ht="15" hidden="false" customHeight="true" outlineLevel="0" collapsed="false">
      <c r="A4064" s="15" t="s">
        <v>449</v>
      </c>
      <c r="B4064" s="15" t="s">
        <v>450</v>
      </c>
      <c r="C4064" s="15" t="s">
        <v>854</v>
      </c>
      <c r="D4064" s="15" t="s">
        <v>755</v>
      </c>
      <c r="E4064" s="15"/>
      <c r="F4064" s="15" t="s">
        <v>971</v>
      </c>
      <c r="G4064" s="15" t="s">
        <v>112</v>
      </c>
      <c r="H4064" s="15"/>
    </row>
    <row r="4065" customFormat="false" ht="15" hidden="false" customHeight="true" outlineLevel="0" collapsed="false">
      <c r="A4065" s="15" t="s">
        <v>449</v>
      </c>
      <c r="B4065" s="15" t="s">
        <v>450</v>
      </c>
      <c r="C4065" s="15" t="s">
        <v>848</v>
      </c>
      <c r="D4065" s="15" t="s">
        <v>755</v>
      </c>
      <c r="E4065" s="15"/>
      <c r="F4065" s="15" t="s">
        <v>971</v>
      </c>
      <c r="G4065" s="15" t="s">
        <v>112</v>
      </c>
      <c r="H4065" s="15"/>
    </row>
    <row r="4066" customFormat="false" ht="15" hidden="false" customHeight="true" outlineLevel="0" collapsed="false">
      <c r="A4066" s="15" t="s">
        <v>449</v>
      </c>
      <c r="B4066" s="15" t="s">
        <v>450</v>
      </c>
      <c r="C4066" s="15" t="s">
        <v>851</v>
      </c>
      <c r="D4066" s="15" t="s">
        <v>1127</v>
      </c>
      <c r="E4066" s="15"/>
      <c r="F4066" s="15" t="s">
        <v>971</v>
      </c>
      <c r="G4066" s="15" t="s">
        <v>293</v>
      </c>
      <c r="H4066" s="15"/>
    </row>
    <row r="4067" customFormat="false" ht="15" hidden="false" customHeight="true" outlineLevel="0" collapsed="false">
      <c r="A4067" s="15" t="s">
        <v>452</v>
      </c>
      <c r="B4067" s="15" t="s">
        <v>453</v>
      </c>
      <c r="C4067" s="15" t="s">
        <v>1115</v>
      </c>
      <c r="D4067" s="15" t="s">
        <v>1116</v>
      </c>
      <c r="E4067" s="15"/>
      <c r="F4067" s="15" t="s">
        <v>971</v>
      </c>
      <c r="G4067" s="15" t="s">
        <v>112</v>
      </c>
      <c r="H4067" s="15"/>
    </row>
    <row r="4068" customFormat="false" ht="15" hidden="false" customHeight="true" outlineLevel="0" collapsed="false">
      <c r="A4068" s="15" t="s">
        <v>452</v>
      </c>
      <c r="B4068" s="15" t="s">
        <v>453</v>
      </c>
      <c r="C4068" s="15" t="s">
        <v>757</v>
      </c>
      <c r="D4068" s="15" t="s">
        <v>1091</v>
      </c>
      <c r="E4068" s="15"/>
      <c r="F4068" s="15" t="s">
        <v>971</v>
      </c>
      <c r="G4068" s="15" t="s">
        <v>112</v>
      </c>
      <c r="H4068" s="15"/>
    </row>
    <row r="4069" customFormat="false" ht="15" hidden="false" customHeight="true" outlineLevel="0" collapsed="false">
      <c r="A4069" s="15" t="s">
        <v>452</v>
      </c>
      <c r="B4069" s="15" t="s">
        <v>453</v>
      </c>
      <c r="C4069" s="15" t="s">
        <v>747</v>
      </c>
      <c r="D4069" s="15" t="s">
        <v>1100</v>
      </c>
      <c r="E4069" s="15"/>
      <c r="F4069" s="15" t="s">
        <v>971</v>
      </c>
      <c r="G4069" s="15" t="s">
        <v>112</v>
      </c>
      <c r="H4069" s="15"/>
    </row>
    <row r="4070" customFormat="false" ht="15" hidden="false" customHeight="true" outlineLevel="0" collapsed="false">
      <c r="A4070" s="15" t="s">
        <v>452</v>
      </c>
      <c r="B4070" s="15" t="s">
        <v>453</v>
      </c>
      <c r="C4070" s="15" t="s">
        <v>1118</v>
      </c>
      <c r="D4070" s="15" t="s">
        <v>1119</v>
      </c>
      <c r="E4070" s="15"/>
      <c r="F4070" s="15" t="s">
        <v>971</v>
      </c>
      <c r="G4070" s="15" t="s">
        <v>112</v>
      </c>
      <c r="H4070" s="15"/>
    </row>
    <row r="4071" customFormat="false" ht="15" hidden="false" customHeight="true" outlineLevel="0" collapsed="false">
      <c r="A4071" s="15" t="s">
        <v>452</v>
      </c>
      <c r="B4071" s="15" t="s">
        <v>453</v>
      </c>
      <c r="C4071" s="15" t="s">
        <v>1120</v>
      </c>
      <c r="D4071" s="15" t="s">
        <v>1129</v>
      </c>
      <c r="E4071" s="15"/>
      <c r="F4071" s="15" t="s">
        <v>971</v>
      </c>
      <c r="G4071" s="15" t="s">
        <v>112</v>
      </c>
      <c r="H4071" s="15"/>
    </row>
    <row r="4072" customFormat="false" ht="15" hidden="false" customHeight="true" outlineLevel="0" collapsed="false">
      <c r="A4072" s="15" t="s">
        <v>452</v>
      </c>
      <c r="B4072" s="15" t="s">
        <v>453</v>
      </c>
      <c r="C4072" s="15" t="s">
        <v>752</v>
      </c>
      <c r="D4072" s="15" t="s">
        <v>1132</v>
      </c>
      <c r="E4072" s="15"/>
      <c r="F4072" s="15" t="s">
        <v>971</v>
      </c>
      <c r="G4072" s="15" t="s">
        <v>112</v>
      </c>
      <c r="H4072" s="15"/>
    </row>
    <row r="4073" customFormat="false" ht="15" hidden="false" customHeight="true" outlineLevel="0" collapsed="false">
      <c r="A4073" s="15" t="s">
        <v>452</v>
      </c>
      <c r="B4073" s="15" t="s">
        <v>453</v>
      </c>
      <c r="C4073" s="15" t="s">
        <v>855</v>
      </c>
      <c r="D4073" s="15" t="s">
        <v>1123</v>
      </c>
      <c r="E4073" s="15"/>
      <c r="F4073" s="15" t="s">
        <v>971</v>
      </c>
      <c r="G4073" s="15" t="s">
        <v>112</v>
      </c>
      <c r="H4073" s="15"/>
    </row>
    <row r="4074" customFormat="false" ht="15" hidden="false" customHeight="true" outlineLevel="0" collapsed="false">
      <c r="A4074" s="15" t="s">
        <v>452</v>
      </c>
      <c r="B4074" s="15" t="s">
        <v>453</v>
      </c>
      <c r="C4074" s="15" t="s">
        <v>780</v>
      </c>
      <c r="D4074" s="15" t="s">
        <v>1124</v>
      </c>
      <c r="E4074" s="15"/>
      <c r="F4074" s="15" t="s">
        <v>971</v>
      </c>
      <c r="G4074" s="15" t="s">
        <v>112</v>
      </c>
      <c r="H4074" s="15"/>
    </row>
    <row r="4075" customFormat="false" ht="15" hidden="false" customHeight="true" outlineLevel="0" collapsed="false">
      <c r="A4075" s="15" t="s">
        <v>452</v>
      </c>
      <c r="B4075" s="15" t="s">
        <v>453</v>
      </c>
      <c r="C4075" s="15" t="s">
        <v>984</v>
      </c>
      <c r="D4075" s="15" t="s">
        <v>1125</v>
      </c>
      <c r="E4075" s="15"/>
      <c r="F4075" s="15" t="s">
        <v>971</v>
      </c>
      <c r="G4075" s="15" t="s">
        <v>112</v>
      </c>
      <c r="H4075" s="15"/>
    </row>
    <row r="4076" customFormat="false" ht="15" hidden="false" customHeight="true" outlineLevel="0" collapsed="false">
      <c r="A4076" s="15" t="s">
        <v>452</v>
      </c>
      <c r="B4076" s="15" t="s">
        <v>453</v>
      </c>
      <c r="C4076" s="15" t="s">
        <v>743</v>
      </c>
      <c r="D4076" s="15" t="s">
        <v>1131</v>
      </c>
      <c r="E4076" s="15"/>
      <c r="F4076" s="15" t="s">
        <v>971</v>
      </c>
      <c r="G4076" s="15" t="s">
        <v>112</v>
      </c>
      <c r="H4076" s="15"/>
    </row>
    <row r="4077" customFormat="false" ht="15" hidden="false" customHeight="true" outlineLevel="0" collapsed="false">
      <c r="A4077" s="15" t="s">
        <v>452</v>
      </c>
      <c r="B4077" s="15" t="s">
        <v>453</v>
      </c>
      <c r="C4077" s="15" t="s">
        <v>759</v>
      </c>
      <c r="D4077" s="15" t="s">
        <v>1133</v>
      </c>
      <c r="E4077" s="15"/>
      <c r="F4077" s="15" t="s">
        <v>971</v>
      </c>
      <c r="G4077" s="15" t="s">
        <v>112</v>
      </c>
      <c r="H4077" s="15"/>
    </row>
    <row r="4078" customFormat="false" ht="15" hidden="false" customHeight="true" outlineLevel="0" collapsed="false">
      <c r="A4078" s="15" t="s">
        <v>452</v>
      </c>
      <c r="B4078" s="15" t="s">
        <v>453</v>
      </c>
      <c r="C4078" s="15" t="s">
        <v>1126</v>
      </c>
      <c r="D4078" s="15" t="s">
        <v>803</v>
      </c>
      <c r="E4078" s="15"/>
      <c r="F4078" s="15" t="s">
        <v>971</v>
      </c>
      <c r="G4078" s="15" t="s">
        <v>112</v>
      </c>
      <c r="H4078" s="15"/>
    </row>
    <row r="4079" customFormat="false" ht="15" hidden="false" customHeight="true" outlineLevel="0" collapsed="false">
      <c r="A4079" s="15" t="s">
        <v>452</v>
      </c>
      <c r="B4079" s="15" t="s">
        <v>453</v>
      </c>
      <c r="C4079" s="15" t="s">
        <v>854</v>
      </c>
      <c r="D4079" s="15" t="s">
        <v>1008</v>
      </c>
      <c r="E4079" s="15"/>
      <c r="F4079" s="15" t="s">
        <v>971</v>
      </c>
      <c r="G4079" s="15" t="s">
        <v>112</v>
      </c>
      <c r="H4079" s="15"/>
    </row>
    <row r="4080" customFormat="false" ht="15" hidden="false" customHeight="true" outlineLevel="0" collapsed="false">
      <c r="A4080" s="15" t="s">
        <v>452</v>
      </c>
      <c r="B4080" s="15" t="s">
        <v>453</v>
      </c>
      <c r="C4080" s="15" t="s">
        <v>848</v>
      </c>
      <c r="D4080" s="15" t="s">
        <v>849</v>
      </c>
      <c r="E4080" s="15"/>
      <c r="F4080" s="15" t="s">
        <v>971</v>
      </c>
      <c r="G4080" s="15" t="s">
        <v>112</v>
      </c>
      <c r="H4080" s="15"/>
    </row>
    <row r="4081" customFormat="false" ht="15" hidden="false" customHeight="true" outlineLevel="0" collapsed="false">
      <c r="A4081" s="15" t="s">
        <v>452</v>
      </c>
      <c r="B4081" s="15" t="s">
        <v>453</v>
      </c>
      <c r="C4081" s="15" t="s">
        <v>851</v>
      </c>
      <c r="D4081" s="15" t="s">
        <v>1127</v>
      </c>
      <c r="E4081" s="15"/>
      <c r="F4081" s="15" t="s">
        <v>971</v>
      </c>
      <c r="G4081" s="15" t="s">
        <v>293</v>
      </c>
      <c r="H4081" s="15"/>
    </row>
    <row r="4082" customFormat="false" ht="15" hidden="false" customHeight="true" outlineLevel="0" collapsed="false">
      <c r="A4082" s="15" t="s">
        <v>452</v>
      </c>
      <c r="B4082" s="15" t="s">
        <v>453</v>
      </c>
      <c r="C4082" s="15" t="s">
        <v>1134</v>
      </c>
      <c r="D4082" s="15" t="s">
        <v>1135</v>
      </c>
      <c r="E4082" s="15"/>
      <c r="F4082" s="15" t="s">
        <v>971</v>
      </c>
      <c r="G4082" s="15" t="s">
        <v>112</v>
      </c>
      <c r="H4082" s="15"/>
    </row>
    <row r="4083" customFormat="false" ht="15" hidden="false" customHeight="true" outlineLevel="0" collapsed="false">
      <c r="A4083" s="15" t="s">
        <v>452</v>
      </c>
      <c r="B4083" s="15" t="s">
        <v>453</v>
      </c>
      <c r="C4083" s="15" t="s">
        <v>1136</v>
      </c>
      <c r="D4083" s="15" t="s">
        <v>803</v>
      </c>
      <c r="E4083" s="15"/>
      <c r="F4083" s="15" t="s">
        <v>971</v>
      </c>
      <c r="G4083" s="15" t="s">
        <v>112</v>
      </c>
      <c r="H4083" s="15"/>
    </row>
    <row r="4084" customFormat="false" ht="15" hidden="false" customHeight="true" outlineLevel="0" collapsed="false">
      <c r="A4084" s="15" t="s">
        <v>455</v>
      </c>
      <c r="B4084" s="15" t="s">
        <v>456</v>
      </c>
      <c r="C4084" s="15" t="s">
        <v>1115</v>
      </c>
      <c r="D4084" s="15" t="s">
        <v>1116</v>
      </c>
      <c r="E4084" s="15"/>
      <c r="F4084" s="15" t="s">
        <v>971</v>
      </c>
      <c r="G4084" s="15" t="s">
        <v>112</v>
      </c>
      <c r="H4084" s="15"/>
    </row>
    <row r="4085" customFormat="false" ht="15" hidden="false" customHeight="true" outlineLevel="0" collapsed="false">
      <c r="A4085" s="15" t="s">
        <v>455</v>
      </c>
      <c r="B4085" s="15" t="s">
        <v>456</v>
      </c>
      <c r="C4085" s="15" t="s">
        <v>757</v>
      </c>
      <c r="D4085" s="15" t="s">
        <v>1091</v>
      </c>
      <c r="E4085" s="15"/>
      <c r="F4085" s="15" t="s">
        <v>971</v>
      </c>
      <c r="G4085" s="15" t="s">
        <v>112</v>
      </c>
      <c r="H4085" s="15"/>
    </row>
    <row r="4086" customFormat="false" ht="15" hidden="false" customHeight="true" outlineLevel="0" collapsed="false">
      <c r="A4086" s="15" t="s">
        <v>455</v>
      </c>
      <c r="B4086" s="15" t="s">
        <v>456</v>
      </c>
      <c r="C4086" s="15" t="s">
        <v>747</v>
      </c>
      <c r="D4086" s="15" t="s">
        <v>1100</v>
      </c>
      <c r="E4086" s="15"/>
      <c r="F4086" s="15" t="s">
        <v>971</v>
      </c>
      <c r="G4086" s="15" t="s">
        <v>112</v>
      </c>
      <c r="H4086" s="15"/>
    </row>
    <row r="4087" customFormat="false" ht="15" hidden="false" customHeight="true" outlineLevel="0" collapsed="false">
      <c r="A4087" s="15" t="s">
        <v>455</v>
      </c>
      <c r="B4087" s="15" t="s">
        <v>456</v>
      </c>
      <c r="C4087" s="15" t="s">
        <v>1118</v>
      </c>
      <c r="D4087" s="15" t="s">
        <v>1119</v>
      </c>
      <c r="E4087" s="15"/>
      <c r="F4087" s="15" t="s">
        <v>971</v>
      </c>
      <c r="G4087" s="15" t="s">
        <v>112</v>
      </c>
      <c r="H4087" s="15"/>
    </row>
    <row r="4088" customFormat="false" ht="15" hidden="false" customHeight="true" outlineLevel="0" collapsed="false">
      <c r="A4088" s="15" t="s">
        <v>455</v>
      </c>
      <c r="B4088" s="15" t="s">
        <v>456</v>
      </c>
      <c r="C4088" s="15" t="s">
        <v>1120</v>
      </c>
      <c r="D4088" s="15" t="s">
        <v>1129</v>
      </c>
      <c r="E4088" s="15"/>
      <c r="F4088" s="15" t="s">
        <v>971</v>
      </c>
      <c r="G4088" s="15" t="s">
        <v>112</v>
      </c>
      <c r="H4088" s="15"/>
    </row>
    <row r="4089" customFormat="false" ht="15" hidden="false" customHeight="true" outlineLevel="0" collapsed="false">
      <c r="A4089" s="15" t="s">
        <v>455</v>
      </c>
      <c r="B4089" s="15" t="s">
        <v>456</v>
      </c>
      <c r="C4089" s="15" t="s">
        <v>752</v>
      </c>
      <c r="D4089" s="15" t="s">
        <v>1132</v>
      </c>
      <c r="E4089" s="15"/>
      <c r="F4089" s="15" t="s">
        <v>971</v>
      </c>
      <c r="G4089" s="15" t="s">
        <v>112</v>
      </c>
      <c r="H4089" s="15"/>
    </row>
    <row r="4090" customFormat="false" ht="15" hidden="false" customHeight="true" outlineLevel="0" collapsed="false">
      <c r="A4090" s="15" t="s">
        <v>455</v>
      </c>
      <c r="B4090" s="15" t="s">
        <v>456</v>
      </c>
      <c r="C4090" s="15" t="s">
        <v>855</v>
      </c>
      <c r="D4090" s="15" t="s">
        <v>1123</v>
      </c>
      <c r="E4090" s="15"/>
      <c r="F4090" s="15" t="s">
        <v>971</v>
      </c>
      <c r="G4090" s="15" t="s">
        <v>112</v>
      </c>
      <c r="H4090" s="15"/>
    </row>
    <row r="4091" customFormat="false" ht="15" hidden="false" customHeight="true" outlineLevel="0" collapsed="false">
      <c r="A4091" s="15" t="s">
        <v>455</v>
      </c>
      <c r="B4091" s="15" t="s">
        <v>456</v>
      </c>
      <c r="C4091" s="15" t="s">
        <v>780</v>
      </c>
      <c r="D4091" s="15" t="s">
        <v>1124</v>
      </c>
      <c r="E4091" s="15"/>
      <c r="F4091" s="15" t="s">
        <v>971</v>
      </c>
      <c r="G4091" s="15" t="s">
        <v>112</v>
      </c>
      <c r="H4091" s="15"/>
    </row>
    <row r="4092" customFormat="false" ht="15" hidden="false" customHeight="true" outlineLevel="0" collapsed="false">
      <c r="A4092" s="15" t="s">
        <v>455</v>
      </c>
      <c r="B4092" s="15" t="s">
        <v>456</v>
      </c>
      <c r="C4092" s="15" t="s">
        <v>984</v>
      </c>
      <c r="D4092" s="15" t="s">
        <v>1125</v>
      </c>
      <c r="E4092" s="15"/>
      <c r="F4092" s="15" t="s">
        <v>971</v>
      </c>
      <c r="G4092" s="15" t="s">
        <v>112</v>
      </c>
      <c r="H4092" s="15"/>
    </row>
    <row r="4093" customFormat="false" ht="15" hidden="false" customHeight="true" outlineLevel="0" collapsed="false">
      <c r="A4093" s="15" t="s">
        <v>455</v>
      </c>
      <c r="B4093" s="15" t="s">
        <v>456</v>
      </c>
      <c r="C4093" s="15" t="s">
        <v>743</v>
      </c>
      <c r="D4093" s="15" t="s">
        <v>1131</v>
      </c>
      <c r="E4093" s="15"/>
      <c r="F4093" s="15" t="s">
        <v>971</v>
      </c>
      <c r="G4093" s="15" t="s">
        <v>112</v>
      </c>
      <c r="H4093" s="15"/>
    </row>
    <row r="4094" customFormat="false" ht="15" hidden="false" customHeight="true" outlineLevel="0" collapsed="false">
      <c r="A4094" s="15" t="s">
        <v>455</v>
      </c>
      <c r="B4094" s="15" t="s">
        <v>456</v>
      </c>
      <c r="C4094" s="15" t="s">
        <v>759</v>
      </c>
      <c r="D4094" s="15" t="s">
        <v>1133</v>
      </c>
      <c r="E4094" s="15"/>
      <c r="F4094" s="15" t="s">
        <v>971</v>
      </c>
      <c r="G4094" s="15" t="s">
        <v>112</v>
      </c>
      <c r="H4094" s="15"/>
    </row>
    <row r="4095" customFormat="false" ht="15" hidden="false" customHeight="true" outlineLevel="0" collapsed="false">
      <c r="A4095" s="15" t="s">
        <v>455</v>
      </c>
      <c r="B4095" s="15" t="s">
        <v>456</v>
      </c>
      <c r="C4095" s="15" t="s">
        <v>1126</v>
      </c>
      <c r="D4095" s="15" t="s">
        <v>803</v>
      </c>
      <c r="E4095" s="15"/>
      <c r="F4095" s="15" t="s">
        <v>971</v>
      </c>
      <c r="G4095" s="15" t="s">
        <v>112</v>
      </c>
      <c r="H4095" s="15"/>
    </row>
    <row r="4096" customFormat="false" ht="15" hidden="false" customHeight="true" outlineLevel="0" collapsed="false">
      <c r="A4096" s="15" t="s">
        <v>455</v>
      </c>
      <c r="B4096" s="15" t="s">
        <v>456</v>
      </c>
      <c r="C4096" s="15" t="s">
        <v>854</v>
      </c>
      <c r="D4096" s="15" t="s">
        <v>1008</v>
      </c>
      <c r="E4096" s="15"/>
      <c r="F4096" s="15" t="s">
        <v>971</v>
      </c>
      <c r="G4096" s="15" t="s">
        <v>112</v>
      </c>
      <c r="H4096" s="15"/>
    </row>
    <row r="4097" customFormat="false" ht="15" hidden="false" customHeight="true" outlineLevel="0" collapsed="false">
      <c r="A4097" s="15" t="s">
        <v>455</v>
      </c>
      <c r="B4097" s="15" t="s">
        <v>456</v>
      </c>
      <c r="C4097" s="15" t="s">
        <v>848</v>
      </c>
      <c r="D4097" s="15" t="s">
        <v>849</v>
      </c>
      <c r="E4097" s="15"/>
      <c r="F4097" s="15" t="s">
        <v>971</v>
      </c>
      <c r="G4097" s="15" t="s">
        <v>112</v>
      </c>
      <c r="H4097" s="15"/>
    </row>
    <row r="4098" customFormat="false" ht="15" hidden="false" customHeight="true" outlineLevel="0" collapsed="false">
      <c r="A4098" s="15" t="s">
        <v>455</v>
      </c>
      <c r="B4098" s="15" t="s">
        <v>456</v>
      </c>
      <c r="C4098" s="15" t="s">
        <v>851</v>
      </c>
      <c r="D4098" s="15" t="s">
        <v>860</v>
      </c>
      <c r="E4098" s="15"/>
      <c r="F4098" s="15" t="s">
        <v>971</v>
      </c>
      <c r="G4098" s="15" t="s">
        <v>112</v>
      </c>
      <c r="H4098" s="15"/>
    </row>
    <row r="4099" customFormat="false" ht="15" hidden="false" customHeight="true" outlineLevel="0" collapsed="false">
      <c r="A4099" s="15" t="s">
        <v>455</v>
      </c>
      <c r="B4099" s="15" t="s">
        <v>456</v>
      </c>
      <c r="C4099" s="15" t="s">
        <v>1134</v>
      </c>
      <c r="D4099" s="15" t="s">
        <v>1135</v>
      </c>
      <c r="E4099" s="15"/>
      <c r="F4099" s="15" t="s">
        <v>971</v>
      </c>
      <c r="G4099" s="15" t="s">
        <v>112</v>
      </c>
      <c r="H4099" s="15"/>
    </row>
    <row r="4100" customFormat="false" ht="15" hidden="false" customHeight="true" outlineLevel="0" collapsed="false">
      <c r="A4100" s="15" t="s">
        <v>455</v>
      </c>
      <c r="B4100" s="15" t="s">
        <v>456</v>
      </c>
      <c r="C4100" s="15" t="s">
        <v>1136</v>
      </c>
      <c r="D4100" s="15" t="s">
        <v>803</v>
      </c>
      <c r="E4100" s="15"/>
      <c r="F4100" s="15" t="s">
        <v>971</v>
      </c>
      <c r="G4100" s="15" t="s">
        <v>112</v>
      </c>
      <c r="H4100" s="15"/>
    </row>
    <row r="4101" customFormat="false" ht="15" hidden="false" customHeight="true" outlineLevel="0" collapsed="false">
      <c r="A4101" s="15" t="s">
        <v>455</v>
      </c>
      <c r="B4101" s="15" t="s">
        <v>456</v>
      </c>
      <c r="C4101" s="15" t="s">
        <v>1137</v>
      </c>
      <c r="D4101" s="15" t="s">
        <v>1138</v>
      </c>
      <c r="E4101" s="15"/>
      <c r="F4101" s="15" t="s">
        <v>971</v>
      </c>
      <c r="G4101" s="15" t="s">
        <v>112</v>
      </c>
      <c r="H4101" s="15"/>
    </row>
    <row r="4102" customFormat="false" ht="26.25" hidden="false" customHeight="true" outlineLevel="0" collapsed="false">
      <c r="A4102" s="15" t="s">
        <v>106</v>
      </c>
      <c r="B4102" s="15" t="s">
        <v>110</v>
      </c>
      <c r="C4102" s="15" t="s">
        <v>87</v>
      </c>
      <c r="D4102" s="15" t="s">
        <v>803</v>
      </c>
      <c r="E4102" s="15"/>
      <c r="F4102" s="15" t="s">
        <v>716</v>
      </c>
      <c r="G4102" s="15" t="s">
        <v>112</v>
      </c>
      <c r="H4102" s="15" t="s">
        <v>1139</v>
      </c>
    </row>
    <row r="4103" customFormat="false" ht="15" hidden="false" customHeight="true" outlineLevel="0" collapsed="false">
      <c r="A4103" s="15" t="s">
        <v>106</v>
      </c>
      <c r="B4103" s="15" t="s">
        <v>110</v>
      </c>
      <c r="C4103" s="15" t="s">
        <v>946</v>
      </c>
      <c r="D4103" s="15" t="s">
        <v>1140</v>
      </c>
      <c r="E4103" s="15"/>
      <c r="F4103" s="15" t="s">
        <v>716</v>
      </c>
      <c r="G4103" s="15" t="s">
        <v>112</v>
      </c>
      <c r="H4103" s="15" t="s">
        <v>1141</v>
      </c>
    </row>
    <row r="4104" customFormat="false" ht="26.25" hidden="false" customHeight="true" outlineLevel="0" collapsed="false">
      <c r="A4104" s="15" t="s">
        <v>162</v>
      </c>
      <c r="B4104" s="15" t="s">
        <v>163</v>
      </c>
      <c r="C4104" s="15" t="s">
        <v>87</v>
      </c>
      <c r="D4104" s="15" t="s">
        <v>803</v>
      </c>
      <c r="E4104" s="15"/>
      <c r="F4104" s="15" t="s">
        <v>716</v>
      </c>
      <c r="G4104" s="15" t="s">
        <v>112</v>
      </c>
      <c r="H4104" s="15" t="s">
        <v>1139</v>
      </c>
    </row>
    <row r="4105" customFormat="false" ht="15" hidden="false" customHeight="true" outlineLevel="0" collapsed="false">
      <c r="A4105" s="15" t="s">
        <v>162</v>
      </c>
      <c r="B4105" s="15" t="s">
        <v>163</v>
      </c>
      <c r="C4105" s="15" t="s">
        <v>946</v>
      </c>
      <c r="D4105" s="15" t="s">
        <v>1140</v>
      </c>
      <c r="E4105" s="15"/>
      <c r="F4105" s="15" t="s">
        <v>716</v>
      </c>
      <c r="G4105" s="15" t="s">
        <v>112</v>
      </c>
      <c r="H4105" s="15" t="s">
        <v>1141</v>
      </c>
    </row>
    <row r="4106" customFormat="false" ht="26.25" hidden="false" customHeight="true" outlineLevel="0" collapsed="false">
      <c r="A4106" s="15" t="s">
        <v>126</v>
      </c>
      <c r="B4106" s="15" t="s">
        <v>127</v>
      </c>
      <c r="C4106" s="15" t="s">
        <v>87</v>
      </c>
      <c r="D4106" s="15" t="s">
        <v>803</v>
      </c>
      <c r="E4106" s="15"/>
      <c r="F4106" s="15" t="s">
        <v>716</v>
      </c>
      <c r="G4106" s="15" t="s">
        <v>112</v>
      </c>
      <c r="H4106" s="15" t="s">
        <v>1139</v>
      </c>
    </row>
    <row r="4107" customFormat="false" ht="15" hidden="false" customHeight="true" outlineLevel="0" collapsed="false">
      <c r="A4107" s="15" t="s">
        <v>126</v>
      </c>
      <c r="B4107" s="15" t="s">
        <v>127</v>
      </c>
      <c r="C4107" s="15" t="s">
        <v>946</v>
      </c>
      <c r="D4107" s="15" t="s">
        <v>1140</v>
      </c>
      <c r="E4107" s="15"/>
      <c r="F4107" s="15" t="s">
        <v>716</v>
      </c>
      <c r="G4107" s="15" t="s">
        <v>112</v>
      </c>
      <c r="H4107" s="15" t="s">
        <v>1141</v>
      </c>
    </row>
    <row r="4108" customFormat="false" ht="26.25" hidden="false" customHeight="true" outlineLevel="0" collapsed="false">
      <c r="A4108" s="15" t="s">
        <v>167</v>
      </c>
      <c r="B4108" s="15" t="s">
        <v>168</v>
      </c>
      <c r="C4108" s="15" t="s">
        <v>87</v>
      </c>
      <c r="D4108" s="15" t="s">
        <v>803</v>
      </c>
      <c r="E4108" s="15"/>
      <c r="F4108" s="15" t="s">
        <v>716</v>
      </c>
      <c r="G4108" s="15" t="s">
        <v>112</v>
      </c>
      <c r="H4108" s="15" t="s">
        <v>1139</v>
      </c>
    </row>
    <row r="4109" customFormat="false" ht="15" hidden="false" customHeight="true" outlineLevel="0" collapsed="false">
      <c r="A4109" s="15" t="s">
        <v>167</v>
      </c>
      <c r="B4109" s="15" t="s">
        <v>168</v>
      </c>
      <c r="C4109" s="15" t="s">
        <v>946</v>
      </c>
      <c r="D4109" s="15" t="s">
        <v>1140</v>
      </c>
      <c r="E4109" s="15"/>
      <c r="F4109" s="15" t="s">
        <v>716</v>
      </c>
      <c r="G4109" s="15" t="s">
        <v>112</v>
      </c>
      <c r="H4109" s="15" t="s">
        <v>1141</v>
      </c>
    </row>
    <row r="4110" customFormat="false" ht="26.25" hidden="false" customHeight="true" outlineLevel="0" collapsed="false">
      <c r="A4110" s="15" t="s">
        <v>132</v>
      </c>
      <c r="B4110" s="15" t="s">
        <v>133</v>
      </c>
      <c r="C4110" s="15" t="s">
        <v>87</v>
      </c>
      <c r="D4110" s="15" t="s">
        <v>803</v>
      </c>
      <c r="E4110" s="15"/>
      <c r="F4110" s="15" t="s">
        <v>716</v>
      </c>
      <c r="G4110" s="15" t="s">
        <v>112</v>
      </c>
      <c r="H4110" s="15" t="s">
        <v>1139</v>
      </c>
    </row>
    <row r="4111" customFormat="false" ht="15" hidden="false" customHeight="true" outlineLevel="0" collapsed="false">
      <c r="A4111" s="15" t="s">
        <v>132</v>
      </c>
      <c r="B4111" s="15" t="s">
        <v>133</v>
      </c>
      <c r="C4111" s="15" t="s">
        <v>946</v>
      </c>
      <c r="D4111" s="15" t="s">
        <v>1140</v>
      </c>
      <c r="E4111" s="15"/>
      <c r="F4111" s="15" t="s">
        <v>716</v>
      </c>
      <c r="G4111" s="15" t="s">
        <v>112</v>
      </c>
      <c r="H4111" s="15" t="s">
        <v>1141</v>
      </c>
    </row>
    <row r="4112" customFormat="false" ht="26.25" hidden="false" customHeight="true" outlineLevel="0" collapsed="false">
      <c r="A4112" s="15" t="s">
        <v>170</v>
      </c>
      <c r="B4112" s="15" t="s">
        <v>171</v>
      </c>
      <c r="C4112" s="15" t="s">
        <v>87</v>
      </c>
      <c r="D4112" s="15" t="s">
        <v>803</v>
      </c>
      <c r="E4112" s="15"/>
      <c r="F4112" s="15" t="s">
        <v>716</v>
      </c>
      <c r="G4112" s="15" t="s">
        <v>112</v>
      </c>
      <c r="H4112" s="15" t="s">
        <v>1139</v>
      </c>
    </row>
    <row r="4113" customFormat="false" ht="15" hidden="false" customHeight="true" outlineLevel="0" collapsed="false">
      <c r="A4113" s="15" t="s">
        <v>170</v>
      </c>
      <c r="B4113" s="15" t="s">
        <v>171</v>
      </c>
      <c r="C4113" s="15" t="s">
        <v>946</v>
      </c>
      <c r="D4113" s="15" t="s">
        <v>1140</v>
      </c>
      <c r="E4113" s="15"/>
      <c r="F4113" s="15" t="s">
        <v>716</v>
      </c>
      <c r="G4113" s="15" t="s">
        <v>112</v>
      </c>
      <c r="H4113" s="15" t="s">
        <v>1141</v>
      </c>
    </row>
    <row r="4114" customFormat="false" ht="26.25" hidden="false" customHeight="true" outlineLevel="0" collapsed="false">
      <c r="A4114" s="15" t="s">
        <v>136</v>
      </c>
      <c r="B4114" s="15" t="s">
        <v>137</v>
      </c>
      <c r="C4114" s="15" t="s">
        <v>87</v>
      </c>
      <c r="D4114" s="15" t="s">
        <v>803</v>
      </c>
      <c r="E4114" s="15"/>
      <c r="F4114" s="15" t="s">
        <v>716</v>
      </c>
      <c r="G4114" s="15" t="s">
        <v>112</v>
      </c>
      <c r="H4114" s="15" t="s">
        <v>1139</v>
      </c>
    </row>
    <row r="4115" customFormat="false" ht="15" hidden="false" customHeight="true" outlineLevel="0" collapsed="false">
      <c r="A4115" s="15" t="s">
        <v>136</v>
      </c>
      <c r="B4115" s="15" t="s">
        <v>137</v>
      </c>
      <c r="C4115" s="15" t="s">
        <v>946</v>
      </c>
      <c r="D4115" s="15" t="s">
        <v>1140</v>
      </c>
      <c r="E4115" s="15"/>
      <c r="F4115" s="15" t="s">
        <v>716</v>
      </c>
      <c r="G4115" s="15" t="s">
        <v>112</v>
      </c>
      <c r="H4115" s="15" t="s">
        <v>1141</v>
      </c>
    </row>
    <row r="4116" customFormat="false" ht="26.25" hidden="false" customHeight="true" outlineLevel="0" collapsed="false">
      <c r="A4116" s="15" t="s">
        <v>173</v>
      </c>
      <c r="B4116" s="15" t="s">
        <v>174</v>
      </c>
      <c r="C4116" s="15" t="s">
        <v>87</v>
      </c>
      <c r="D4116" s="15" t="s">
        <v>803</v>
      </c>
      <c r="E4116" s="15"/>
      <c r="F4116" s="15" t="s">
        <v>716</v>
      </c>
      <c r="G4116" s="15" t="s">
        <v>112</v>
      </c>
      <c r="H4116" s="15" t="s">
        <v>1139</v>
      </c>
    </row>
    <row r="4117" customFormat="false" ht="15" hidden="false" customHeight="true" outlineLevel="0" collapsed="false">
      <c r="A4117" s="15" t="s">
        <v>173</v>
      </c>
      <c r="B4117" s="15" t="s">
        <v>174</v>
      </c>
      <c r="C4117" s="15" t="s">
        <v>946</v>
      </c>
      <c r="D4117" s="15" t="s">
        <v>1140</v>
      </c>
      <c r="E4117" s="15"/>
      <c r="F4117" s="15" t="s">
        <v>716</v>
      </c>
      <c r="G4117" s="15" t="s">
        <v>112</v>
      </c>
      <c r="H4117" s="15" t="s">
        <v>1141</v>
      </c>
    </row>
    <row r="4118" customFormat="false" ht="26.25" hidden="false" customHeight="true" outlineLevel="0" collapsed="false">
      <c r="A4118" s="15" t="s">
        <v>139</v>
      </c>
      <c r="B4118" s="15" t="s">
        <v>140</v>
      </c>
      <c r="C4118" s="15" t="s">
        <v>87</v>
      </c>
      <c r="D4118" s="15" t="s">
        <v>803</v>
      </c>
      <c r="E4118" s="15"/>
      <c r="F4118" s="15" t="s">
        <v>716</v>
      </c>
      <c r="G4118" s="15" t="s">
        <v>112</v>
      </c>
      <c r="H4118" s="15" t="s">
        <v>1139</v>
      </c>
    </row>
    <row r="4119" customFormat="false" ht="15" hidden="false" customHeight="true" outlineLevel="0" collapsed="false">
      <c r="A4119" s="15" t="s">
        <v>139</v>
      </c>
      <c r="B4119" s="15" t="s">
        <v>140</v>
      </c>
      <c r="C4119" s="15" t="s">
        <v>946</v>
      </c>
      <c r="D4119" s="15" t="s">
        <v>1140</v>
      </c>
      <c r="E4119" s="15"/>
      <c r="F4119" s="15" t="s">
        <v>716</v>
      </c>
      <c r="G4119" s="15" t="s">
        <v>112</v>
      </c>
      <c r="H4119" s="15" t="s">
        <v>1141</v>
      </c>
    </row>
    <row r="4120" customFormat="false" ht="26.25" hidden="false" customHeight="true" outlineLevel="0" collapsed="false">
      <c r="A4120" s="15" t="s">
        <v>180</v>
      </c>
      <c r="B4120" s="15" t="s">
        <v>181</v>
      </c>
      <c r="C4120" s="15" t="s">
        <v>87</v>
      </c>
      <c r="D4120" s="15" t="s">
        <v>803</v>
      </c>
      <c r="E4120" s="15"/>
      <c r="F4120" s="15" t="s">
        <v>716</v>
      </c>
      <c r="G4120" s="15" t="s">
        <v>112</v>
      </c>
      <c r="H4120" s="15" t="s">
        <v>1139</v>
      </c>
    </row>
    <row r="4121" customFormat="false" ht="15" hidden="false" customHeight="true" outlineLevel="0" collapsed="false">
      <c r="A4121" s="15" t="s">
        <v>180</v>
      </c>
      <c r="B4121" s="15" t="s">
        <v>181</v>
      </c>
      <c r="C4121" s="15" t="s">
        <v>946</v>
      </c>
      <c r="D4121" s="15" t="s">
        <v>1140</v>
      </c>
      <c r="E4121" s="15"/>
      <c r="F4121" s="15" t="s">
        <v>716</v>
      </c>
      <c r="G4121" s="15" t="s">
        <v>112</v>
      </c>
      <c r="H4121" s="15" t="s">
        <v>1141</v>
      </c>
    </row>
    <row r="4122" customFormat="false" ht="26.25" hidden="false" customHeight="true" outlineLevel="0" collapsed="false">
      <c r="A4122" s="15" t="s">
        <v>148</v>
      </c>
      <c r="B4122" s="15" t="s">
        <v>149</v>
      </c>
      <c r="C4122" s="15" t="s">
        <v>87</v>
      </c>
      <c r="D4122" s="15" t="s">
        <v>803</v>
      </c>
      <c r="E4122" s="15"/>
      <c r="F4122" s="15" t="s">
        <v>716</v>
      </c>
      <c r="G4122" s="15" t="s">
        <v>112</v>
      </c>
      <c r="H4122" s="15" t="s">
        <v>1139</v>
      </c>
    </row>
    <row r="4123" customFormat="false" ht="15" hidden="false" customHeight="true" outlineLevel="0" collapsed="false">
      <c r="A4123" s="15" t="s">
        <v>148</v>
      </c>
      <c r="B4123" s="15" t="s">
        <v>149</v>
      </c>
      <c r="C4123" s="15" t="s">
        <v>946</v>
      </c>
      <c r="D4123" s="15" t="s">
        <v>1140</v>
      </c>
      <c r="E4123" s="15"/>
      <c r="F4123" s="15" t="s">
        <v>716</v>
      </c>
      <c r="G4123" s="15" t="s">
        <v>112</v>
      </c>
      <c r="H4123" s="15" t="s">
        <v>1141</v>
      </c>
    </row>
    <row r="4124" customFormat="false" ht="26.25" hidden="false" customHeight="true" outlineLevel="0" collapsed="false">
      <c r="A4124" s="15" t="s">
        <v>183</v>
      </c>
      <c r="B4124" s="15" t="s">
        <v>184</v>
      </c>
      <c r="C4124" s="15" t="s">
        <v>87</v>
      </c>
      <c r="D4124" s="15" t="s">
        <v>803</v>
      </c>
      <c r="E4124" s="15"/>
      <c r="F4124" s="15" t="s">
        <v>716</v>
      </c>
      <c r="G4124" s="15" t="s">
        <v>112</v>
      </c>
      <c r="H4124" s="15" t="s">
        <v>1139</v>
      </c>
    </row>
    <row r="4125" customFormat="false" ht="15" hidden="false" customHeight="true" outlineLevel="0" collapsed="false">
      <c r="A4125" s="15" t="s">
        <v>183</v>
      </c>
      <c r="B4125" s="15" t="s">
        <v>184</v>
      </c>
      <c r="C4125" s="15" t="s">
        <v>946</v>
      </c>
      <c r="D4125" s="15" t="s">
        <v>1140</v>
      </c>
      <c r="E4125" s="15"/>
      <c r="F4125" s="15" t="s">
        <v>716</v>
      </c>
      <c r="G4125" s="15" t="s">
        <v>112</v>
      </c>
      <c r="H4125" s="15" t="s">
        <v>1141</v>
      </c>
    </row>
    <row r="4126" customFormat="false" ht="26.25" hidden="false" customHeight="true" outlineLevel="0" collapsed="false">
      <c r="A4126" s="15" t="s">
        <v>143</v>
      </c>
      <c r="B4126" s="15" t="s">
        <v>144</v>
      </c>
      <c r="C4126" s="15" t="s">
        <v>87</v>
      </c>
      <c r="D4126" s="15" t="s">
        <v>803</v>
      </c>
      <c r="E4126" s="15"/>
      <c r="F4126" s="15" t="s">
        <v>716</v>
      </c>
      <c r="G4126" s="15" t="s">
        <v>112</v>
      </c>
      <c r="H4126" s="15" t="s">
        <v>1139</v>
      </c>
    </row>
    <row r="4127" customFormat="false" ht="15" hidden="false" customHeight="true" outlineLevel="0" collapsed="false">
      <c r="A4127" s="15" t="s">
        <v>143</v>
      </c>
      <c r="B4127" s="15" t="s">
        <v>144</v>
      </c>
      <c r="C4127" s="15" t="s">
        <v>946</v>
      </c>
      <c r="D4127" s="15" t="s">
        <v>1140</v>
      </c>
      <c r="E4127" s="15"/>
      <c r="F4127" s="15" t="s">
        <v>716</v>
      </c>
      <c r="G4127" s="15" t="s">
        <v>112</v>
      </c>
      <c r="H4127" s="15" t="s">
        <v>1141</v>
      </c>
    </row>
    <row r="4128" customFormat="false" ht="26.25" hidden="false" customHeight="true" outlineLevel="0" collapsed="false">
      <c r="A4128" s="15" t="s">
        <v>176</v>
      </c>
      <c r="B4128" s="15" t="s">
        <v>177</v>
      </c>
      <c r="C4128" s="15" t="s">
        <v>87</v>
      </c>
      <c r="D4128" s="15" t="s">
        <v>803</v>
      </c>
      <c r="E4128" s="15"/>
      <c r="F4128" s="15" t="s">
        <v>716</v>
      </c>
      <c r="G4128" s="15" t="s">
        <v>112</v>
      </c>
      <c r="H4128" s="15" t="s">
        <v>1139</v>
      </c>
    </row>
    <row r="4129" customFormat="false" ht="15" hidden="false" customHeight="true" outlineLevel="0" collapsed="false">
      <c r="A4129" s="15" t="s">
        <v>176</v>
      </c>
      <c r="B4129" s="15" t="s">
        <v>177</v>
      </c>
      <c r="C4129" s="15" t="s">
        <v>946</v>
      </c>
      <c r="D4129" s="15" t="s">
        <v>1140</v>
      </c>
      <c r="E4129" s="15"/>
      <c r="F4129" s="15" t="s">
        <v>716</v>
      </c>
      <c r="G4129" s="15" t="s">
        <v>112</v>
      </c>
      <c r="H4129" s="15" t="s">
        <v>1141</v>
      </c>
    </row>
    <row r="4130" customFormat="false" ht="26.25" hidden="false" customHeight="true" outlineLevel="0" collapsed="false">
      <c r="A4130" s="15" t="s">
        <v>151</v>
      </c>
      <c r="B4130" s="15" t="s">
        <v>152</v>
      </c>
      <c r="C4130" s="15" t="s">
        <v>87</v>
      </c>
      <c r="D4130" s="15" t="s">
        <v>803</v>
      </c>
      <c r="E4130" s="15"/>
      <c r="F4130" s="15" t="s">
        <v>716</v>
      </c>
      <c r="G4130" s="15" t="s">
        <v>112</v>
      </c>
      <c r="H4130" s="15" t="s">
        <v>1139</v>
      </c>
    </row>
    <row r="4131" customFormat="false" ht="15" hidden="false" customHeight="true" outlineLevel="0" collapsed="false">
      <c r="A4131" s="15" t="s">
        <v>151</v>
      </c>
      <c r="B4131" s="15" t="s">
        <v>152</v>
      </c>
      <c r="C4131" s="15" t="s">
        <v>946</v>
      </c>
      <c r="D4131" s="15" t="s">
        <v>1140</v>
      </c>
      <c r="E4131" s="15"/>
      <c r="F4131" s="15" t="s">
        <v>716</v>
      </c>
      <c r="G4131" s="15" t="s">
        <v>112</v>
      </c>
      <c r="H4131" s="15" t="s">
        <v>1141</v>
      </c>
    </row>
    <row r="4132" customFormat="false" ht="26.25" hidden="false" customHeight="true" outlineLevel="0" collapsed="false">
      <c r="A4132" s="15" t="s">
        <v>186</v>
      </c>
      <c r="B4132" s="15" t="s">
        <v>187</v>
      </c>
      <c r="C4132" s="15" t="s">
        <v>87</v>
      </c>
      <c r="D4132" s="15" t="s">
        <v>803</v>
      </c>
      <c r="E4132" s="15"/>
      <c r="F4132" s="15" t="s">
        <v>716</v>
      </c>
      <c r="G4132" s="15" t="s">
        <v>112</v>
      </c>
      <c r="H4132" s="15" t="s">
        <v>1139</v>
      </c>
    </row>
    <row r="4133" customFormat="false" ht="15" hidden="false" customHeight="true" outlineLevel="0" collapsed="false">
      <c r="A4133" s="15" t="s">
        <v>186</v>
      </c>
      <c r="B4133" s="15" t="s">
        <v>187</v>
      </c>
      <c r="C4133" s="15" t="s">
        <v>946</v>
      </c>
      <c r="D4133" s="15" t="s">
        <v>1140</v>
      </c>
      <c r="E4133" s="15"/>
      <c r="F4133" s="15" t="s">
        <v>716</v>
      </c>
      <c r="G4133" s="15" t="s">
        <v>112</v>
      </c>
      <c r="H4133" s="15" t="s">
        <v>1141</v>
      </c>
    </row>
    <row r="4134" customFormat="false" ht="26.25" hidden="false" customHeight="true" outlineLevel="0" collapsed="false">
      <c r="A4134" s="15" t="s">
        <v>155</v>
      </c>
      <c r="B4134" s="15" t="s">
        <v>156</v>
      </c>
      <c r="C4134" s="15" t="s">
        <v>87</v>
      </c>
      <c r="D4134" s="15" t="s">
        <v>803</v>
      </c>
      <c r="E4134" s="15"/>
      <c r="F4134" s="15" t="s">
        <v>716</v>
      </c>
      <c r="G4134" s="15" t="s">
        <v>112</v>
      </c>
      <c r="H4134" s="15" t="s">
        <v>1139</v>
      </c>
    </row>
    <row r="4135" customFormat="false" ht="15" hidden="false" customHeight="true" outlineLevel="0" collapsed="false">
      <c r="A4135" s="15" t="s">
        <v>155</v>
      </c>
      <c r="B4135" s="15" t="s">
        <v>156</v>
      </c>
      <c r="C4135" s="15" t="s">
        <v>946</v>
      </c>
      <c r="D4135" s="15" t="s">
        <v>1140</v>
      </c>
      <c r="E4135" s="15"/>
      <c r="F4135" s="15" t="s">
        <v>716</v>
      </c>
      <c r="G4135" s="15" t="s">
        <v>112</v>
      </c>
      <c r="H4135" s="15" t="s">
        <v>1141</v>
      </c>
    </row>
    <row r="4136" customFormat="false" ht="26.25" hidden="false" customHeight="true" outlineLevel="0" collapsed="false">
      <c r="A4136" s="15" t="s">
        <v>189</v>
      </c>
      <c r="B4136" s="15" t="s">
        <v>190</v>
      </c>
      <c r="C4136" s="15" t="s">
        <v>87</v>
      </c>
      <c r="D4136" s="15" t="s">
        <v>803</v>
      </c>
      <c r="E4136" s="15"/>
      <c r="F4136" s="15" t="s">
        <v>716</v>
      </c>
      <c r="G4136" s="15" t="s">
        <v>112</v>
      </c>
      <c r="H4136" s="15" t="s">
        <v>1139</v>
      </c>
    </row>
    <row r="4137" customFormat="false" ht="15" hidden="false" customHeight="true" outlineLevel="0" collapsed="false">
      <c r="A4137" s="15" t="s">
        <v>189</v>
      </c>
      <c r="B4137" s="15" t="s">
        <v>190</v>
      </c>
      <c r="C4137" s="15" t="s">
        <v>946</v>
      </c>
      <c r="D4137" s="15" t="s">
        <v>1140</v>
      </c>
      <c r="E4137" s="15"/>
      <c r="F4137" s="15" t="s">
        <v>716</v>
      </c>
      <c r="G4137" s="15" t="s">
        <v>112</v>
      </c>
      <c r="H4137" s="15" t="s">
        <v>1141</v>
      </c>
    </row>
    <row r="4138" customFormat="false" ht="26.25" hidden="false" customHeight="true" outlineLevel="0" collapsed="false">
      <c r="A4138" s="15" t="s">
        <v>159</v>
      </c>
      <c r="B4138" s="15" t="s">
        <v>160</v>
      </c>
      <c r="C4138" s="15" t="s">
        <v>87</v>
      </c>
      <c r="D4138" s="15" t="s">
        <v>803</v>
      </c>
      <c r="E4138" s="15"/>
      <c r="F4138" s="15" t="s">
        <v>716</v>
      </c>
      <c r="G4138" s="15" t="s">
        <v>112</v>
      </c>
      <c r="H4138" s="15" t="s">
        <v>1139</v>
      </c>
    </row>
    <row r="4139" customFormat="false" ht="15" hidden="false" customHeight="true" outlineLevel="0" collapsed="false">
      <c r="A4139" s="15" t="s">
        <v>159</v>
      </c>
      <c r="B4139" s="15" t="s">
        <v>160</v>
      </c>
      <c r="C4139" s="15" t="s">
        <v>946</v>
      </c>
      <c r="D4139" s="15" t="s">
        <v>1140</v>
      </c>
      <c r="E4139" s="15"/>
      <c r="F4139" s="15" t="s">
        <v>716</v>
      </c>
      <c r="G4139" s="15" t="s">
        <v>112</v>
      </c>
      <c r="H4139" s="15" t="s">
        <v>1141</v>
      </c>
    </row>
    <row r="4140" customFormat="false" ht="26.25" hidden="false" customHeight="true" outlineLevel="0" collapsed="false">
      <c r="A4140" s="15" t="s">
        <v>192</v>
      </c>
      <c r="B4140" s="15" t="s">
        <v>193</v>
      </c>
      <c r="C4140" s="15" t="s">
        <v>87</v>
      </c>
      <c r="D4140" s="15" t="s">
        <v>803</v>
      </c>
      <c r="E4140" s="15"/>
      <c r="F4140" s="15" t="s">
        <v>716</v>
      </c>
      <c r="G4140" s="15" t="s">
        <v>112</v>
      </c>
      <c r="H4140" s="15" t="s">
        <v>1139</v>
      </c>
    </row>
    <row r="4141" customFormat="false" ht="26.25" hidden="false" customHeight="true" outlineLevel="0" collapsed="false">
      <c r="A4141" s="15" t="s">
        <v>192</v>
      </c>
      <c r="B4141" s="15" t="s">
        <v>193</v>
      </c>
      <c r="C4141" s="15" t="s">
        <v>946</v>
      </c>
      <c r="D4141" s="15" t="s">
        <v>1140</v>
      </c>
      <c r="E4141" s="15"/>
      <c r="F4141" s="15" t="s">
        <v>716</v>
      </c>
      <c r="G4141" s="15" t="s">
        <v>112</v>
      </c>
      <c r="H4141" s="15" t="s">
        <v>1141</v>
      </c>
    </row>
    <row r="4142" customFormat="false" ht="15" hidden="false" customHeight="true" outlineLevel="0" collapsed="false">
      <c r="A4142" s="15" t="s">
        <v>254</v>
      </c>
      <c r="B4142" s="15" t="s">
        <v>257</v>
      </c>
      <c r="C4142" s="15" t="s">
        <v>87</v>
      </c>
      <c r="D4142" s="15" t="s">
        <v>803</v>
      </c>
      <c r="E4142" s="15"/>
      <c r="F4142" s="15" t="s">
        <v>825</v>
      </c>
      <c r="G4142" s="15" t="s">
        <v>112</v>
      </c>
      <c r="H4142" s="15" t="s">
        <v>1142</v>
      </c>
    </row>
    <row r="4143" customFormat="false" ht="15" hidden="false" customHeight="true" outlineLevel="0" collapsed="false">
      <c r="A4143" s="15" t="s">
        <v>254</v>
      </c>
      <c r="B4143" s="15" t="s">
        <v>257</v>
      </c>
      <c r="C4143" s="15" t="s">
        <v>946</v>
      </c>
      <c r="D4143" s="15" t="s">
        <v>1143</v>
      </c>
      <c r="E4143" s="15"/>
      <c r="F4143" s="15" t="s">
        <v>825</v>
      </c>
      <c r="G4143" s="15" t="s">
        <v>112</v>
      </c>
      <c r="H4143" s="15" t="s">
        <v>1144</v>
      </c>
    </row>
    <row r="4144" customFormat="false" ht="15" hidden="false" customHeight="true" outlineLevel="0" collapsed="false">
      <c r="A4144" s="15" t="s">
        <v>278</v>
      </c>
      <c r="B4144" s="15" t="s">
        <v>279</v>
      </c>
      <c r="C4144" s="15" t="s">
        <v>87</v>
      </c>
      <c r="D4144" s="15" t="s">
        <v>803</v>
      </c>
      <c r="E4144" s="15"/>
      <c r="F4144" s="15" t="s">
        <v>825</v>
      </c>
      <c r="G4144" s="15" t="s">
        <v>112</v>
      </c>
      <c r="H4144" s="15" t="s">
        <v>1142</v>
      </c>
    </row>
    <row r="4145" customFormat="false" ht="15" hidden="false" customHeight="true" outlineLevel="0" collapsed="false">
      <c r="A4145" s="15" t="s">
        <v>278</v>
      </c>
      <c r="B4145" s="15" t="s">
        <v>279</v>
      </c>
      <c r="C4145" s="15" t="s">
        <v>946</v>
      </c>
      <c r="D4145" s="15" t="s">
        <v>1143</v>
      </c>
      <c r="E4145" s="15"/>
      <c r="F4145" s="15" t="s">
        <v>825</v>
      </c>
      <c r="G4145" s="15" t="s">
        <v>112</v>
      </c>
      <c r="H4145" s="15" t="s">
        <v>1144</v>
      </c>
    </row>
    <row r="4146" customFormat="false" ht="15" hidden="false" customHeight="true" outlineLevel="0" collapsed="false">
      <c r="A4146" s="15" t="s">
        <v>261</v>
      </c>
      <c r="B4146" s="15" t="s">
        <v>262</v>
      </c>
      <c r="C4146" s="15" t="s">
        <v>87</v>
      </c>
      <c r="D4146" s="15" t="s">
        <v>803</v>
      </c>
      <c r="E4146" s="15"/>
      <c r="F4146" s="15" t="s">
        <v>825</v>
      </c>
      <c r="G4146" s="15" t="s">
        <v>112</v>
      </c>
      <c r="H4146" s="15" t="s">
        <v>1142</v>
      </c>
    </row>
    <row r="4147" customFormat="false" ht="15" hidden="false" customHeight="true" outlineLevel="0" collapsed="false">
      <c r="A4147" s="15" t="s">
        <v>261</v>
      </c>
      <c r="B4147" s="15" t="s">
        <v>262</v>
      </c>
      <c r="C4147" s="15" t="s">
        <v>946</v>
      </c>
      <c r="D4147" s="15" t="s">
        <v>1143</v>
      </c>
      <c r="E4147" s="15"/>
      <c r="F4147" s="15" t="s">
        <v>825</v>
      </c>
      <c r="G4147" s="15" t="s">
        <v>112</v>
      </c>
      <c r="H4147" s="15" t="s">
        <v>1144</v>
      </c>
    </row>
    <row r="4148" customFormat="false" ht="15" hidden="false" customHeight="true" outlineLevel="0" collapsed="false">
      <c r="A4148" s="15" t="s">
        <v>291</v>
      </c>
      <c r="B4148" s="15" t="s">
        <v>292</v>
      </c>
      <c r="C4148" s="15" t="s">
        <v>87</v>
      </c>
      <c r="D4148" s="15" t="s">
        <v>803</v>
      </c>
      <c r="E4148" s="15"/>
      <c r="F4148" s="15" t="s">
        <v>825</v>
      </c>
      <c r="G4148" s="15" t="s">
        <v>112</v>
      </c>
      <c r="H4148" s="15" t="s">
        <v>1142</v>
      </c>
    </row>
    <row r="4149" customFormat="false" ht="15" hidden="false" customHeight="true" outlineLevel="0" collapsed="false">
      <c r="A4149" s="15" t="s">
        <v>291</v>
      </c>
      <c r="B4149" s="15" t="s">
        <v>292</v>
      </c>
      <c r="C4149" s="15" t="s">
        <v>946</v>
      </c>
      <c r="D4149" s="15" t="s">
        <v>1143</v>
      </c>
      <c r="E4149" s="15"/>
      <c r="F4149" s="15" t="s">
        <v>825</v>
      </c>
      <c r="G4149" s="15" t="s">
        <v>112</v>
      </c>
      <c r="H4149" s="15" t="s">
        <v>1144</v>
      </c>
    </row>
    <row r="4150" customFormat="false" ht="15" hidden="false" customHeight="true" outlineLevel="0" collapsed="false">
      <c r="A4150" s="15" t="s">
        <v>264</v>
      </c>
      <c r="B4150" s="15" t="s">
        <v>265</v>
      </c>
      <c r="C4150" s="15" t="s">
        <v>87</v>
      </c>
      <c r="D4150" s="15" t="s">
        <v>803</v>
      </c>
      <c r="E4150" s="15"/>
      <c r="F4150" s="15" t="s">
        <v>825</v>
      </c>
      <c r="G4150" s="15" t="s">
        <v>112</v>
      </c>
      <c r="H4150" s="15" t="s">
        <v>1142</v>
      </c>
    </row>
    <row r="4151" customFormat="false" ht="15" hidden="false" customHeight="true" outlineLevel="0" collapsed="false">
      <c r="A4151" s="15" t="s">
        <v>264</v>
      </c>
      <c r="B4151" s="15" t="s">
        <v>265</v>
      </c>
      <c r="C4151" s="15" t="s">
        <v>946</v>
      </c>
      <c r="D4151" s="15" t="s">
        <v>1143</v>
      </c>
      <c r="E4151" s="15"/>
      <c r="F4151" s="15" t="s">
        <v>825</v>
      </c>
      <c r="G4151" s="15" t="s">
        <v>112</v>
      </c>
      <c r="H4151" s="15" t="s">
        <v>1144</v>
      </c>
    </row>
    <row r="4152" customFormat="false" ht="15" hidden="false" customHeight="true" outlineLevel="0" collapsed="false">
      <c r="A4152" s="15" t="s">
        <v>282</v>
      </c>
      <c r="B4152" s="15" t="s">
        <v>283</v>
      </c>
      <c r="C4152" s="15" t="s">
        <v>87</v>
      </c>
      <c r="D4152" s="15" t="s">
        <v>803</v>
      </c>
      <c r="E4152" s="15"/>
      <c r="F4152" s="15" t="s">
        <v>825</v>
      </c>
      <c r="G4152" s="15" t="s">
        <v>112</v>
      </c>
      <c r="H4152" s="15" t="s">
        <v>1142</v>
      </c>
    </row>
    <row r="4153" customFormat="false" ht="15" hidden="false" customHeight="true" outlineLevel="0" collapsed="false">
      <c r="A4153" s="15" t="s">
        <v>282</v>
      </c>
      <c r="B4153" s="15" t="s">
        <v>283</v>
      </c>
      <c r="C4153" s="15" t="s">
        <v>946</v>
      </c>
      <c r="D4153" s="15" t="s">
        <v>1143</v>
      </c>
      <c r="E4153" s="15"/>
      <c r="F4153" s="15" t="s">
        <v>825</v>
      </c>
      <c r="G4153" s="15" t="s">
        <v>112</v>
      </c>
      <c r="H4153" s="15" t="s">
        <v>1144</v>
      </c>
    </row>
    <row r="4154" customFormat="false" ht="26.25" hidden="false" customHeight="true" outlineLevel="0" collapsed="false">
      <c r="A4154" s="15" t="s">
        <v>268</v>
      </c>
      <c r="B4154" s="15" t="s">
        <v>269</v>
      </c>
      <c r="C4154" s="15" t="s">
        <v>87</v>
      </c>
      <c r="D4154" s="15" t="s">
        <v>803</v>
      </c>
      <c r="E4154" s="15"/>
      <c r="F4154" s="15" t="s">
        <v>825</v>
      </c>
      <c r="G4154" s="15" t="s">
        <v>112</v>
      </c>
      <c r="H4154" s="15" t="s">
        <v>1142</v>
      </c>
    </row>
    <row r="4155" customFormat="false" ht="26.25" hidden="false" customHeight="true" outlineLevel="0" collapsed="false">
      <c r="A4155" s="15" t="s">
        <v>268</v>
      </c>
      <c r="B4155" s="15" t="s">
        <v>269</v>
      </c>
      <c r="C4155" s="15" t="s">
        <v>946</v>
      </c>
      <c r="D4155" s="15" t="s">
        <v>1143</v>
      </c>
      <c r="E4155" s="15"/>
      <c r="F4155" s="15" t="s">
        <v>825</v>
      </c>
      <c r="G4155" s="15" t="s">
        <v>112</v>
      </c>
      <c r="H4155" s="15" t="s">
        <v>1144</v>
      </c>
    </row>
    <row r="4156" customFormat="false" ht="26.25" hidden="false" customHeight="true" outlineLevel="0" collapsed="false">
      <c r="A4156" s="15" t="s">
        <v>296</v>
      </c>
      <c r="B4156" s="15" t="s">
        <v>297</v>
      </c>
      <c r="C4156" s="15" t="s">
        <v>87</v>
      </c>
      <c r="D4156" s="15" t="s">
        <v>803</v>
      </c>
      <c r="E4156" s="15"/>
      <c r="F4156" s="15" t="s">
        <v>825</v>
      </c>
      <c r="G4156" s="15" t="s">
        <v>112</v>
      </c>
      <c r="H4156" s="15" t="s">
        <v>1142</v>
      </c>
    </row>
    <row r="4157" customFormat="false" ht="26.25" hidden="false" customHeight="true" outlineLevel="0" collapsed="false">
      <c r="A4157" s="15" t="s">
        <v>296</v>
      </c>
      <c r="B4157" s="15" t="s">
        <v>297</v>
      </c>
      <c r="C4157" s="15" t="s">
        <v>946</v>
      </c>
      <c r="D4157" s="15" t="s">
        <v>1143</v>
      </c>
      <c r="E4157" s="15"/>
      <c r="F4157" s="15" t="s">
        <v>825</v>
      </c>
      <c r="G4157" s="15" t="s">
        <v>112</v>
      </c>
      <c r="H4157" s="15" t="s">
        <v>1144</v>
      </c>
    </row>
    <row r="4158" customFormat="false" ht="15" hidden="false" customHeight="true" outlineLevel="0" collapsed="false">
      <c r="A4158" s="15" t="s">
        <v>275</v>
      </c>
      <c r="B4158" s="15" t="s">
        <v>276</v>
      </c>
      <c r="C4158" s="15" t="s">
        <v>87</v>
      </c>
      <c r="D4158" s="15" t="s">
        <v>803</v>
      </c>
      <c r="E4158" s="15"/>
      <c r="F4158" s="15" t="s">
        <v>825</v>
      </c>
      <c r="G4158" s="15" t="s">
        <v>112</v>
      </c>
      <c r="H4158" s="15" t="s">
        <v>1142</v>
      </c>
    </row>
    <row r="4159" customFormat="false" ht="15" hidden="false" customHeight="true" outlineLevel="0" collapsed="false">
      <c r="A4159" s="15" t="s">
        <v>275</v>
      </c>
      <c r="B4159" s="15" t="s">
        <v>276</v>
      </c>
      <c r="C4159" s="15" t="s">
        <v>946</v>
      </c>
      <c r="D4159" s="15" t="s">
        <v>1143</v>
      </c>
      <c r="E4159" s="15"/>
      <c r="F4159" s="15" t="s">
        <v>825</v>
      </c>
      <c r="G4159" s="15" t="s">
        <v>112</v>
      </c>
      <c r="H4159" s="15" t="s">
        <v>1144</v>
      </c>
    </row>
    <row r="4160" customFormat="false" ht="26.25" hidden="false" customHeight="true" outlineLevel="0" collapsed="false">
      <c r="A4160" s="15" t="s">
        <v>289</v>
      </c>
      <c r="B4160" s="15" t="s">
        <v>249</v>
      </c>
      <c r="C4160" s="15" t="s">
        <v>87</v>
      </c>
      <c r="D4160" s="15" t="s">
        <v>803</v>
      </c>
      <c r="E4160" s="15"/>
      <c r="F4160" s="15" t="s">
        <v>825</v>
      </c>
      <c r="G4160" s="15" t="s">
        <v>112</v>
      </c>
      <c r="H4160" s="15" t="s">
        <v>1142</v>
      </c>
    </row>
    <row r="4161" customFormat="false" ht="26.25" hidden="false" customHeight="true" outlineLevel="0" collapsed="false">
      <c r="A4161" s="15" t="s">
        <v>289</v>
      </c>
      <c r="B4161" s="15" t="s">
        <v>249</v>
      </c>
      <c r="C4161" s="15" t="s">
        <v>946</v>
      </c>
      <c r="D4161" s="15" t="s">
        <v>1143</v>
      </c>
      <c r="E4161" s="15"/>
      <c r="F4161" s="15" t="s">
        <v>825</v>
      </c>
      <c r="G4161" s="15" t="s">
        <v>112</v>
      </c>
      <c r="H4161" s="15" t="s">
        <v>1144</v>
      </c>
    </row>
    <row r="4162" customFormat="false" ht="26.25" hidden="false" customHeight="true" outlineLevel="0" collapsed="false">
      <c r="A4162" s="15" t="s">
        <v>271</v>
      </c>
      <c r="B4162" s="15" t="s">
        <v>272</v>
      </c>
      <c r="C4162" s="15" t="s">
        <v>87</v>
      </c>
      <c r="D4162" s="15" t="s">
        <v>1145</v>
      </c>
      <c r="E4162" s="15"/>
      <c r="F4162" s="15" t="s">
        <v>825</v>
      </c>
      <c r="G4162" s="15" t="s">
        <v>293</v>
      </c>
      <c r="H4162" s="15" t="s">
        <v>1146</v>
      </c>
    </row>
    <row r="4163" customFormat="false" ht="15" hidden="false" customHeight="true" outlineLevel="0" collapsed="false">
      <c r="A4163" s="15" t="s">
        <v>271</v>
      </c>
      <c r="B4163" s="15" t="s">
        <v>272</v>
      </c>
      <c r="C4163" s="15" t="s">
        <v>946</v>
      </c>
      <c r="D4163" s="15" t="s">
        <v>1145</v>
      </c>
      <c r="E4163" s="15"/>
      <c r="F4163" s="15" t="s">
        <v>825</v>
      </c>
      <c r="G4163" s="15" t="s">
        <v>293</v>
      </c>
      <c r="H4163" s="15" t="s">
        <v>1147</v>
      </c>
    </row>
    <row r="4164" customFormat="false" ht="26.25" hidden="false" customHeight="true" outlineLevel="0" collapsed="false">
      <c r="A4164" s="15" t="s">
        <v>285</v>
      </c>
      <c r="B4164" s="15" t="s">
        <v>286</v>
      </c>
      <c r="C4164" s="15" t="s">
        <v>87</v>
      </c>
      <c r="D4164" s="15" t="s">
        <v>1145</v>
      </c>
      <c r="E4164" s="15"/>
      <c r="F4164" s="15" t="s">
        <v>825</v>
      </c>
      <c r="G4164" s="15" t="s">
        <v>293</v>
      </c>
      <c r="H4164" s="15" t="s">
        <v>1146</v>
      </c>
    </row>
    <row r="4165" customFormat="false" ht="15" hidden="false" customHeight="true" outlineLevel="0" collapsed="false">
      <c r="A4165" s="15" t="s">
        <v>285</v>
      </c>
      <c r="B4165" s="15" t="s">
        <v>286</v>
      </c>
      <c r="C4165" s="15" t="s">
        <v>946</v>
      </c>
      <c r="D4165" s="15" t="s">
        <v>1145</v>
      </c>
      <c r="E4165" s="15"/>
      <c r="F4165" s="15" t="s">
        <v>825</v>
      </c>
      <c r="G4165" s="15" t="s">
        <v>293</v>
      </c>
      <c r="H4165" s="15" t="s">
        <v>1147</v>
      </c>
    </row>
    <row r="4166" customFormat="false" ht="15" hidden="false" customHeight="true" outlineLevel="0" collapsed="false">
      <c r="A4166" s="15" t="s">
        <v>195</v>
      </c>
      <c r="B4166" s="15" t="s">
        <v>197</v>
      </c>
      <c r="C4166" s="15" t="s">
        <v>87</v>
      </c>
      <c r="D4166" s="15" t="s">
        <v>803</v>
      </c>
      <c r="E4166" s="15"/>
      <c r="F4166" s="15" t="s">
        <v>876</v>
      </c>
      <c r="G4166" s="15" t="s">
        <v>112</v>
      </c>
      <c r="H4166" s="15" t="s">
        <v>1142</v>
      </c>
    </row>
    <row r="4167" customFormat="false" ht="15" hidden="false" customHeight="true" outlineLevel="0" collapsed="false">
      <c r="A4167" s="15" t="s">
        <v>195</v>
      </c>
      <c r="B4167" s="15" t="s">
        <v>197</v>
      </c>
      <c r="C4167" s="15" t="s">
        <v>946</v>
      </c>
      <c r="D4167" s="15" t="s">
        <v>1143</v>
      </c>
      <c r="E4167" s="15"/>
      <c r="F4167" s="15" t="s">
        <v>876</v>
      </c>
      <c r="G4167" s="15" t="s">
        <v>112</v>
      </c>
      <c r="H4167" s="15" t="s">
        <v>1144</v>
      </c>
    </row>
    <row r="4168" customFormat="false" ht="26.25" hidden="false" customHeight="true" outlineLevel="0" collapsed="false">
      <c r="A4168" s="15" t="s">
        <v>234</v>
      </c>
      <c r="B4168" s="15" t="s">
        <v>235</v>
      </c>
      <c r="C4168" s="15" t="s">
        <v>87</v>
      </c>
      <c r="D4168" s="15" t="s">
        <v>803</v>
      </c>
      <c r="E4168" s="15"/>
      <c r="F4168" s="15" t="s">
        <v>876</v>
      </c>
      <c r="G4168" s="15" t="s">
        <v>112</v>
      </c>
      <c r="H4168" s="15" t="s">
        <v>1142</v>
      </c>
    </row>
    <row r="4169" customFormat="false" ht="26.25" hidden="false" customHeight="true" outlineLevel="0" collapsed="false">
      <c r="A4169" s="15" t="s">
        <v>234</v>
      </c>
      <c r="B4169" s="15" t="s">
        <v>235</v>
      </c>
      <c r="C4169" s="15" t="s">
        <v>946</v>
      </c>
      <c r="D4169" s="15" t="s">
        <v>1143</v>
      </c>
      <c r="E4169" s="15"/>
      <c r="F4169" s="15" t="s">
        <v>876</v>
      </c>
      <c r="G4169" s="15" t="s">
        <v>112</v>
      </c>
      <c r="H4169" s="15" t="s">
        <v>1144</v>
      </c>
    </row>
    <row r="4170" customFormat="false" ht="15" hidden="false" customHeight="true" outlineLevel="0" collapsed="false">
      <c r="A4170" s="15" t="s">
        <v>204</v>
      </c>
      <c r="B4170" s="15" t="s">
        <v>205</v>
      </c>
      <c r="C4170" s="15" t="s">
        <v>87</v>
      </c>
      <c r="D4170" s="15" t="s">
        <v>803</v>
      </c>
      <c r="E4170" s="15"/>
      <c r="F4170" s="15" t="s">
        <v>876</v>
      </c>
      <c r="G4170" s="15" t="s">
        <v>112</v>
      </c>
      <c r="H4170" s="15" t="s">
        <v>1142</v>
      </c>
    </row>
    <row r="4171" customFormat="false" ht="15" hidden="false" customHeight="true" outlineLevel="0" collapsed="false">
      <c r="A4171" s="15" t="s">
        <v>204</v>
      </c>
      <c r="B4171" s="15" t="s">
        <v>205</v>
      </c>
      <c r="C4171" s="15" t="s">
        <v>946</v>
      </c>
      <c r="D4171" s="15" t="s">
        <v>1143</v>
      </c>
      <c r="E4171" s="15"/>
      <c r="F4171" s="15" t="s">
        <v>876</v>
      </c>
      <c r="G4171" s="15" t="s">
        <v>112</v>
      </c>
      <c r="H4171" s="15" t="s">
        <v>1144</v>
      </c>
    </row>
    <row r="4172" customFormat="false" ht="26.25" hidden="false" customHeight="true" outlineLevel="0" collapsed="false">
      <c r="A4172" s="15" t="s">
        <v>238</v>
      </c>
      <c r="B4172" s="15" t="s">
        <v>239</v>
      </c>
      <c r="C4172" s="15" t="s">
        <v>87</v>
      </c>
      <c r="D4172" s="15" t="s">
        <v>803</v>
      </c>
      <c r="E4172" s="15"/>
      <c r="F4172" s="15" t="s">
        <v>876</v>
      </c>
      <c r="G4172" s="15" t="s">
        <v>112</v>
      </c>
      <c r="H4172" s="15" t="s">
        <v>1142</v>
      </c>
    </row>
    <row r="4173" customFormat="false" ht="26.25" hidden="false" customHeight="true" outlineLevel="0" collapsed="false">
      <c r="A4173" s="15" t="s">
        <v>238</v>
      </c>
      <c r="B4173" s="15" t="s">
        <v>239</v>
      </c>
      <c r="C4173" s="15" t="s">
        <v>946</v>
      </c>
      <c r="D4173" s="15" t="s">
        <v>1143</v>
      </c>
      <c r="E4173" s="15"/>
      <c r="F4173" s="15" t="s">
        <v>876</v>
      </c>
      <c r="G4173" s="15" t="s">
        <v>112</v>
      </c>
      <c r="H4173" s="15" t="s">
        <v>1144</v>
      </c>
    </row>
    <row r="4174" customFormat="false" ht="26.25" hidden="false" customHeight="true" outlineLevel="0" collapsed="false">
      <c r="A4174" s="15" t="s">
        <v>207</v>
      </c>
      <c r="B4174" s="15" t="s">
        <v>208</v>
      </c>
      <c r="C4174" s="15" t="s">
        <v>87</v>
      </c>
      <c r="D4174" s="15" t="s">
        <v>803</v>
      </c>
      <c r="E4174" s="15"/>
      <c r="F4174" s="15" t="s">
        <v>876</v>
      </c>
      <c r="G4174" s="15" t="s">
        <v>112</v>
      </c>
      <c r="H4174" s="15" t="s">
        <v>1142</v>
      </c>
    </row>
    <row r="4175" customFormat="false" ht="26.25" hidden="false" customHeight="true" outlineLevel="0" collapsed="false">
      <c r="A4175" s="15" t="s">
        <v>207</v>
      </c>
      <c r="B4175" s="15" t="s">
        <v>208</v>
      </c>
      <c r="C4175" s="15" t="s">
        <v>946</v>
      </c>
      <c r="D4175" s="15" t="s">
        <v>1143</v>
      </c>
      <c r="E4175" s="15"/>
      <c r="F4175" s="15" t="s">
        <v>876</v>
      </c>
      <c r="G4175" s="15" t="s">
        <v>112</v>
      </c>
      <c r="H4175" s="15" t="s">
        <v>1144</v>
      </c>
    </row>
    <row r="4176" customFormat="false" ht="26.25" hidden="false" customHeight="true" outlineLevel="0" collapsed="false">
      <c r="A4176" s="15" t="s">
        <v>245</v>
      </c>
      <c r="B4176" s="15" t="s">
        <v>246</v>
      </c>
      <c r="C4176" s="15" t="s">
        <v>87</v>
      </c>
      <c r="D4176" s="15" t="s">
        <v>803</v>
      </c>
      <c r="E4176" s="15"/>
      <c r="F4176" s="15" t="s">
        <v>876</v>
      </c>
      <c r="G4176" s="15" t="s">
        <v>112</v>
      </c>
      <c r="H4176" s="15" t="s">
        <v>1142</v>
      </c>
    </row>
    <row r="4177" customFormat="false" ht="26.25" hidden="false" customHeight="true" outlineLevel="0" collapsed="false">
      <c r="A4177" s="15" t="s">
        <v>245</v>
      </c>
      <c r="B4177" s="15" t="s">
        <v>246</v>
      </c>
      <c r="C4177" s="15" t="s">
        <v>946</v>
      </c>
      <c r="D4177" s="15" t="s">
        <v>1143</v>
      </c>
      <c r="E4177" s="15"/>
      <c r="F4177" s="15" t="s">
        <v>876</v>
      </c>
      <c r="G4177" s="15" t="s">
        <v>112</v>
      </c>
      <c r="H4177" s="15" t="s">
        <v>1144</v>
      </c>
    </row>
    <row r="4178" customFormat="false" ht="26.25" hidden="false" customHeight="true" outlineLevel="0" collapsed="false">
      <c r="A4178" s="15" t="s">
        <v>215</v>
      </c>
      <c r="B4178" s="15" t="s">
        <v>216</v>
      </c>
      <c r="C4178" s="15" t="s">
        <v>87</v>
      </c>
      <c r="D4178" s="15" t="s">
        <v>803</v>
      </c>
      <c r="E4178" s="15"/>
      <c r="F4178" s="15" t="s">
        <v>876</v>
      </c>
      <c r="G4178" s="15" t="s">
        <v>112</v>
      </c>
      <c r="H4178" s="15" t="s">
        <v>1142</v>
      </c>
    </row>
    <row r="4179" customFormat="false" ht="26.25" hidden="false" customHeight="true" outlineLevel="0" collapsed="false">
      <c r="A4179" s="15" t="s">
        <v>215</v>
      </c>
      <c r="B4179" s="15" t="s">
        <v>216</v>
      </c>
      <c r="C4179" s="15" t="s">
        <v>946</v>
      </c>
      <c r="D4179" s="15" t="s">
        <v>1143</v>
      </c>
      <c r="E4179" s="15"/>
      <c r="F4179" s="15" t="s">
        <v>876</v>
      </c>
      <c r="G4179" s="15" t="s">
        <v>112</v>
      </c>
      <c r="H4179" s="15" t="s">
        <v>1144</v>
      </c>
    </row>
    <row r="4180" customFormat="false" ht="26.25" hidden="false" customHeight="true" outlineLevel="0" collapsed="false">
      <c r="A4180" s="15" t="s">
        <v>241</v>
      </c>
      <c r="B4180" s="15" t="s">
        <v>242</v>
      </c>
      <c r="C4180" s="15" t="s">
        <v>87</v>
      </c>
      <c r="D4180" s="15" t="s">
        <v>803</v>
      </c>
      <c r="E4180" s="15"/>
      <c r="F4180" s="15" t="s">
        <v>876</v>
      </c>
      <c r="G4180" s="15" t="s">
        <v>112</v>
      </c>
      <c r="H4180" s="15" t="s">
        <v>1142</v>
      </c>
    </row>
    <row r="4181" customFormat="false" ht="26.25" hidden="false" customHeight="true" outlineLevel="0" collapsed="false">
      <c r="A4181" s="15" t="s">
        <v>241</v>
      </c>
      <c r="B4181" s="15" t="s">
        <v>242</v>
      </c>
      <c r="C4181" s="15" t="s">
        <v>946</v>
      </c>
      <c r="D4181" s="15" t="s">
        <v>1143</v>
      </c>
      <c r="E4181" s="15"/>
      <c r="F4181" s="15" t="s">
        <v>876</v>
      </c>
      <c r="G4181" s="15" t="s">
        <v>112</v>
      </c>
      <c r="H4181" s="15" t="s">
        <v>1144</v>
      </c>
    </row>
    <row r="4182" customFormat="false" ht="26.25" hidden="false" customHeight="true" outlineLevel="0" collapsed="false">
      <c r="A4182" s="15" t="s">
        <v>221</v>
      </c>
      <c r="B4182" s="15" t="s">
        <v>222</v>
      </c>
      <c r="C4182" s="15" t="s">
        <v>87</v>
      </c>
      <c r="D4182" s="15" t="s">
        <v>803</v>
      </c>
      <c r="E4182" s="15"/>
      <c r="F4182" s="15" t="s">
        <v>876</v>
      </c>
      <c r="G4182" s="15" t="s">
        <v>112</v>
      </c>
      <c r="H4182" s="15" t="s">
        <v>1142</v>
      </c>
    </row>
    <row r="4183" customFormat="false" ht="26.25" hidden="false" customHeight="true" outlineLevel="0" collapsed="false">
      <c r="A4183" s="15" t="s">
        <v>221</v>
      </c>
      <c r="B4183" s="15" t="s">
        <v>222</v>
      </c>
      <c r="C4183" s="15" t="s">
        <v>946</v>
      </c>
      <c r="D4183" s="15" t="s">
        <v>1143</v>
      </c>
      <c r="E4183" s="15"/>
      <c r="F4183" s="15" t="s">
        <v>876</v>
      </c>
      <c r="G4183" s="15" t="s">
        <v>112</v>
      </c>
      <c r="H4183" s="15" t="s">
        <v>1144</v>
      </c>
    </row>
    <row r="4184" customFormat="false" ht="26.25" hidden="false" customHeight="true" outlineLevel="0" collapsed="false">
      <c r="A4184" s="15" t="s">
        <v>248</v>
      </c>
      <c r="B4184" s="15" t="s">
        <v>249</v>
      </c>
      <c r="C4184" s="15" t="s">
        <v>87</v>
      </c>
      <c r="D4184" s="15" t="s">
        <v>803</v>
      </c>
      <c r="E4184" s="15"/>
      <c r="F4184" s="15" t="s">
        <v>876</v>
      </c>
      <c r="G4184" s="15" t="s">
        <v>112</v>
      </c>
      <c r="H4184" s="15" t="s">
        <v>1142</v>
      </c>
    </row>
    <row r="4185" customFormat="false" ht="26.25" hidden="false" customHeight="true" outlineLevel="0" collapsed="false">
      <c r="A4185" s="15" t="s">
        <v>248</v>
      </c>
      <c r="B4185" s="15" t="s">
        <v>249</v>
      </c>
      <c r="C4185" s="15" t="s">
        <v>946</v>
      </c>
      <c r="D4185" s="15" t="s">
        <v>1143</v>
      </c>
      <c r="E4185" s="15"/>
      <c r="F4185" s="15" t="s">
        <v>876</v>
      </c>
      <c r="G4185" s="15" t="s">
        <v>112</v>
      </c>
      <c r="H4185" s="15" t="s">
        <v>1144</v>
      </c>
    </row>
    <row r="4186" customFormat="false" ht="26.25" hidden="false" customHeight="true" outlineLevel="0" collapsed="false">
      <c r="A4186" s="15" t="s">
        <v>230</v>
      </c>
      <c r="B4186" s="15" t="s">
        <v>231</v>
      </c>
      <c r="C4186" s="15" t="s">
        <v>87</v>
      </c>
      <c r="D4186" s="15" t="s">
        <v>803</v>
      </c>
      <c r="E4186" s="15"/>
      <c r="F4186" s="15" t="s">
        <v>876</v>
      </c>
      <c r="G4186" s="15" t="s">
        <v>112</v>
      </c>
      <c r="H4186" s="15" t="s">
        <v>1142</v>
      </c>
    </row>
    <row r="4187" customFormat="false" ht="26.25" hidden="false" customHeight="true" outlineLevel="0" collapsed="false">
      <c r="A4187" s="15" t="s">
        <v>230</v>
      </c>
      <c r="B4187" s="15" t="s">
        <v>231</v>
      </c>
      <c r="C4187" s="15" t="s">
        <v>946</v>
      </c>
      <c r="D4187" s="15" t="s">
        <v>1143</v>
      </c>
      <c r="E4187" s="15"/>
      <c r="F4187" s="15" t="s">
        <v>876</v>
      </c>
      <c r="G4187" s="15" t="s">
        <v>112</v>
      </c>
      <c r="H4187" s="15" t="s">
        <v>1144</v>
      </c>
    </row>
    <row r="4188" customFormat="false" ht="26.25" hidden="false" customHeight="true" outlineLevel="0" collapsed="false">
      <c r="A4188" s="15" t="s">
        <v>251</v>
      </c>
      <c r="B4188" s="15" t="s">
        <v>252</v>
      </c>
      <c r="C4188" s="15" t="s">
        <v>87</v>
      </c>
      <c r="D4188" s="15" t="s">
        <v>803</v>
      </c>
      <c r="E4188" s="15"/>
      <c r="F4188" s="15" t="s">
        <v>876</v>
      </c>
      <c r="G4188" s="15" t="s">
        <v>112</v>
      </c>
      <c r="H4188" s="15" t="s">
        <v>1142</v>
      </c>
    </row>
    <row r="4189" customFormat="false" ht="26.25" hidden="false" customHeight="true" outlineLevel="0" collapsed="false">
      <c r="A4189" s="15" t="s">
        <v>251</v>
      </c>
      <c r="B4189" s="15" t="s">
        <v>252</v>
      </c>
      <c r="C4189" s="15" t="s">
        <v>946</v>
      </c>
      <c r="D4189" s="15" t="s">
        <v>1143</v>
      </c>
      <c r="E4189" s="15"/>
      <c r="F4189" s="15" t="s">
        <v>876</v>
      </c>
      <c r="G4189" s="15" t="s">
        <v>112</v>
      </c>
      <c r="H4189" s="15" t="s">
        <v>1144</v>
      </c>
    </row>
    <row r="4190" customFormat="false" ht="15" hidden="false" customHeight="true" outlineLevel="0" collapsed="false">
      <c r="A4190" s="15" t="s">
        <v>299</v>
      </c>
      <c r="B4190" s="15" t="s">
        <v>301</v>
      </c>
      <c r="C4190" s="15" t="s">
        <v>87</v>
      </c>
      <c r="D4190" s="15" t="s">
        <v>803</v>
      </c>
      <c r="E4190" s="15"/>
      <c r="F4190" s="15" t="s">
        <v>897</v>
      </c>
      <c r="G4190" s="15" t="s">
        <v>112</v>
      </c>
      <c r="H4190" s="15" t="s">
        <v>1148</v>
      </c>
    </row>
    <row r="4191" customFormat="false" ht="26.25" hidden="false" customHeight="true" outlineLevel="0" collapsed="false">
      <c r="A4191" s="15" t="s">
        <v>299</v>
      </c>
      <c r="B4191" s="15" t="s">
        <v>301</v>
      </c>
      <c r="C4191" s="15" t="s">
        <v>946</v>
      </c>
      <c r="D4191" s="15" t="s">
        <v>429</v>
      </c>
      <c r="E4191" s="15"/>
      <c r="F4191" s="15" t="s">
        <v>897</v>
      </c>
      <c r="G4191" s="15" t="s">
        <v>112</v>
      </c>
      <c r="H4191" s="15" t="s">
        <v>1149</v>
      </c>
    </row>
    <row r="4192" customFormat="false" ht="15" hidden="false" customHeight="true" outlineLevel="0" collapsed="false">
      <c r="A4192" s="15" t="s">
        <v>307</v>
      </c>
      <c r="B4192" s="15" t="s">
        <v>308</v>
      </c>
      <c r="C4192" s="15" t="s">
        <v>87</v>
      </c>
      <c r="D4192" s="15" t="s">
        <v>803</v>
      </c>
      <c r="E4192" s="15"/>
      <c r="F4192" s="15" t="s">
        <v>897</v>
      </c>
      <c r="G4192" s="15" t="s">
        <v>112</v>
      </c>
      <c r="H4192" s="15" t="s">
        <v>1148</v>
      </c>
    </row>
    <row r="4193" customFormat="false" ht="26.25" hidden="false" customHeight="true" outlineLevel="0" collapsed="false">
      <c r="A4193" s="15" t="s">
        <v>307</v>
      </c>
      <c r="B4193" s="15" t="s">
        <v>308</v>
      </c>
      <c r="C4193" s="15" t="s">
        <v>946</v>
      </c>
      <c r="D4193" s="15" t="s">
        <v>429</v>
      </c>
      <c r="E4193" s="15"/>
      <c r="F4193" s="15" t="s">
        <v>897</v>
      </c>
      <c r="G4193" s="15" t="s">
        <v>112</v>
      </c>
      <c r="H4193" s="15" t="s">
        <v>1149</v>
      </c>
    </row>
    <row r="4194" customFormat="false" ht="26.25" hidden="false" customHeight="true" outlineLevel="0" collapsed="false">
      <c r="A4194" s="15" t="s">
        <v>211</v>
      </c>
      <c r="B4194" s="15" t="s">
        <v>212</v>
      </c>
      <c r="C4194" s="15" t="s">
        <v>87</v>
      </c>
      <c r="D4194" s="15" t="s">
        <v>803</v>
      </c>
      <c r="E4194" s="15"/>
      <c r="F4194" s="15" t="s">
        <v>876</v>
      </c>
      <c r="G4194" s="15" t="s">
        <v>112</v>
      </c>
      <c r="H4194" s="15" t="s">
        <v>1142</v>
      </c>
    </row>
    <row r="4195" customFormat="false" ht="26.25" hidden="false" customHeight="true" outlineLevel="0" collapsed="false">
      <c r="A4195" s="15" t="s">
        <v>211</v>
      </c>
      <c r="B4195" s="15" t="s">
        <v>212</v>
      </c>
      <c r="C4195" s="15" t="s">
        <v>946</v>
      </c>
      <c r="D4195" s="15" t="s">
        <v>1143</v>
      </c>
      <c r="E4195" s="15"/>
      <c r="F4195" s="15" t="s">
        <v>876</v>
      </c>
      <c r="G4195" s="15" t="s">
        <v>112</v>
      </c>
      <c r="H4195" s="15" t="s">
        <v>1144</v>
      </c>
    </row>
    <row r="4196" customFormat="false" ht="26.25" hidden="false" customHeight="true" outlineLevel="0" collapsed="false">
      <c r="A4196" s="15" t="s">
        <v>218</v>
      </c>
      <c r="B4196" s="15" t="s">
        <v>219</v>
      </c>
      <c r="C4196" s="15" t="s">
        <v>87</v>
      </c>
      <c r="D4196" s="15" t="s">
        <v>803</v>
      </c>
      <c r="E4196" s="15"/>
      <c r="F4196" s="15" t="s">
        <v>876</v>
      </c>
      <c r="G4196" s="15" t="s">
        <v>112</v>
      </c>
      <c r="H4196" s="15" t="s">
        <v>1142</v>
      </c>
    </row>
    <row r="4197" customFormat="false" ht="26.25" hidden="false" customHeight="true" outlineLevel="0" collapsed="false">
      <c r="A4197" s="15" t="s">
        <v>218</v>
      </c>
      <c r="B4197" s="15" t="s">
        <v>219</v>
      </c>
      <c r="C4197" s="15" t="s">
        <v>946</v>
      </c>
      <c r="D4197" s="15" t="s">
        <v>1143</v>
      </c>
      <c r="E4197" s="15"/>
      <c r="F4197" s="15" t="s">
        <v>876</v>
      </c>
      <c r="G4197" s="15" t="s">
        <v>112</v>
      </c>
      <c r="H4197" s="15" t="s">
        <v>1144</v>
      </c>
    </row>
    <row r="4198" customFormat="false" ht="26.25" hidden="false" customHeight="true" outlineLevel="0" collapsed="false">
      <c r="A4198" s="15" t="s">
        <v>224</v>
      </c>
      <c r="B4198" s="15" t="s">
        <v>225</v>
      </c>
      <c r="C4198" s="15" t="s">
        <v>87</v>
      </c>
      <c r="D4198" s="15" t="s">
        <v>803</v>
      </c>
      <c r="E4198" s="15"/>
      <c r="F4198" s="15" t="s">
        <v>876</v>
      </c>
      <c r="G4198" s="15" t="s">
        <v>112</v>
      </c>
      <c r="H4198" s="15" t="s">
        <v>1142</v>
      </c>
    </row>
    <row r="4199" customFormat="false" ht="26.25" hidden="false" customHeight="true" outlineLevel="0" collapsed="false">
      <c r="A4199" s="15" t="s">
        <v>224</v>
      </c>
      <c r="B4199" s="15" t="s">
        <v>225</v>
      </c>
      <c r="C4199" s="15" t="s">
        <v>946</v>
      </c>
      <c r="D4199" s="15" t="s">
        <v>1143</v>
      </c>
      <c r="E4199" s="15"/>
      <c r="F4199" s="15" t="s">
        <v>876</v>
      </c>
      <c r="G4199" s="15" t="s">
        <v>112</v>
      </c>
      <c r="H4199" s="15" t="s">
        <v>1144</v>
      </c>
    </row>
    <row r="4200" customFormat="false" ht="26.25" hidden="false" customHeight="true" outlineLevel="0" collapsed="false">
      <c r="A4200" s="15" t="s">
        <v>227</v>
      </c>
      <c r="B4200" s="15" t="s">
        <v>228</v>
      </c>
      <c r="C4200" s="15" t="s">
        <v>87</v>
      </c>
      <c r="D4200" s="15" t="s">
        <v>803</v>
      </c>
      <c r="E4200" s="15"/>
      <c r="F4200" s="15" t="s">
        <v>876</v>
      </c>
      <c r="G4200" s="15" t="s">
        <v>112</v>
      </c>
      <c r="H4200" s="15" t="s">
        <v>1142</v>
      </c>
    </row>
    <row r="4201" customFormat="false" ht="26.25" hidden="false" customHeight="true" outlineLevel="0" collapsed="false">
      <c r="A4201" s="15" t="s">
        <v>227</v>
      </c>
      <c r="B4201" s="15" t="s">
        <v>228</v>
      </c>
      <c r="C4201" s="15" t="s">
        <v>946</v>
      </c>
      <c r="D4201" s="15" t="s">
        <v>1143</v>
      </c>
      <c r="E4201" s="15"/>
      <c r="F4201" s="15" t="s">
        <v>876</v>
      </c>
      <c r="G4201" s="15" t="s">
        <v>112</v>
      </c>
      <c r="H4201" s="15" t="s">
        <v>1144</v>
      </c>
    </row>
    <row r="4202" customFormat="false" ht="15" hidden="false" customHeight="true" outlineLevel="0" collapsed="false">
      <c r="A4202" s="15" t="s">
        <v>352</v>
      </c>
      <c r="B4202" s="15" t="s">
        <v>354</v>
      </c>
      <c r="C4202" s="15" t="s">
        <v>87</v>
      </c>
      <c r="D4202" s="15" t="s">
        <v>1150</v>
      </c>
      <c r="E4202" s="15"/>
      <c r="F4202" s="15" t="s">
        <v>934</v>
      </c>
      <c r="G4202" s="15" t="s">
        <v>112</v>
      </c>
      <c r="H4202" s="15" t="s">
        <v>1151</v>
      </c>
    </row>
    <row r="4203" customFormat="false" ht="15" hidden="false" customHeight="true" outlineLevel="0" collapsed="false">
      <c r="A4203" s="15" t="s">
        <v>359</v>
      </c>
      <c r="B4203" s="15" t="s">
        <v>360</v>
      </c>
      <c r="C4203" s="15" t="s">
        <v>87</v>
      </c>
      <c r="D4203" s="15" t="s">
        <v>1150</v>
      </c>
      <c r="E4203" s="15"/>
      <c r="F4203" s="15" t="s">
        <v>934</v>
      </c>
      <c r="G4203" s="15" t="s">
        <v>112</v>
      </c>
      <c r="H4203" s="15" t="s">
        <v>1151</v>
      </c>
    </row>
    <row r="4204" customFormat="false" ht="15" hidden="false" customHeight="true" outlineLevel="0" collapsed="false">
      <c r="A4204" s="15" t="s">
        <v>362</v>
      </c>
      <c r="B4204" s="15" t="s">
        <v>363</v>
      </c>
      <c r="C4204" s="15" t="s">
        <v>87</v>
      </c>
      <c r="D4204" s="15" t="s">
        <v>1150</v>
      </c>
      <c r="E4204" s="15"/>
      <c r="F4204" s="15" t="s">
        <v>934</v>
      </c>
      <c r="G4204" s="15" t="s">
        <v>112</v>
      </c>
      <c r="H4204" s="15" t="s">
        <v>1151</v>
      </c>
    </row>
    <row r="4205" customFormat="false" ht="15" hidden="false" customHeight="true" outlineLevel="0" collapsed="false">
      <c r="A4205" s="15" t="s">
        <v>365</v>
      </c>
      <c r="B4205" s="15" t="s">
        <v>366</v>
      </c>
      <c r="C4205" s="15" t="s">
        <v>87</v>
      </c>
      <c r="D4205" s="15" t="s">
        <v>1150</v>
      </c>
      <c r="E4205" s="15"/>
      <c r="F4205" s="15" t="s">
        <v>934</v>
      </c>
      <c r="G4205" s="15" t="s">
        <v>112</v>
      </c>
      <c r="H4205" s="15" t="s">
        <v>1151</v>
      </c>
    </row>
    <row r="4206" customFormat="false" ht="15" hidden="false" customHeight="true" outlineLevel="0" collapsed="false">
      <c r="A4206" s="15" t="s">
        <v>368</v>
      </c>
      <c r="B4206" s="15" t="s">
        <v>369</v>
      </c>
      <c r="C4206" s="15" t="s">
        <v>87</v>
      </c>
      <c r="D4206" s="15" t="s">
        <v>1150</v>
      </c>
      <c r="E4206" s="15"/>
      <c r="F4206" s="15" t="s">
        <v>934</v>
      </c>
      <c r="G4206" s="15" t="s">
        <v>112</v>
      </c>
      <c r="H4206" s="15" t="s">
        <v>1151</v>
      </c>
    </row>
    <row r="4207" customFormat="false" ht="15" hidden="false" customHeight="true" outlineLevel="0" collapsed="false">
      <c r="A4207" s="15" t="s">
        <v>371</v>
      </c>
      <c r="B4207" s="15" t="s">
        <v>372</v>
      </c>
      <c r="C4207" s="15" t="s">
        <v>87</v>
      </c>
      <c r="D4207" s="15" t="s">
        <v>1150</v>
      </c>
      <c r="E4207" s="15"/>
      <c r="F4207" s="15" t="s">
        <v>934</v>
      </c>
      <c r="G4207" s="15" t="s">
        <v>112</v>
      </c>
      <c r="H4207" s="15" t="s">
        <v>1151</v>
      </c>
    </row>
    <row r="4208" customFormat="false" ht="15" hidden="false" customHeight="true" outlineLevel="0" collapsed="false">
      <c r="A4208" s="15" t="s">
        <v>311</v>
      </c>
      <c r="B4208" s="15" t="s">
        <v>314</v>
      </c>
      <c r="C4208" s="15" t="s">
        <v>87</v>
      </c>
      <c r="D4208" s="15" t="s">
        <v>1150</v>
      </c>
      <c r="E4208" s="15"/>
      <c r="F4208" s="15" t="s">
        <v>978</v>
      </c>
      <c r="G4208" s="15" t="s">
        <v>112</v>
      </c>
      <c r="H4208" s="15" t="s">
        <v>1152</v>
      </c>
    </row>
    <row r="4209" customFormat="false" ht="15" hidden="false" customHeight="true" outlineLevel="0" collapsed="false">
      <c r="A4209" s="15" t="s">
        <v>311</v>
      </c>
      <c r="B4209" s="15" t="s">
        <v>314</v>
      </c>
      <c r="C4209" s="15" t="s">
        <v>946</v>
      </c>
      <c r="D4209" s="15" t="s">
        <v>429</v>
      </c>
      <c r="E4209" s="15"/>
      <c r="F4209" s="15" t="s">
        <v>971</v>
      </c>
      <c r="G4209" s="15" t="s">
        <v>112</v>
      </c>
      <c r="H4209" s="15" t="s">
        <v>1153</v>
      </c>
    </row>
    <row r="4210" customFormat="false" ht="15" hidden="false" customHeight="true" outlineLevel="0" collapsed="false">
      <c r="A4210" s="15" t="s">
        <v>320</v>
      </c>
      <c r="B4210" s="15" t="s">
        <v>321</v>
      </c>
      <c r="C4210" s="15" t="s">
        <v>87</v>
      </c>
      <c r="D4210" s="15" t="s">
        <v>1150</v>
      </c>
      <c r="E4210" s="15"/>
      <c r="F4210" s="15" t="s">
        <v>978</v>
      </c>
      <c r="G4210" s="15" t="s">
        <v>112</v>
      </c>
      <c r="H4210" s="15" t="s">
        <v>1152</v>
      </c>
    </row>
    <row r="4211" customFormat="false" ht="15" hidden="false" customHeight="true" outlineLevel="0" collapsed="false">
      <c r="A4211" s="15" t="s">
        <v>320</v>
      </c>
      <c r="B4211" s="15" t="s">
        <v>321</v>
      </c>
      <c r="C4211" s="15" t="s">
        <v>946</v>
      </c>
      <c r="D4211" s="15" t="s">
        <v>958</v>
      </c>
      <c r="E4211" s="15"/>
      <c r="F4211" s="15" t="s">
        <v>971</v>
      </c>
      <c r="G4211" s="15" t="s">
        <v>112</v>
      </c>
      <c r="H4211" s="15" t="s">
        <v>1154</v>
      </c>
    </row>
    <row r="4212" customFormat="false" ht="15" hidden="false" customHeight="true" outlineLevel="0" collapsed="false">
      <c r="A4212" s="15" t="s">
        <v>326</v>
      </c>
      <c r="B4212" s="15" t="s">
        <v>328</v>
      </c>
      <c r="C4212" s="15" t="s">
        <v>87</v>
      </c>
      <c r="D4212" s="15" t="s">
        <v>1150</v>
      </c>
      <c r="E4212" s="15"/>
      <c r="F4212" s="15" t="s">
        <v>971</v>
      </c>
      <c r="G4212" s="15" t="s">
        <v>112</v>
      </c>
      <c r="H4212" s="15" t="s">
        <v>1155</v>
      </c>
    </row>
    <row r="4213" customFormat="false" ht="15" hidden="false" customHeight="true" outlineLevel="0" collapsed="false">
      <c r="A4213" s="15" t="s">
        <v>332</v>
      </c>
      <c r="B4213" s="15" t="s">
        <v>333</v>
      </c>
      <c r="C4213" s="15" t="s">
        <v>87</v>
      </c>
      <c r="D4213" s="15" t="s">
        <v>1150</v>
      </c>
      <c r="E4213" s="15"/>
      <c r="F4213" s="15" t="s">
        <v>971</v>
      </c>
      <c r="G4213" s="15" t="s">
        <v>112</v>
      </c>
      <c r="H4213" s="15" t="s">
        <v>1155</v>
      </c>
    </row>
    <row r="4214" customFormat="false" ht="15" hidden="false" customHeight="true" outlineLevel="0" collapsed="false">
      <c r="A4214" s="15" t="s">
        <v>335</v>
      </c>
      <c r="B4214" s="15" t="s">
        <v>336</v>
      </c>
      <c r="C4214" s="15" t="s">
        <v>87</v>
      </c>
      <c r="D4214" s="15" t="s">
        <v>1150</v>
      </c>
      <c r="E4214" s="15"/>
      <c r="F4214" s="15" t="s">
        <v>971</v>
      </c>
      <c r="G4214" s="15" t="s">
        <v>112</v>
      </c>
      <c r="H4214" s="15" t="s">
        <v>1155</v>
      </c>
    </row>
    <row r="4215" customFormat="false" ht="15" hidden="false" customHeight="true" outlineLevel="0" collapsed="false">
      <c r="A4215" s="15" t="s">
        <v>338</v>
      </c>
      <c r="B4215" s="15" t="s">
        <v>339</v>
      </c>
      <c r="C4215" s="15" t="s">
        <v>87</v>
      </c>
      <c r="D4215" s="15" t="s">
        <v>1150</v>
      </c>
      <c r="E4215" s="15"/>
      <c r="F4215" s="15" t="s">
        <v>971</v>
      </c>
      <c r="G4215" s="15" t="s">
        <v>112</v>
      </c>
      <c r="H4215" s="15" t="s">
        <v>1155</v>
      </c>
    </row>
    <row r="4216" customFormat="false" ht="15" hidden="false" customHeight="true" outlineLevel="0" collapsed="false">
      <c r="A4216" s="15" t="s">
        <v>346</v>
      </c>
      <c r="B4216" s="15" t="s">
        <v>347</v>
      </c>
      <c r="C4216" s="15" t="s">
        <v>87</v>
      </c>
      <c r="D4216" s="15" t="s">
        <v>1150</v>
      </c>
      <c r="E4216" s="15"/>
      <c r="F4216" s="15" t="s">
        <v>971</v>
      </c>
      <c r="G4216" s="15" t="s">
        <v>112</v>
      </c>
      <c r="H4216" s="15" t="s">
        <v>1155</v>
      </c>
    </row>
    <row r="4217" customFormat="false" ht="26.25" hidden="false" customHeight="true" outlineLevel="0" collapsed="false">
      <c r="A4217" s="15" t="s">
        <v>341</v>
      </c>
      <c r="B4217" s="15" t="s">
        <v>342</v>
      </c>
      <c r="C4217" s="15" t="s">
        <v>87</v>
      </c>
      <c r="D4217" s="15" t="s">
        <v>1150</v>
      </c>
      <c r="E4217" s="15"/>
      <c r="F4217" s="15" t="s">
        <v>971</v>
      </c>
      <c r="G4217" s="15" t="s">
        <v>112</v>
      </c>
      <c r="H4217" s="15" t="s">
        <v>1155</v>
      </c>
    </row>
    <row r="4218" customFormat="false" ht="26.25" hidden="false" customHeight="true" outlineLevel="0" collapsed="false">
      <c r="A4218" s="15" t="s">
        <v>349</v>
      </c>
      <c r="B4218" s="15" t="s">
        <v>350</v>
      </c>
      <c r="C4218" s="15" t="s">
        <v>87</v>
      </c>
      <c r="D4218" s="15" t="s">
        <v>1150</v>
      </c>
      <c r="E4218" s="15"/>
      <c r="F4218" s="15" t="s">
        <v>971</v>
      </c>
      <c r="G4218" s="15" t="s">
        <v>112</v>
      </c>
      <c r="H4218" s="15" t="s">
        <v>1155</v>
      </c>
    </row>
    <row r="4219" customFormat="false" ht="15" hidden="false" customHeight="true" outlineLevel="0" collapsed="false">
      <c r="A4219" s="15" t="s">
        <v>398</v>
      </c>
      <c r="B4219" s="15" t="s">
        <v>400</v>
      </c>
      <c r="C4219" s="15" t="s">
        <v>87</v>
      </c>
      <c r="D4219" s="15" t="s">
        <v>1156</v>
      </c>
      <c r="E4219" s="15"/>
      <c r="F4219" s="15" t="s">
        <v>971</v>
      </c>
      <c r="G4219" s="15" t="s">
        <v>112</v>
      </c>
      <c r="H4219" s="15" t="s">
        <v>1157</v>
      </c>
    </row>
    <row r="4220" customFormat="false" ht="15" hidden="false" customHeight="true" outlineLevel="0" collapsed="false">
      <c r="A4220" s="15" t="s">
        <v>403</v>
      </c>
      <c r="B4220" s="15" t="s">
        <v>404</v>
      </c>
      <c r="C4220" s="15" t="s">
        <v>87</v>
      </c>
      <c r="D4220" s="15" t="s">
        <v>1156</v>
      </c>
      <c r="E4220" s="15"/>
      <c r="F4220" s="15" t="s">
        <v>971</v>
      </c>
      <c r="G4220" s="15" t="s">
        <v>112</v>
      </c>
      <c r="H4220" s="15" t="s">
        <v>1157</v>
      </c>
    </row>
    <row r="4221" customFormat="false" ht="15" hidden="false" customHeight="true" outlineLevel="0" collapsed="false">
      <c r="A4221" s="15" t="s">
        <v>406</v>
      </c>
      <c r="B4221" s="15" t="s">
        <v>407</v>
      </c>
      <c r="C4221" s="15" t="s">
        <v>87</v>
      </c>
      <c r="D4221" s="15" t="s">
        <v>1156</v>
      </c>
      <c r="E4221" s="15"/>
      <c r="F4221" s="15" t="s">
        <v>971</v>
      </c>
      <c r="G4221" s="15" t="s">
        <v>112</v>
      </c>
      <c r="H4221" s="15" t="s">
        <v>1157</v>
      </c>
    </row>
    <row r="4222" customFormat="false" ht="15" hidden="false" customHeight="true" outlineLevel="0" collapsed="false">
      <c r="A4222" s="15" t="s">
        <v>409</v>
      </c>
      <c r="B4222" s="15" t="s">
        <v>410</v>
      </c>
      <c r="C4222" s="15" t="s">
        <v>87</v>
      </c>
      <c r="D4222" s="15" t="s">
        <v>1156</v>
      </c>
      <c r="E4222" s="15"/>
      <c r="F4222" s="15" t="s">
        <v>971</v>
      </c>
      <c r="G4222" s="15" t="s">
        <v>112</v>
      </c>
      <c r="H4222" s="15" t="s">
        <v>1157</v>
      </c>
    </row>
    <row r="4223" customFormat="false" ht="15" hidden="false" customHeight="true" outlineLevel="0" collapsed="false">
      <c r="A4223" s="15" t="s">
        <v>412</v>
      </c>
      <c r="B4223" s="15" t="s">
        <v>413</v>
      </c>
      <c r="C4223" s="15" t="s">
        <v>87</v>
      </c>
      <c r="D4223" s="15" t="s">
        <v>1156</v>
      </c>
      <c r="E4223" s="15"/>
      <c r="F4223" s="15" t="s">
        <v>971</v>
      </c>
      <c r="G4223" s="15" t="s">
        <v>112</v>
      </c>
      <c r="H4223" s="15" t="s">
        <v>1157</v>
      </c>
    </row>
    <row r="4224" customFormat="false" ht="15" hidden="false" customHeight="true" outlineLevel="0" collapsed="false">
      <c r="A4224" s="15" t="s">
        <v>415</v>
      </c>
      <c r="B4224" s="15" t="s">
        <v>347</v>
      </c>
      <c r="C4224" s="15" t="s">
        <v>87</v>
      </c>
      <c r="D4224" s="15" t="s">
        <v>1156</v>
      </c>
      <c r="E4224" s="15"/>
      <c r="F4224" s="15" t="s">
        <v>971</v>
      </c>
      <c r="G4224" s="15" t="s">
        <v>112</v>
      </c>
      <c r="H4224" s="15" t="s">
        <v>1157</v>
      </c>
    </row>
    <row r="4225" customFormat="false" ht="15" hidden="false" customHeight="true" outlineLevel="0" collapsed="false">
      <c r="A4225" s="15" t="s">
        <v>417</v>
      </c>
      <c r="B4225" s="15" t="s">
        <v>418</v>
      </c>
      <c r="C4225" s="15" t="s">
        <v>87</v>
      </c>
      <c r="D4225" s="15" t="s">
        <v>1156</v>
      </c>
      <c r="E4225" s="15"/>
      <c r="F4225" s="15" t="s">
        <v>971</v>
      </c>
      <c r="G4225" s="15" t="s">
        <v>112</v>
      </c>
      <c r="H4225" s="15" t="s">
        <v>1157</v>
      </c>
    </row>
    <row r="4226" customFormat="false" ht="26.25" hidden="false" customHeight="true" outlineLevel="0" collapsed="false">
      <c r="A4226" s="15" t="s">
        <v>420</v>
      </c>
      <c r="B4226" s="15" t="s">
        <v>421</v>
      </c>
      <c r="C4226" s="15" t="s">
        <v>87</v>
      </c>
      <c r="D4226" s="15" t="s">
        <v>1156</v>
      </c>
      <c r="E4226" s="15"/>
      <c r="F4226" s="15" t="s">
        <v>971</v>
      </c>
      <c r="G4226" s="15" t="s">
        <v>112</v>
      </c>
      <c r="H4226" s="15" t="s">
        <v>1157</v>
      </c>
    </row>
    <row r="4227" customFormat="false" ht="15" hidden="false" customHeight="true" outlineLevel="0" collapsed="false">
      <c r="A4227" s="15" t="s">
        <v>423</v>
      </c>
      <c r="B4227" s="15" t="s">
        <v>426</v>
      </c>
      <c r="C4227" s="15" t="s">
        <v>946</v>
      </c>
      <c r="D4227" s="15" t="s">
        <v>429</v>
      </c>
      <c r="E4227" s="15"/>
      <c r="F4227" s="15" t="s">
        <v>971</v>
      </c>
      <c r="G4227" s="15" t="s">
        <v>112</v>
      </c>
      <c r="H4227" s="15" t="s">
        <v>1158</v>
      </c>
    </row>
    <row r="4228" customFormat="false" ht="15" hidden="false" customHeight="true" outlineLevel="0" collapsed="false">
      <c r="A4228" s="15" t="s">
        <v>432</v>
      </c>
      <c r="B4228" s="15" t="s">
        <v>433</v>
      </c>
      <c r="C4228" s="15" t="s">
        <v>946</v>
      </c>
      <c r="D4228" s="15" t="s">
        <v>429</v>
      </c>
      <c r="E4228" s="15"/>
      <c r="F4228" s="15" t="s">
        <v>971</v>
      </c>
      <c r="G4228" s="15" t="s">
        <v>112</v>
      </c>
      <c r="H4228" s="15" t="s">
        <v>1158</v>
      </c>
    </row>
    <row r="4229" customFormat="false" ht="15" hidden="false" customHeight="true" outlineLevel="0" collapsed="false">
      <c r="A4229" s="15" t="s">
        <v>435</v>
      </c>
      <c r="B4229" s="15" t="s">
        <v>436</v>
      </c>
      <c r="C4229" s="15" t="s">
        <v>946</v>
      </c>
      <c r="D4229" s="15" t="s">
        <v>429</v>
      </c>
      <c r="E4229" s="15"/>
      <c r="F4229" s="15" t="s">
        <v>971</v>
      </c>
      <c r="G4229" s="15" t="s">
        <v>112</v>
      </c>
      <c r="H4229" s="15" t="s">
        <v>1158</v>
      </c>
    </row>
    <row r="4230" customFormat="false" ht="15" hidden="false" customHeight="true" outlineLevel="0" collapsed="false">
      <c r="A4230" s="15" t="s">
        <v>439</v>
      </c>
      <c r="B4230" s="15" t="s">
        <v>440</v>
      </c>
      <c r="C4230" s="15" t="s">
        <v>946</v>
      </c>
      <c r="D4230" s="15" t="s">
        <v>429</v>
      </c>
      <c r="E4230" s="15"/>
      <c r="F4230" s="15" t="s">
        <v>971</v>
      </c>
      <c r="G4230" s="15" t="s">
        <v>112</v>
      </c>
      <c r="H4230" s="15" t="s">
        <v>1158</v>
      </c>
    </row>
    <row r="4231" customFormat="false" ht="26.25" hidden="false" customHeight="true" outlineLevel="0" collapsed="false">
      <c r="A4231" s="15" t="s">
        <v>443</v>
      </c>
      <c r="B4231" s="15" t="s">
        <v>446</v>
      </c>
      <c r="C4231" s="15" t="s">
        <v>87</v>
      </c>
      <c r="D4231" s="15" t="s">
        <v>429</v>
      </c>
      <c r="E4231" s="15"/>
      <c r="F4231" s="15" t="s">
        <v>971</v>
      </c>
      <c r="G4231" s="15" t="s">
        <v>112</v>
      </c>
      <c r="H4231" s="15" t="s">
        <v>1159</v>
      </c>
    </row>
    <row r="4232" customFormat="false" ht="15" hidden="false" customHeight="true" outlineLevel="0" collapsed="false">
      <c r="A4232" s="15" t="s">
        <v>443</v>
      </c>
      <c r="B4232" s="15" t="s">
        <v>446</v>
      </c>
      <c r="C4232" s="15" t="s">
        <v>946</v>
      </c>
      <c r="D4232" s="15" t="s">
        <v>429</v>
      </c>
      <c r="E4232" s="15"/>
      <c r="F4232" s="15" t="s">
        <v>971</v>
      </c>
      <c r="G4232" s="15" t="s">
        <v>112</v>
      </c>
      <c r="H4232" s="15" t="s">
        <v>1158</v>
      </c>
    </row>
    <row r="4233" customFormat="false" ht="26.25" hidden="false" customHeight="true" outlineLevel="0" collapsed="false">
      <c r="A4233" s="15" t="s">
        <v>449</v>
      </c>
      <c r="B4233" s="15" t="s">
        <v>450</v>
      </c>
      <c r="C4233" s="15" t="s">
        <v>87</v>
      </c>
      <c r="D4233" s="15" t="s">
        <v>429</v>
      </c>
      <c r="E4233" s="15"/>
      <c r="F4233" s="15" t="s">
        <v>971</v>
      </c>
      <c r="G4233" s="15" t="s">
        <v>112</v>
      </c>
      <c r="H4233" s="15" t="s">
        <v>1159</v>
      </c>
    </row>
    <row r="4234" customFormat="false" ht="15" hidden="false" customHeight="true" outlineLevel="0" collapsed="false">
      <c r="A4234" s="15" t="s">
        <v>449</v>
      </c>
      <c r="B4234" s="15" t="s">
        <v>450</v>
      </c>
      <c r="C4234" s="15" t="s">
        <v>946</v>
      </c>
      <c r="D4234" s="15" t="s">
        <v>429</v>
      </c>
      <c r="E4234" s="15"/>
      <c r="F4234" s="15" t="s">
        <v>971</v>
      </c>
      <c r="G4234" s="15" t="s">
        <v>112</v>
      </c>
      <c r="H4234" s="15" t="s">
        <v>1158</v>
      </c>
    </row>
    <row r="4235" customFormat="false" ht="26.25" hidden="false" customHeight="true" outlineLevel="0" collapsed="false">
      <c r="A4235" s="15" t="s">
        <v>452</v>
      </c>
      <c r="B4235" s="15" t="s">
        <v>453</v>
      </c>
      <c r="C4235" s="15" t="s">
        <v>87</v>
      </c>
      <c r="D4235" s="15" t="s">
        <v>429</v>
      </c>
      <c r="E4235" s="15"/>
      <c r="F4235" s="15" t="s">
        <v>971</v>
      </c>
      <c r="G4235" s="15" t="s">
        <v>112</v>
      </c>
      <c r="H4235" s="15" t="s">
        <v>1159</v>
      </c>
    </row>
    <row r="4236" customFormat="false" ht="15" hidden="false" customHeight="true" outlineLevel="0" collapsed="false">
      <c r="A4236" s="15" t="s">
        <v>452</v>
      </c>
      <c r="B4236" s="15" t="s">
        <v>453</v>
      </c>
      <c r="C4236" s="15" t="s">
        <v>946</v>
      </c>
      <c r="D4236" s="15" t="s">
        <v>429</v>
      </c>
      <c r="E4236" s="15"/>
      <c r="F4236" s="15" t="s">
        <v>971</v>
      </c>
      <c r="G4236" s="15" t="s">
        <v>112</v>
      </c>
      <c r="H4236" s="15" t="s">
        <v>1158</v>
      </c>
    </row>
    <row r="4237" customFormat="false" ht="26.25" hidden="false" customHeight="true" outlineLevel="0" collapsed="false">
      <c r="A4237" s="15" t="s">
        <v>455</v>
      </c>
      <c r="B4237" s="15" t="s">
        <v>456</v>
      </c>
      <c r="C4237" s="15" t="s">
        <v>87</v>
      </c>
      <c r="D4237" s="15" t="s">
        <v>429</v>
      </c>
      <c r="E4237" s="15"/>
      <c r="F4237" s="15" t="s">
        <v>971</v>
      </c>
      <c r="G4237" s="15" t="s">
        <v>112</v>
      </c>
      <c r="H4237" s="15" t="s">
        <v>1159</v>
      </c>
    </row>
    <row r="4238" customFormat="false" ht="15" hidden="false" customHeight="true" outlineLevel="0" collapsed="false">
      <c r="A4238" s="15" t="s">
        <v>455</v>
      </c>
      <c r="B4238" s="15" t="s">
        <v>456</v>
      </c>
      <c r="C4238" s="15" t="s">
        <v>946</v>
      </c>
      <c r="D4238" s="15" t="s">
        <v>429</v>
      </c>
      <c r="E4238" s="15"/>
      <c r="F4238" s="15" t="s">
        <v>971</v>
      </c>
      <c r="G4238" s="15" t="s">
        <v>112</v>
      </c>
      <c r="H4238" s="15" t="s">
        <v>1158</v>
      </c>
    </row>
    <row r="4239" customFormat="false" ht="26.25" hidden="false" customHeight="true" outlineLevel="0" collapsed="false">
      <c r="A4239" s="15" t="s">
        <v>106</v>
      </c>
      <c r="B4239" s="15" t="s">
        <v>110</v>
      </c>
      <c r="C4239" s="15" t="s">
        <v>1160</v>
      </c>
      <c r="D4239" s="15" t="s">
        <v>1161</v>
      </c>
      <c r="E4239" s="15"/>
      <c r="F4239" s="15" t="s">
        <v>1162</v>
      </c>
      <c r="G4239" s="15" t="s">
        <v>293</v>
      </c>
      <c r="H4239" s="15" t="s">
        <v>1163</v>
      </c>
    </row>
    <row r="4240" customFormat="false" ht="26.25" hidden="false" customHeight="true" outlineLevel="0" collapsed="false">
      <c r="A4240" s="15" t="s">
        <v>106</v>
      </c>
      <c r="B4240" s="15" t="s">
        <v>110</v>
      </c>
      <c r="C4240" s="15" t="s">
        <v>1164</v>
      </c>
      <c r="D4240" s="15" t="s">
        <v>1165</v>
      </c>
      <c r="E4240" s="15"/>
      <c r="F4240" s="15" t="s">
        <v>1162</v>
      </c>
      <c r="G4240" s="15" t="s">
        <v>293</v>
      </c>
      <c r="H4240" s="15" t="s">
        <v>1166</v>
      </c>
    </row>
    <row r="4241" customFormat="false" ht="15" hidden="false" customHeight="true" outlineLevel="0" collapsed="false">
      <c r="A4241" s="15" t="s">
        <v>106</v>
      </c>
      <c r="B4241" s="15" t="s">
        <v>110</v>
      </c>
      <c r="C4241" s="15" t="s">
        <v>1167</v>
      </c>
      <c r="D4241" s="15" t="s">
        <v>1168</v>
      </c>
      <c r="E4241" s="15"/>
      <c r="F4241" s="15" t="s">
        <v>1162</v>
      </c>
      <c r="G4241" s="15" t="s">
        <v>293</v>
      </c>
      <c r="H4241" s="15" t="s">
        <v>1169</v>
      </c>
    </row>
    <row r="4242" customFormat="false" ht="26.25" hidden="false" customHeight="true" outlineLevel="0" collapsed="false">
      <c r="A4242" s="15" t="s">
        <v>106</v>
      </c>
      <c r="B4242" s="15" t="s">
        <v>110</v>
      </c>
      <c r="C4242" s="15" t="s">
        <v>1170</v>
      </c>
      <c r="D4242" s="15" t="s">
        <v>1171</v>
      </c>
      <c r="E4242" s="15"/>
      <c r="F4242" s="15" t="s">
        <v>1162</v>
      </c>
      <c r="G4242" s="15" t="s">
        <v>293</v>
      </c>
      <c r="H4242" s="15" t="s">
        <v>1172</v>
      </c>
    </row>
    <row r="4243" customFormat="false" ht="26.25" hidden="false" customHeight="true" outlineLevel="0" collapsed="false">
      <c r="A4243" s="15" t="s">
        <v>162</v>
      </c>
      <c r="B4243" s="15" t="s">
        <v>163</v>
      </c>
      <c r="C4243" s="15" t="s">
        <v>1160</v>
      </c>
      <c r="D4243" s="15" t="s">
        <v>1161</v>
      </c>
      <c r="E4243" s="15"/>
      <c r="F4243" s="15" t="s">
        <v>1162</v>
      </c>
      <c r="G4243" s="15" t="s">
        <v>293</v>
      </c>
      <c r="H4243" s="15" t="s">
        <v>1163</v>
      </c>
    </row>
    <row r="4244" customFormat="false" ht="26.25" hidden="false" customHeight="true" outlineLevel="0" collapsed="false">
      <c r="A4244" s="15" t="s">
        <v>162</v>
      </c>
      <c r="B4244" s="15" t="s">
        <v>163</v>
      </c>
      <c r="C4244" s="15" t="s">
        <v>1164</v>
      </c>
      <c r="D4244" s="15" t="s">
        <v>1165</v>
      </c>
      <c r="E4244" s="15"/>
      <c r="F4244" s="15" t="s">
        <v>1162</v>
      </c>
      <c r="G4244" s="15" t="s">
        <v>293</v>
      </c>
      <c r="H4244" s="15" t="s">
        <v>1166</v>
      </c>
    </row>
    <row r="4245" customFormat="false" ht="15" hidden="false" customHeight="true" outlineLevel="0" collapsed="false">
      <c r="A4245" s="15" t="s">
        <v>162</v>
      </c>
      <c r="B4245" s="15" t="s">
        <v>163</v>
      </c>
      <c r="C4245" s="15" t="s">
        <v>1167</v>
      </c>
      <c r="D4245" s="15" t="s">
        <v>1168</v>
      </c>
      <c r="E4245" s="15"/>
      <c r="F4245" s="15" t="s">
        <v>1162</v>
      </c>
      <c r="G4245" s="15" t="s">
        <v>293</v>
      </c>
      <c r="H4245" s="15" t="s">
        <v>1169</v>
      </c>
    </row>
    <row r="4246" customFormat="false" ht="26.25" hidden="false" customHeight="true" outlineLevel="0" collapsed="false">
      <c r="A4246" s="15" t="s">
        <v>162</v>
      </c>
      <c r="B4246" s="15" t="s">
        <v>163</v>
      </c>
      <c r="C4246" s="15" t="s">
        <v>1170</v>
      </c>
      <c r="D4246" s="15" t="s">
        <v>1171</v>
      </c>
      <c r="E4246" s="15"/>
      <c r="F4246" s="15" t="s">
        <v>1162</v>
      </c>
      <c r="G4246" s="15" t="s">
        <v>293</v>
      </c>
      <c r="H4246" s="15" t="s">
        <v>1172</v>
      </c>
    </row>
    <row r="4247" customFormat="false" ht="26.25" hidden="false" customHeight="true" outlineLevel="0" collapsed="false">
      <c r="A4247" s="15" t="s">
        <v>126</v>
      </c>
      <c r="B4247" s="15" t="s">
        <v>127</v>
      </c>
      <c r="C4247" s="15" t="s">
        <v>1160</v>
      </c>
      <c r="D4247" s="15" t="s">
        <v>1161</v>
      </c>
      <c r="E4247" s="15"/>
      <c r="F4247" s="15" t="s">
        <v>1162</v>
      </c>
      <c r="G4247" s="15" t="s">
        <v>293</v>
      </c>
      <c r="H4247" s="15" t="s">
        <v>1163</v>
      </c>
    </row>
    <row r="4248" customFormat="false" ht="26.25" hidden="false" customHeight="true" outlineLevel="0" collapsed="false">
      <c r="A4248" s="15" t="s">
        <v>126</v>
      </c>
      <c r="B4248" s="15" t="s">
        <v>127</v>
      </c>
      <c r="C4248" s="15" t="s">
        <v>1164</v>
      </c>
      <c r="D4248" s="15" t="s">
        <v>1165</v>
      </c>
      <c r="E4248" s="15"/>
      <c r="F4248" s="15" t="s">
        <v>1162</v>
      </c>
      <c r="G4248" s="15" t="s">
        <v>293</v>
      </c>
      <c r="H4248" s="15" t="s">
        <v>1166</v>
      </c>
    </row>
    <row r="4249" customFormat="false" ht="15" hidden="false" customHeight="true" outlineLevel="0" collapsed="false">
      <c r="A4249" s="15" t="s">
        <v>126</v>
      </c>
      <c r="B4249" s="15" t="s">
        <v>127</v>
      </c>
      <c r="C4249" s="15" t="s">
        <v>1167</v>
      </c>
      <c r="D4249" s="15" t="s">
        <v>1168</v>
      </c>
      <c r="E4249" s="15"/>
      <c r="F4249" s="15" t="s">
        <v>1162</v>
      </c>
      <c r="G4249" s="15" t="s">
        <v>293</v>
      </c>
      <c r="H4249" s="15" t="s">
        <v>1169</v>
      </c>
    </row>
    <row r="4250" customFormat="false" ht="26.25" hidden="false" customHeight="true" outlineLevel="0" collapsed="false">
      <c r="A4250" s="15" t="s">
        <v>126</v>
      </c>
      <c r="B4250" s="15" t="s">
        <v>127</v>
      </c>
      <c r="C4250" s="15" t="s">
        <v>1170</v>
      </c>
      <c r="D4250" s="15" t="s">
        <v>1171</v>
      </c>
      <c r="E4250" s="15"/>
      <c r="F4250" s="15" t="s">
        <v>1162</v>
      </c>
      <c r="G4250" s="15" t="s">
        <v>293</v>
      </c>
      <c r="H4250" s="15" t="s">
        <v>1172</v>
      </c>
    </row>
    <row r="4251" customFormat="false" ht="26.25" hidden="false" customHeight="true" outlineLevel="0" collapsed="false">
      <c r="A4251" s="15" t="s">
        <v>167</v>
      </c>
      <c r="B4251" s="15" t="s">
        <v>168</v>
      </c>
      <c r="C4251" s="15" t="s">
        <v>1160</v>
      </c>
      <c r="D4251" s="15" t="s">
        <v>1161</v>
      </c>
      <c r="E4251" s="15"/>
      <c r="F4251" s="15" t="s">
        <v>1162</v>
      </c>
      <c r="G4251" s="15" t="s">
        <v>293</v>
      </c>
      <c r="H4251" s="15" t="s">
        <v>1163</v>
      </c>
    </row>
    <row r="4252" customFormat="false" ht="26.25" hidden="false" customHeight="true" outlineLevel="0" collapsed="false">
      <c r="A4252" s="15" t="s">
        <v>167</v>
      </c>
      <c r="B4252" s="15" t="s">
        <v>168</v>
      </c>
      <c r="C4252" s="15" t="s">
        <v>1164</v>
      </c>
      <c r="D4252" s="15" t="s">
        <v>1165</v>
      </c>
      <c r="E4252" s="15"/>
      <c r="F4252" s="15" t="s">
        <v>1162</v>
      </c>
      <c r="G4252" s="15" t="s">
        <v>293</v>
      </c>
      <c r="H4252" s="15" t="s">
        <v>1166</v>
      </c>
    </row>
    <row r="4253" customFormat="false" ht="15" hidden="false" customHeight="true" outlineLevel="0" collapsed="false">
      <c r="A4253" s="15" t="s">
        <v>167</v>
      </c>
      <c r="B4253" s="15" t="s">
        <v>168</v>
      </c>
      <c r="C4253" s="15" t="s">
        <v>1167</v>
      </c>
      <c r="D4253" s="15" t="s">
        <v>1168</v>
      </c>
      <c r="E4253" s="15"/>
      <c r="F4253" s="15" t="s">
        <v>1162</v>
      </c>
      <c r="G4253" s="15" t="s">
        <v>293</v>
      </c>
      <c r="H4253" s="15" t="s">
        <v>1169</v>
      </c>
    </row>
    <row r="4254" customFormat="false" ht="26.25" hidden="false" customHeight="true" outlineLevel="0" collapsed="false">
      <c r="A4254" s="15" t="s">
        <v>167</v>
      </c>
      <c r="B4254" s="15" t="s">
        <v>168</v>
      </c>
      <c r="C4254" s="15" t="s">
        <v>1170</v>
      </c>
      <c r="D4254" s="15" t="s">
        <v>1171</v>
      </c>
      <c r="E4254" s="15"/>
      <c r="F4254" s="15" t="s">
        <v>1162</v>
      </c>
      <c r="G4254" s="15" t="s">
        <v>293</v>
      </c>
      <c r="H4254" s="15" t="s">
        <v>1172</v>
      </c>
    </row>
    <row r="4255" customFormat="false" ht="26.25" hidden="false" customHeight="true" outlineLevel="0" collapsed="false">
      <c r="A4255" s="15" t="s">
        <v>132</v>
      </c>
      <c r="B4255" s="15" t="s">
        <v>133</v>
      </c>
      <c r="C4255" s="15" t="s">
        <v>1160</v>
      </c>
      <c r="D4255" s="15" t="s">
        <v>1161</v>
      </c>
      <c r="E4255" s="15"/>
      <c r="F4255" s="15" t="s">
        <v>1162</v>
      </c>
      <c r="G4255" s="15" t="s">
        <v>293</v>
      </c>
      <c r="H4255" s="15" t="s">
        <v>1163</v>
      </c>
    </row>
    <row r="4256" customFormat="false" ht="26.25" hidden="false" customHeight="true" outlineLevel="0" collapsed="false">
      <c r="A4256" s="15" t="s">
        <v>132</v>
      </c>
      <c r="B4256" s="15" t="s">
        <v>133</v>
      </c>
      <c r="C4256" s="15" t="s">
        <v>1164</v>
      </c>
      <c r="D4256" s="15" t="s">
        <v>1165</v>
      </c>
      <c r="E4256" s="15"/>
      <c r="F4256" s="15" t="s">
        <v>1162</v>
      </c>
      <c r="G4256" s="15" t="s">
        <v>293</v>
      </c>
      <c r="H4256" s="15" t="s">
        <v>1166</v>
      </c>
    </row>
    <row r="4257" customFormat="false" ht="15" hidden="false" customHeight="true" outlineLevel="0" collapsed="false">
      <c r="A4257" s="15" t="s">
        <v>132</v>
      </c>
      <c r="B4257" s="15" t="s">
        <v>133</v>
      </c>
      <c r="C4257" s="15" t="s">
        <v>1167</v>
      </c>
      <c r="D4257" s="15" t="s">
        <v>1168</v>
      </c>
      <c r="E4257" s="15"/>
      <c r="F4257" s="15" t="s">
        <v>1162</v>
      </c>
      <c r="G4257" s="15" t="s">
        <v>293</v>
      </c>
      <c r="H4257" s="15" t="s">
        <v>1169</v>
      </c>
    </row>
    <row r="4258" customFormat="false" ht="26.25" hidden="false" customHeight="true" outlineLevel="0" collapsed="false">
      <c r="A4258" s="15" t="s">
        <v>132</v>
      </c>
      <c r="B4258" s="15" t="s">
        <v>133</v>
      </c>
      <c r="C4258" s="15" t="s">
        <v>1170</v>
      </c>
      <c r="D4258" s="15" t="s">
        <v>1171</v>
      </c>
      <c r="E4258" s="15"/>
      <c r="F4258" s="15" t="s">
        <v>1162</v>
      </c>
      <c r="G4258" s="15" t="s">
        <v>293</v>
      </c>
      <c r="H4258" s="15" t="s">
        <v>1172</v>
      </c>
    </row>
    <row r="4259" customFormat="false" ht="26.25" hidden="false" customHeight="true" outlineLevel="0" collapsed="false">
      <c r="A4259" s="15" t="s">
        <v>170</v>
      </c>
      <c r="B4259" s="15" t="s">
        <v>171</v>
      </c>
      <c r="C4259" s="15" t="s">
        <v>1160</v>
      </c>
      <c r="D4259" s="15" t="s">
        <v>1161</v>
      </c>
      <c r="E4259" s="15"/>
      <c r="F4259" s="15" t="s">
        <v>1162</v>
      </c>
      <c r="G4259" s="15" t="s">
        <v>293</v>
      </c>
      <c r="H4259" s="15" t="s">
        <v>1163</v>
      </c>
    </row>
    <row r="4260" customFormat="false" ht="26.25" hidden="false" customHeight="true" outlineLevel="0" collapsed="false">
      <c r="A4260" s="15" t="s">
        <v>170</v>
      </c>
      <c r="B4260" s="15" t="s">
        <v>171</v>
      </c>
      <c r="C4260" s="15" t="s">
        <v>1164</v>
      </c>
      <c r="D4260" s="15" t="s">
        <v>1165</v>
      </c>
      <c r="E4260" s="15"/>
      <c r="F4260" s="15" t="s">
        <v>1162</v>
      </c>
      <c r="G4260" s="15" t="s">
        <v>293</v>
      </c>
      <c r="H4260" s="15" t="s">
        <v>1166</v>
      </c>
    </row>
    <row r="4261" customFormat="false" ht="15" hidden="false" customHeight="true" outlineLevel="0" collapsed="false">
      <c r="A4261" s="15" t="s">
        <v>170</v>
      </c>
      <c r="B4261" s="15" t="s">
        <v>171</v>
      </c>
      <c r="C4261" s="15" t="s">
        <v>1167</v>
      </c>
      <c r="D4261" s="15" t="s">
        <v>1168</v>
      </c>
      <c r="E4261" s="15"/>
      <c r="F4261" s="15" t="s">
        <v>1162</v>
      </c>
      <c r="G4261" s="15" t="s">
        <v>293</v>
      </c>
      <c r="H4261" s="15" t="s">
        <v>1169</v>
      </c>
    </row>
    <row r="4262" customFormat="false" ht="26.25" hidden="false" customHeight="true" outlineLevel="0" collapsed="false">
      <c r="A4262" s="15" t="s">
        <v>170</v>
      </c>
      <c r="B4262" s="15" t="s">
        <v>171</v>
      </c>
      <c r="C4262" s="15" t="s">
        <v>1170</v>
      </c>
      <c r="D4262" s="15" t="s">
        <v>1171</v>
      </c>
      <c r="E4262" s="15"/>
      <c r="F4262" s="15" t="s">
        <v>1162</v>
      </c>
      <c r="G4262" s="15" t="s">
        <v>293</v>
      </c>
      <c r="H4262" s="15" t="s">
        <v>1172</v>
      </c>
    </row>
    <row r="4263" customFormat="false" ht="26.25" hidden="false" customHeight="true" outlineLevel="0" collapsed="false">
      <c r="A4263" s="15" t="s">
        <v>136</v>
      </c>
      <c r="B4263" s="15" t="s">
        <v>137</v>
      </c>
      <c r="C4263" s="15" t="s">
        <v>1160</v>
      </c>
      <c r="D4263" s="15" t="s">
        <v>1161</v>
      </c>
      <c r="E4263" s="15"/>
      <c r="F4263" s="15" t="s">
        <v>1162</v>
      </c>
      <c r="G4263" s="15" t="s">
        <v>293</v>
      </c>
      <c r="H4263" s="15" t="s">
        <v>1163</v>
      </c>
    </row>
    <row r="4264" customFormat="false" ht="26.25" hidden="false" customHeight="true" outlineLevel="0" collapsed="false">
      <c r="A4264" s="15" t="s">
        <v>136</v>
      </c>
      <c r="B4264" s="15" t="s">
        <v>137</v>
      </c>
      <c r="C4264" s="15" t="s">
        <v>1164</v>
      </c>
      <c r="D4264" s="15" t="s">
        <v>1165</v>
      </c>
      <c r="E4264" s="15"/>
      <c r="F4264" s="15" t="s">
        <v>1162</v>
      </c>
      <c r="G4264" s="15" t="s">
        <v>293</v>
      </c>
      <c r="H4264" s="15" t="s">
        <v>1166</v>
      </c>
    </row>
    <row r="4265" customFormat="false" ht="15" hidden="false" customHeight="true" outlineLevel="0" collapsed="false">
      <c r="A4265" s="15" t="s">
        <v>136</v>
      </c>
      <c r="B4265" s="15" t="s">
        <v>137</v>
      </c>
      <c r="C4265" s="15" t="s">
        <v>1167</v>
      </c>
      <c r="D4265" s="15" t="s">
        <v>1168</v>
      </c>
      <c r="E4265" s="15"/>
      <c r="F4265" s="15" t="s">
        <v>1162</v>
      </c>
      <c r="G4265" s="15" t="s">
        <v>293</v>
      </c>
      <c r="H4265" s="15" t="s">
        <v>1169</v>
      </c>
    </row>
    <row r="4266" customFormat="false" ht="26.25" hidden="false" customHeight="true" outlineLevel="0" collapsed="false">
      <c r="A4266" s="15" t="s">
        <v>136</v>
      </c>
      <c r="B4266" s="15" t="s">
        <v>137</v>
      </c>
      <c r="C4266" s="15" t="s">
        <v>1170</v>
      </c>
      <c r="D4266" s="15" t="s">
        <v>1171</v>
      </c>
      <c r="E4266" s="15"/>
      <c r="F4266" s="15" t="s">
        <v>1162</v>
      </c>
      <c r="G4266" s="15" t="s">
        <v>293</v>
      </c>
      <c r="H4266" s="15" t="s">
        <v>1172</v>
      </c>
    </row>
    <row r="4267" customFormat="false" ht="26.25" hidden="false" customHeight="true" outlineLevel="0" collapsed="false">
      <c r="A4267" s="15" t="s">
        <v>173</v>
      </c>
      <c r="B4267" s="15" t="s">
        <v>174</v>
      </c>
      <c r="C4267" s="15" t="s">
        <v>1160</v>
      </c>
      <c r="D4267" s="15" t="s">
        <v>1161</v>
      </c>
      <c r="E4267" s="15"/>
      <c r="F4267" s="15" t="s">
        <v>1162</v>
      </c>
      <c r="G4267" s="15" t="s">
        <v>293</v>
      </c>
      <c r="H4267" s="15" t="s">
        <v>1163</v>
      </c>
    </row>
    <row r="4268" customFormat="false" ht="26.25" hidden="false" customHeight="true" outlineLevel="0" collapsed="false">
      <c r="A4268" s="15" t="s">
        <v>173</v>
      </c>
      <c r="B4268" s="15" t="s">
        <v>174</v>
      </c>
      <c r="C4268" s="15" t="s">
        <v>1164</v>
      </c>
      <c r="D4268" s="15" t="s">
        <v>1165</v>
      </c>
      <c r="E4268" s="15"/>
      <c r="F4268" s="15" t="s">
        <v>1162</v>
      </c>
      <c r="G4268" s="15" t="s">
        <v>293</v>
      </c>
      <c r="H4268" s="15" t="s">
        <v>1166</v>
      </c>
    </row>
    <row r="4269" customFormat="false" ht="15" hidden="false" customHeight="true" outlineLevel="0" collapsed="false">
      <c r="A4269" s="15" t="s">
        <v>173</v>
      </c>
      <c r="B4269" s="15" t="s">
        <v>174</v>
      </c>
      <c r="C4269" s="15" t="s">
        <v>1167</v>
      </c>
      <c r="D4269" s="15" t="s">
        <v>1168</v>
      </c>
      <c r="E4269" s="15"/>
      <c r="F4269" s="15" t="s">
        <v>1162</v>
      </c>
      <c r="G4269" s="15" t="s">
        <v>293</v>
      </c>
      <c r="H4269" s="15" t="s">
        <v>1169</v>
      </c>
    </row>
    <row r="4270" customFormat="false" ht="26.25" hidden="false" customHeight="true" outlineLevel="0" collapsed="false">
      <c r="A4270" s="15" t="s">
        <v>173</v>
      </c>
      <c r="B4270" s="15" t="s">
        <v>174</v>
      </c>
      <c r="C4270" s="15" t="s">
        <v>1170</v>
      </c>
      <c r="D4270" s="15" t="s">
        <v>1171</v>
      </c>
      <c r="E4270" s="15"/>
      <c r="F4270" s="15" t="s">
        <v>1162</v>
      </c>
      <c r="G4270" s="15" t="s">
        <v>293</v>
      </c>
      <c r="H4270" s="15" t="s">
        <v>1172</v>
      </c>
    </row>
    <row r="4271" customFormat="false" ht="26.25" hidden="false" customHeight="true" outlineLevel="0" collapsed="false">
      <c r="A4271" s="15" t="s">
        <v>139</v>
      </c>
      <c r="B4271" s="15" t="s">
        <v>140</v>
      </c>
      <c r="C4271" s="15" t="s">
        <v>1160</v>
      </c>
      <c r="D4271" s="15" t="s">
        <v>1161</v>
      </c>
      <c r="E4271" s="15"/>
      <c r="F4271" s="15" t="s">
        <v>1162</v>
      </c>
      <c r="G4271" s="15" t="s">
        <v>293</v>
      </c>
      <c r="H4271" s="15" t="s">
        <v>1163</v>
      </c>
    </row>
    <row r="4272" customFormat="false" ht="26.25" hidden="false" customHeight="true" outlineLevel="0" collapsed="false">
      <c r="A4272" s="15" t="s">
        <v>139</v>
      </c>
      <c r="B4272" s="15" t="s">
        <v>140</v>
      </c>
      <c r="C4272" s="15" t="s">
        <v>1164</v>
      </c>
      <c r="D4272" s="15" t="s">
        <v>1165</v>
      </c>
      <c r="E4272" s="15"/>
      <c r="F4272" s="15" t="s">
        <v>1162</v>
      </c>
      <c r="G4272" s="15" t="s">
        <v>293</v>
      </c>
      <c r="H4272" s="15" t="s">
        <v>1166</v>
      </c>
    </row>
    <row r="4273" customFormat="false" ht="15" hidden="false" customHeight="true" outlineLevel="0" collapsed="false">
      <c r="A4273" s="15" t="s">
        <v>139</v>
      </c>
      <c r="B4273" s="15" t="s">
        <v>140</v>
      </c>
      <c r="C4273" s="15" t="s">
        <v>1167</v>
      </c>
      <c r="D4273" s="15" t="s">
        <v>1168</v>
      </c>
      <c r="E4273" s="15"/>
      <c r="F4273" s="15" t="s">
        <v>1162</v>
      </c>
      <c r="G4273" s="15" t="s">
        <v>293</v>
      </c>
      <c r="H4273" s="15" t="s">
        <v>1169</v>
      </c>
    </row>
    <row r="4274" customFormat="false" ht="26.25" hidden="false" customHeight="true" outlineLevel="0" collapsed="false">
      <c r="A4274" s="15" t="s">
        <v>139</v>
      </c>
      <c r="B4274" s="15" t="s">
        <v>140</v>
      </c>
      <c r="C4274" s="15" t="s">
        <v>1170</v>
      </c>
      <c r="D4274" s="15" t="s">
        <v>1171</v>
      </c>
      <c r="E4274" s="15"/>
      <c r="F4274" s="15" t="s">
        <v>1162</v>
      </c>
      <c r="G4274" s="15" t="s">
        <v>293</v>
      </c>
      <c r="H4274" s="15" t="s">
        <v>1172</v>
      </c>
    </row>
    <row r="4275" customFormat="false" ht="26.25" hidden="false" customHeight="true" outlineLevel="0" collapsed="false">
      <c r="A4275" s="15" t="s">
        <v>180</v>
      </c>
      <c r="B4275" s="15" t="s">
        <v>181</v>
      </c>
      <c r="C4275" s="15" t="s">
        <v>1160</v>
      </c>
      <c r="D4275" s="15" t="s">
        <v>1161</v>
      </c>
      <c r="E4275" s="15"/>
      <c r="F4275" s="15" t="s">
        <v>1162</v>
      </c>
      <c r="G4275" s="15" t="s">
        <v>293</v>
      </c>
      <c r="H4275" s="15" t="s">
        <v>1163</v>
      </c>
    </row>
    <row r="4276" customFormat="false" ht="26.25" hidden="false" customHeight="true" outlineLevel="0" collapsed="false">
      <c r="A4276" s="15" t="s">
        <v>180</v>
      </c>
      <c r="B4276" s="15" t="s">
        <v>181</v>
      </c>
      <c r="C4276" s="15" t="s">
        <v>1164</v>
      </c>
      <c r="D4276" s="15" t="s">
        <v>1165</v>
      </c>
      <c r="E4276" s="15"/>
      <c r="F4276" s="15" t="s">
        <v>1162</v>
      </c>
      <c r="G4276" s="15" t="s">
        <v>293</v>
      </c>
      <c r="H4276" s="15" t="s">
        <v>1166</v>
      </c>
    </row>
    <row r="4277" customFormat="false" ht="15" hidden="false" customHeight="true" outlineLevel="0" collapsed="false">
      <c r="A4277" s="15" t="s">
        <v>180</v>
      </c>
      <c r="B4277" s="15" t="s">
        <v>181</v>
      </c>
      <c r="C4277" s="15" t="s">
        <v>1167</v>
      </c>
      <c r="D4277" s="15" t="s">
        <v>1168</v>
      </c>
      <c r="E4277" s="15"/>
      <c r="F4277" s="15" t="s">
        <v>1162</v>
      </c>
      <c r="G4277" s="15" t="s">
        <v>293</v>
      </c>
      <c r="H4277" s="15" t="s">
        <v>1169</v>
      </c>
    </row>
    <row r="4278" customFormat="false" ht="26.25" hidden="false" customHeight="true" outlineLevel="0" collapsed="false">
      <c r="A4278" s="15" t="s">
        <v>180</v>
      </c>
      <c r="B4278" s="15" t="s">
        <v>181</v>
      </c>
      <c r="C4278" s="15" t="s">
        <v>1170</v>
      </c>
      <c r="D4278" s="15" t="s">
        <v>1171</v>
      </c>
      <c r="E4278" s="15"/>
      <c r="F4278" s="15" t="s">
        <v>1162</v>
      </c>
      <c r="G4278" s="15" t="s">
        <v>293</v>
      </c>
      <c r="H4278" s="15" t="s">
        <v>1172</v>
      </c>
    </row>
    <row r="4279" customFormat="false" ht="26.25" hidden="false" customHeight="true" outlineLevel="0" collapsed="false">
      <c r="A4279" s="15" t="s">
        <v>148</v>
      </c>
      <c r="B4279" s="15" t="s">
        <v>149</v>
      </c>
      <c r="C4279" s="15" t="s">
        <v>1160</v>
      </c>
      <c r="D4279" s="15" t="s">
        <v>1161</v>
      </c>
      <c r="E4279" s="15"/>
      <c r="F4279" s="15" t="s">
        <v>1162</v>
      </c>
      <c r="G4279" s="15" t="s">
        <v>293</v>
      </c>
      <c r="H4279" s="15" t="s">
        <v>1163</v>
      </c>
    </row>
    <row r="4280" customFormat="false" ht="26.25" hidden="false" customHeight="true" outlineLevel="0" collapsed="false">
      <c r="A4280" s="15" t="s">
        <v>148</v>
      </c>
      <c r="B4280" s="15" t="s">
        <v>149</v>
      </c>
      <c r="C4280" s="15" t="s">
        <v>1164</v>
      </c>
      <c r="D4280" s="15" t="s">
        <v>1165</v>
      </c>
      <c r="E4280" s="15"/>
      <c r="F4280" s="15" t="s">
        <v>1162</v>
      </c>
      <c r="G4280" s="15" t="s">
        <v>293</v>
      </c>
      <c r="H4280" s="15" t="s">
        <v>1166</v>
      </c>
    </row>
    <row r="4281" customFormat="false" ht="15" hidden="false" customHeight="true" outlineLevel="0" collapsed="false">
      <c r="A4281" s="15" t="s">
        <v>148</v>
      </c>
      <c r="B4281" s="15" t="s">
        <v>149</v>
      </c>
      <c r="C4281" s="15" t="s">
        <v>1167</v>
      </c>
      <c r="D4281" s="15" t="s">
        <v>1168</v>
      </c>
      <c r="E4281" s="15"/>
      <c r="F4281" s="15" t="s">
        <v>1162</v>
      </c>
      <c r="G4281" s="15" t="s">
        <v>293</v>
      </c>
      <c r="H4281" s="15" t="s">
        <v>1169</v>
      </c>
    </row>
    <row r="4282" customFormat="false" ht="26.25" hidden="false" customHeight="true" outlineLevel="0" collapsed="false">
      <c r="A4282" s="15" t="s">
        <v>148</v>
      </c>
      <c r="B4282" s="15" t="s">
        <v>149</v>
      </c>
      <c r="C4282" s="15" t="s">
        <v>1170</v>
      </c>
      <c r="D4282" s="15" t="s">
        <v>1171</v>
      </c>
      <c r="E4282" s="15"/>
      <c r="F4282" s="15" t="s">
        <v>1162</v>
      </c>
      <c r="G4282" s="15" t="s">
        <v>293</v>
      </c>
      <c r="H4282" s="15" t="s">
        <v>1172</v>
      </c>
    </row>
    <row r="4283" customFormat="false" ht="26.25" hidden="false" customHeight="true" outlineLevel="0" collapsed="false">
      <c r="A4283" s="15" t="s">
        <v>183</v>
      </c>
      <c r="B4283" s="15" t="s">
        <v>184</v>
      </c>
      <c r="C4283" s="15" t="s">
        <v>1160</v>
      </c>
      <c r="D4283" s="15" t="s">
        <v>1161</v>
      </c>
      <c r="E4283" s="15"/>
      <c r="F4283" s="15" t="s">
        <v>1162</v>
      </c>
      <c r="G4283" s="15" t="s">
        <v>293</v>
      </c>
      <c r="H4283" s="15" t="s">
        <v>1163</v>
      </c>
    </row>
    <row r="4284" customFormat="false" ht="26.25" hidden="false" customHeight="true" outlineLevel="0" collapsed="false">
      <c r="A4284" s="15" t="s">
        <v>183</v>
      </c>
      <c r="B4284" s="15" t="s">
        <v>184</v>
      </c>
      <c r="C4284" s="15" t="s">
        <v>1164</v>
      </c>
      <c r="D4284" s="15" t="s">
        <v>1165</v>
      </c>
      <c r="E4284" s="15"/>
      <c r="F4284" s="15" t="s">
        <v>1162</v>
      </c>
      <c r="G4284" s="15" t="s">
        <v>293</v>
      </c>
      <c r="H4284" s="15" t="s">
        <v>1166</v>
      </c>
    </row>
    <row r="4285" customFormat="false" ht="15" hidden="false" customHeight="true" outlineLevel="0" collapsed="false">
      <c r="A4285" s="15" t="s">
        <v>183</v>
      </c>
      <c r="B4285" s="15" t="s">
        <v>184</v>
      </c>
      <c r="C4285" s="15" t="s">
        <v>1167</v>
      </c>
      <c r="D4285" s="15" t="s">
        <v>1168</v>
      </c>
      <c r="E4285" s="15"/>
      <c r="F4285" s="15" t="s">
        <v>1162</v>
      </c>
      <c r="G4285" s="15" t="s">
        <v>293</v>
      </c>
      <c r="H4285" s="15" t="s">
        <v>1169</v>
      </c>
    </row>
    <row r="4286" customFormat="false" ht="26.25" hidden="false" customHeight="true" outlineLevel="0" collapsed="false">
      <c r="A4286" s="15" t="s">
        <v>183</v>
      </c>
      <c r="B4286" s="15" t="s">
        <v>184</v>
      </c>
      <c r="C4286" s="15" t="s">
        <v>1170</v>
      </c>
      <c r="D4286" s="15" t="s">
        <v>1171</v>
      </c>
      <c r="E4286" s="15"/>
      <c r="F4286" s="15" t="s">
        <v>1162</v>
      </c>
      <c r="G4286" s="15" t="s">
        <v>293</v>
      </c>
      <c r="H4286" s="15" t="s">
        <v>1172</v>
      </c>
    </row>
    <row r="4287" customFormat="false" ht="26.25" hidden="false" customHeight="true" outlineLevel="0" collapsed="false">
      <c r="A4287" s="15" t="s">
        <v>143</v>
      </c>
      <c r="B4287" s="15" t="s">
        <v>144</v>
      </c>
      <c r="C4287" s="15" t="s">
        <v>1160</v>
      </c>
      <c r="D4287" s="15" t="s">
        <v>1161</v>
      </c>
      <c r="E4287" s="15"/>
      <c r="F4287" s="15" t="s">
        <v>1162</v>
      </c>
      <c r="G4287" s="15" t="s">
        <v>293</v>
      </c>
      <c r="H4287" s="15" t="s">
        <v>1163</v>
      </c>
    </row>
    <row r="4288" customFormat="false" ht="26.25" hidden="false" customHeight="true" outlineLevel="0" collapsed="false">
      <c r="A4288" s="15" t="s">
        <v>143</v>
      </c>
      <c r="B4288" s="15" t="s">
        <v>144</v>
      </c>
      <c r="C4288" s="15" t="s">
        <v>1164</v>
      </c>
      <c r="D4288" s="15" t="s">
        <v>1165</v>
      </c>
      <c r="E4288" s="15"/>
      <c r="F4288" s="15" t="s">
        <v>1162</v>
      </c>
      <c r="G4288" s="15" t="s">
        <v>293</v>
      </c>
      <c r="H4288" s="15" t="s">
        <v>1166</v>
      </c>
    </row>
    <row r="4289" customFormat="false" ht="15" hidden="false" customHeight="true" outlineLevel="0" collapsed="false">
      <c r="A4289" s="15" t="s">
        <v>143</v>
      </c>
      <c r="B4289" s="15" t="s">
        <v>144</v>
      </c>
      <c r="C4289" s="15" t="s">
        <v>1167</v>
      </c>
      <c r="D4289" s="15" t="s">
        <v>1168</v>
      </c>
      <c r="E4289" s="15"/>
      <c r="F4289" s="15" t="s">
        <v>1162</v>
      </c>
      <c r="G4289" s="15" t="s">
        <v>293</v>
      </c>
      <c r="H4289" s="15" t="s">
        <v>1169</v>
      </c>
    </row>
    <row r="4290" customFormat="false" ht="26.25" hidden="false" customHeight="true" outlineLevel="0" collapsed="false">
      <c r="A4290" s="15" t="s">
        <v>143</v>
      </c>
      <c r="B4290" s="15" t="s">
        <v>144</v>
      </c>
      <c r="C4290" s="15" t="s">
        <v>1170</v>
      </c>
      <c r="D4290" s="15" t="s">
        <v>1171</v>
      </c>
      <c r="E4290" s="15"/>
      <c r="F4290" s="15" t="s">
        <v>1162</v>
      </c>
      <c r="G4290" s="15" t="s">
        <v>293</v>
      </c>
      <c r="H4290" s="15" t="s">
        <v>1172</v>
      </c>
    </row>
    <row r="4291" customFormat="false" ht="26.25" hidden="false" customHeight="true" outlineLevel="0" collapsed="false">
      <c r="A4291" s="15" t="s">
        <v>176</v>
      </c>
      <c r="B4291" s="15" t="s">
        <v>177</v>
      </c>
      <c r="C4291" s="15" t="s">
        <v>1160</v>
      </c>
      <c r="D4291" s="15" t="s">
        <v>1161</v>
      </c>
      <c r="E4291" s="15"/>
      <c r="F4291" s="15" t="s">
        <v>1162</v>
      </c>
      <c r="G4291" s="15" t="s">
        <v>293</v>
      </c>
      <c r="H4291" s="15" t="s">
        <v>1163</v>
      </c>
    </row>
    <row r="4292" customFormat="false" ht="26.25" hidden="false" customHeight="true" outlineLevel="0" collapsed="false">
      <c r="A4292" s="15" t="s">
        <v>176</v>
      </c>
      <c r="B4292" s="15" t="s">
        <v>177</v>
      </c>
      <c r="C4292" s="15" t="s">
        <v>1164</v>
      </c>
      <c r="D4292" s="15" t="s">
        <v>1165</v>
      </c>
      <c r="E4292" s="15"/>
      <c r="F4292" s="15" t="s">
        <v>1162</v>
      </c>
      <c r="G4292" s="15" t="s">
        <v>293</v>
      </c>
      <c r="H4292" s="15" t="s">
        <v>1166</v>
      </c>
    </row>
    <row r="4293" customFormat="false" ht="15" hidden="false" customHeight="true" outlineLevel="0" collapsed="false">
      <c r="A4293" s="15" t="s">
        <v>176</v>
      </c>
      <c r="B4293" s="15" t="s">
        <v>177</v>
      </c>
      <c r="C4293" s="15" t="s">
        <v>1167</v>
      </c>
      <c r="D4293" s="15" t="s">
        <v>1168</v>
      </c>
      <c r="E4293" s="15"/>
      <c r="F4293" s="15" t="s">
        <v>1162</v>
      </c>
      <c r="G4293" s="15" t="s">
        <v>293</v>
      </c>
      <c r="H4293" s="15" t="s">
        <v>1169</v>
      </c>
    </row>
    <row r="4294" customFormat="false" ht="26.25" hidden="false" customHeight="true" outlineLevel="0" collapsed="false">
      <c r="A4294" s="15" t="s">
        <v>176</v>
      </c>
      <c r="B4294" s="15" t="s">
        <v>177</v>
      </c>
      <c r="C4294" s="15" t="s">
        <v>1170</v>
      </c>
      <c r="D4294" s="15" t="s">
        <v>1171</v>
      </c>
      <c r="E4294" s="15"/>
      <c r="F4294" s="15" t="s">
        <v>1162</v>
      </c>
      <c r="G4294" s="15" t="s">
        <v>293</v>
      </c>
      <c r="H4294" s="15" t="s">
        <v>1172</v>
      </c>
    </row>
    <row r="4295" customFormat="false" ht="26.25" hidden="false" customHeight="true" outlineLevel="0" collapsed="false">
      <c r="A4295" s="15" t="s">
        <v>151</v>
      </c>
      <c r="B4295" s="15" t="s">
        <v>152</v>
      </c>
      <c r="C4295" s="15" t="s">
        <v>1160</v>
      </c>
      <c r="D4295" s="15" t="s">
        <v>1161</v>
      </c>
      <c r="E4295" s="15"/>
      <c r="F4295" s="15" t="s">
        <v>1162</v>
      </c>
      <c r="G4295" s="15" t="s">
        <v>293</v>
      </c>
      <c r="H4295" s="15" t="s">
        <v>1163</v>
      </c>
    </row>
    <row r="4296" customFormat="false" ht="26.25" hidden="false" customHeight="true" outlineLevel="0" collapsed="false">
      <c r="A4296" s="15" t="s">
        <v>151</v>
      </c>
      <c r="B4296" s="15" t="s">
        <v>152</v>
      </c>
      <c r="C4296" s="15" t="s">
        <v>1164</v>
      </c>
      <c r="D4296" s="15" t="s">
        <v>1165</v>
      </c>
      <c r="E4296" s="15"/>
      <c r="F4296" s="15" t="s">
        <v>1162</v>
      </c>
      <c r="G4296" s="15" t="s">
        <v>293</v>
      </c>
      <c r="H4296" s="15" t="s">
        <v>1166</v>
      </c>
    </row>
    <row r="4297" customFormat="false" ht="15" hidden="false" customHeight="true" outlineLevel="0" collapsed="false">
      <c r="A4297" s="15" t="s">
        <v>151</v>
      </c>
      <c r="B4297" s="15" t="s">
        <v>152</v>
      </c>
      <c r="C4297" s="15" t="s">
        <v>1167</v>
      </c>
      <c r="D4297" s="15" t="s">
        <v>1168</v>
      </c>
      <c r="E4297" s="15"/>
      <c r="F4297" s="15" t="s">
        <v>1162</v>
      </c>
      <c r="G4297" s="15" t="s">
        <v>293</v>
      </c>
      <c r="H4297" s="15" t="s">
        <v>1169</v>
      </c>
    </row>
    <row r="4298" customFormat="false" ht="26.25" hidden="false" customHeight="true" outlineLevel="0" collapsed="false">
      <c r="A4298" s="15" t="s">
        <v>151</v>
      </c>
      <c r="B4298" s="15" t="s">
        <v>152</v>
      </c>
      <c r="C4298" s="15" t="s">
        <v>1170</v>
      </c>
      <c r="D4298" s="15" t="s">
        <v>1171</v>
      </c>
      <c r="E4298" s="15"/>
      <c r="F4298" s="15" t="s">
        <v>1162</v>
      </c>
      <c r="G4298" s="15" t="s">
        <v>293</v>
      </c>
      <c r="H4298" s="15" t="s">
        <v>1172</v>
      </c>
    </row>
    <row r="4299" customFormat="false" ht="26.25" hidden="false" customHeight="true" outlineLevel="0" collapsed="false">
      <c r="A4299" s="15" t="s">
        <v>186</v>
      </c>
      <c r="B4299" s="15" t="s">
        <v>187</v>
      </c>
      <c r="C4299" s="15" t="s">
        <v>1160</v>
      </c>
      <c r="D4299" s="15" t="s">
        <v>1161</v>
      </c>
      <c r="E4299" s="15"/>
      <c r="F4299" s="15" t="s">
        <v>1162</v>
      </c>
      <c r="G4299" s="15" t="s">
        <v>293</v>
      </c>
      <c r="H4299" s="15" t="s">
        <v>1163</v>
      </c>
    </row>
    <row r="4300" customFormat="false" ht="26.25" hidden="false" customHeight="true" outlineLevel="0" collapsed="false">
      <c r="A4300" s="15" t="s">
        <v>186</v>
      </c>
      <c r="B4300" s="15" t="s">
        <v>187</v>
      </c>
      <c r="C4300" s="15" t="s">
        <v>1164</v>
      </c>
      <c r="D4300" s="15" t="s">
        <v>1165</v>
      </c>
      <c r="E4300" s="15"/>
      <c r="F4300" s="15" t="s">
        <v>1162</v>
      </c>
      <c r="G4300" s="15" t="s">
        <v>293</v>
      </c>
      <c r="H4300" s="15" t="s">
        <v>1166</v>
      </c>
    </row>
    <row r="4301" customFormat="false" ht="15" hidden="false" customHeight="true" outlineLevel="0" collapsed="false">
      <c r="A4301" s="15" t="s">
        <v>186</v>
      </c>
      <c r="B4301" s="15" t="s">
        <v>187</v>
      </c>
      <c r="C4301" s="15" t="s">
        <v>1167</v>
      </c>
      <c r="D4301" s="15" t="s">
        <v>1168</v>
      </c>
      <c r="E4301" s="15"/>
      <c r="F4301" s="15" t="s">
        <v>1162</v>
      </c>
      <c r="G4301" s="15" t="s">
        <v>293</v>
      </c>
      <c r="H4301" s="15" t="s">
        <v>1169</v>
      </c>
    </row>
    <row r="4302" customFormat="false" ht="26.25" hidden="false" customHeight="true" outlineLevel="0" collapsed="false">
      <c r="A4302" s="15" t="s">
        <v>186</v>
      </c>
      <c r="B4302" s="15" t="s">
        <v>187</v>
      </c>
      <c r="C4302" s="15" t="s">
        <v>1170</v>
      </c>
      <c r="D4302" s="15" t="s">
        <v>1171</v>
      </c>
      <c r="E4302" s="15"/>
      <c r="F4302" s="15" t="s">
        <v>1162</v>
      </c>
      <c r="G4302" s="15" t="s">
        <v>293</v>
      </c>
      <c r="H4302" s="15" t="s">
        <v>1172</v>
      </c>
    </row>
    <row r="4303" customFormat="false" ht="26.25" hidden="false" customHeight="true" outlineLevel="0" collapsed="false">
      <c r="A4303" s="15" t="s">
        <v>155</v>
      </c>
      <c r="B4303" s="15" t="s">
        <v>156</v>
      </c>
      <c r="C4303" s="15" t="s">
        <v>1160</v>
      </c>
      <c r="D4303" s="15" t="s">
        <v>1161</v>
      </c>
      <c r="E4303" s="15"/>
      <c r="F4303" s="15" t="s">
        <v>1162</v>
      </c>
      <c r="G4303" s="15" t="s">
        <v>293</v>
      </c>
      <c r="H4303" s="15" t="s">
        <v>1163</v>
      </c>
    </row>
    <row r="4304" customFormat="false" ht="26.25" hidden="false" customHeight="true" outlineLevel="0" collapsed="false">
      <c r="A4304" s="15" t="s">
        <v>155</v>
      </c>
      <c r="B4304" s="15" t="s">
        <v>156</v>
      </c>
      <c r="C4304" s="15" t="s">
        <v>1164</v>
      </c>
      <c r="D4304" s="15" t="s">
        <v>1165</v>
      </c>
      <c r="E4304" s="15"/>
      <c r="F4304" s="15" t="s">
        <v>1162</v>
      </c>
      <c r="G4304" s="15" t="s">
        <v>293</v>
      </c>
      <c r="H4304" s="15" t="s">
        <v>1166</v>
      </c>
    </row>
    <row r="4305" customFormat="false" ht="15" hidden="false" customHeight="true" outlineLevel="0" collapsed="false">
      <c r="A4305" s="15" t="s">
        <v>155</v>
      </c>
      <c r="B4305" s="15" t="s">
        <v>156</v>
      </c>
      <c r="C4305" s="15" t="s">
        <v>1167</v>
      </c>
      <c r="D4305" s="15" t="s">
        <v>1168</v>
      </c>
      <c r="E4305" s="15"/>
      <c r="F4305" s="15" t="s">
        <v>1162</v>
      </c>
      <c r="G4305" s="15" t="s">
        <v>293</v>
      </c>
      <c r="H4305" s="15" t="s">
        <v>1169</v>
      </c>
    </row>
    <row r="4306" customFormat="false" ht="26.25" hidden="false" customHeight="true" outlineLevel="0" collapsed="false">
      <c r="A4306" s="15" t="s">
        <v>155</v>
      </c>
      <c r="B4306" s="15" t="s">
        <v>156</v>
      </c>
      <c r="C4306" s="15" t="s">
        <v>1170</v>
      </c>
      <c r="D4306" s="15" t="s">
        <v>1171</v>
      </c>
      <c r="E4306" s="15"/>
      <c r="F4306" s="15" t="s">
        <v>1162</v>
      </c>
      <c r="G4306" s="15" t="s">
        <v>293</v>
      </c>
      <c r="H4306" s="15" t="s">
        <v>1172</v>
      </c>
    </row>
    <row r="4307" customFormat="false" ht="26.25" hidden="false" customHeight="true" outlineLevel="0" collapsed="false">
      <c r="A4307" s="15" t="s">
        <v>189</v>
      </c>
      <c r="B4307" s="15" t="s">
        <v>190</v>
      </c>
      <c r="C4307" s="15" t="s">
        <v>1160</v>
      </c>
      <c r="D4307" s="15" t="s">
        <v>1161</v>
      </c>
      <c r="E4307" s="15"/>
      <c r="F4307" s="15" t="s">
        <v>1162</v>
      </c>
      <c r="G4307" s="15" t="s">
        <v>293</v>
      </c>
      <c r="H4307" s="15" t="s">
        <v>1163</v>
      </c>
    </row>
    <row r="4308" customFormat="false" ht="26.25" hidden="false" customHeight="true" outlineLevel="0" collapsed="false">
      <c r="A4308" s="15" t="s">
        <v>189</v>
      </c>
      <c r="B4308" s="15" t="s">
        <v>190</v>
      </c>
      <c r="C4308" s="15" t="s">
        <v>1164</v>
      </c>
      <c r="D4308" s="15" t="s">
        <v>1165</v>
      </c>
      <c r="E4308" s="15"/>
      <c r="F4308" s="15" t="s">
        <v>1162</v>
      </c>
      <c r="G4308" s="15" t="s">
        <v>293</v>
      </c>
      <c r="H4308" s="15" t="s">
        <v>1166</v>
      </c>
    </row>
    <row r="4309" customFormat="false" ht="15" hidden="false" customHeight="true" outlineLevel="0" collapsed="false">
      <c r="A4309" s="15" t="s">
        <v>189</v>
      </c>
      <c r="B4309" s="15" t="s">
        <v>190</v>
      </c>
      <c r="C4309" s="15" t="s">
        <v>1167</v>
      </c>
      <c r="D4309" s="15" t="s">
        <v>1168</v>
      </c>
      <c r="E4309" s="15"/>
      <c r="F4309" s="15" t="s">
        <v>1162</v>
      </c>
      <c r="G4309" s="15" t="s">
        <v>293</v>
      </c>
      <c r="H4309" s="15" t="s">
        <v>1169</v>
      </c>
    </row>
    <row r="4310" customFormat="false" ht="26.25" hidden="false" customHeight="true" outlineLevel="0" collapsed="false">
      <c r="A4310" s="15" t="s">
        <v>189</v>
      </c>
      <c r="B4310" s="15" t="s">
        <v>190</v>
      </c>
      <c r="C4310" s="15" t="s">
        <v>1170</v>
      </c>
      <c r="D4310" s="15" t="s">
        <v>1171</v>
      </c>
      <c r="E4310" s="15"/>
      <c r="F4310" s="15" t="s">
        <v>1162</v>
      </c>
      <c r="G4310" s="15" t="s">
        <v>293</v>
      </c>
      <c r="H4310" s="15" t="s">
        <v>1172</v>
      </c>
    </row>
    <row r="4311" customFormat="false" ht="26.25" hidden="false" customHeight="true" outlineLevel="0" collapsed="false">
      <c r="A4311" s="15" t="s">
        <v>159</v>
      </c>
      <c r="B4311" s="15" t="s">
        <v>160</v>
      </c>
      <c r="C4311" s="15" t="s">
        <v>1160</v>
      </c>
      <c r="D4311" s="15" t="s">
        <v>1161</v>
      </c>
      <c r="E4311" s="15"/>
      <c r="F4311" s="15" t="s">
        <v>1162</v>
      </c>
      <c r="G4311" s="15" t="s">
        <v>293</v>
      </c>
      <c r="H4311" s="15" t="s">
        <v>1163</v>
      </c>
    </row>
    <row r="4312" customFormat="false" ht="26.25" hidden="false" customHeight="true" outlineLevel="0" collapsed="false">
      <c r="A4312" s="15" t="s">
        <v>159</v>
      </c>
      <c r="B4312" s="15" t="s">
        <v>160</v>
      </c>
      <c r="C4312" s="15" t="s">
        <v>1164</v>
      </c>
      <c r="D4312" s="15" t="s">
        <v>1165</v>
      </c>
      <c r="E4312" s="15"/>
      <c r="F4312" s="15" t="s">
        <v>1162</v>
      </c>
      <c r="G4312" s="15" t="s">
        <v>293</v>
      </c>
      <c r="H4312" s="15" t="s">
        <v>1166</v>
      </c>
    </row>
    <row r="4313" customFormat="false" ht="15" hidden="false" customHeight="true" outlineLevel="0" collapsed="false">
      <c r="A4313" s="15" t="s">
        <v>159</v>
      </c>
      <c r="B4313" s="15" t="s">
        <v>160</v>
      </c>
      <c r="C4313" s="15" t="s">
        <v>1167</v>
      </c>
      <c r="D4313" s="15" t="s">
        <v>1168</v>
      </c>
      <c r="E4313" s="15"/>
      <c r="F4313" s="15" t="s">
        <v>1162</v>
      </c>
      <c r="G4313" s="15" t="s">
        <v>293</v>
      </c>
      <c r="H4313" s="15" t="s">
        <v>1169</v>
      </c>
    </row>
    <row r="4314" customFormat="false" ht="26.25" hidden="false" customHeight="true" outlineLevel="0" collapsed="false">
      <c r="A4314" s="15" t="s">
        <v>159</v>
      </c>
      <c r="B4314" s="15" t="s">
        <v>160</v>
      </c>
      <c r="C4314" s="15" t="s">
        <v>1170</v>
      </c>
      <c r="D4314" s="15" t="s">
        <v>1171</v>
      </c>
      <c r="E4314" s="15"/>
      <c r="F4314" s="15" t="s">
        <v>1162</v>
      </c>
      <c r="G4314" s="15" t="s">
        <v>293</v>
      </c>
      <c r="H4314" s="15" t="s">
        <v>1172</v>
      </c>
    </row>
    <row r="4315" customFormat="false" ht="26.25" hidden="false" customHeight="true" outlineLevel="0" collapsed="false">
      <c r="A4315" s="15" t="s">
        <v>192</v>
      </c>
      <c r="B4315" s="15" t="s">
        <v>193</v>
      </c>
      <c r="C4315" s="15" t="s">
        <v>1160</v>
      </c>
      <c r="D4315" s="15" t="s">
        <v>1161</v>
      </c>
      <c r="E4315" s="15"/>
      <c r="F4315" s="15" t="s">
        <v>1162</v>
      </c>
      <c r="G4315" s="15" t="s">
        <v>293</v>
      </c>
      <c r="H4315" s="15" t="s">
        <v>1163</v>
      </c>
    </row>
    <row r="4316" customFormat="false" ht="26.25" hidden="false" customHeight="true" outlineLevel="0" collapsed="false">
      <c r="A4316" s="15" t="s">
        <v>192</v>
      </c>
      <c r="B4316" s="15" t="s">
        <v>193</v>
      </c>
      <c r="C4316" s="15" t="s">
        <v>1164</v>
      </c>
      <c r="D4316" s="15" t="s">
        <v>1165</v>
      </c>
      <c r="E4316" s="15"/>
      <c r="F4316" s="15" t="s">
        <v>1162</v>
      </c>
      <c r="G4316" s="15" t="s">
        <v>293</v>
      </c>
      <c r="H4316" s="15" t="s">
        <v>1166</v>
      </c>
    </row>
    <row r="4317" customFormat="false" ht="26.25" hidden="false" customHeight="true" outlineLevel="0" collapsed="false">
      <c r="A4317" s="15" t="s">
        <v>192</v>
      </c>
      <c r="B4317" s="15" t="s">
        <v>193</v>
      </c>
      <c r="C4317" s="15" t="s">
        <v>1167</v>
      </c>
      <c r="D4317" s="15" t="s">
        <v>1168</v>
      </c>
      <c r="E4317" s="15"/>
      <c r="F4317" s="15" t="s">
        <v>1162</v>
      </c>
      <c r="G4317" s="15" t="s">
        <v>293</v>
      </c>
      <c r="H4317" s="15" t="s">
        <v>1169</v>
      </c>
    </row>
    <row r="4318" customFormat="false" ht="26.25" hidden="false" customHeight="true" outlineLevel="0" collapsed="false">
      <c r="A4318" s="15" t="s">
        <v>192</v>
      </c>
      <c r="B4318" s="15" t="s">
        <v>193</v>
      </c>
      <c r="C4318" s="15" t="s">
        <v>1170</v>
      </c>
      <c r="D4318" s="15" t="s">
        <v>1171</v>
      </c>
      <c r="E4318" s="15"/>
      <c r="F4318" s="15" t="s">
        <v>1162</v>
      </c>
      <c r="G4318" s="15" t="s">
        <v>293</v>
      </c>
      <c r="H4318" s="15" t="s">
        <v>1172</v>
      </c>
    </row>
    <row r="4319" customFormat="false" ht="15" hidden="false" customHeight="true" outlineLevel="0" collapsed="false">
      <c r="A4319" s="15" t="s">
        <v>254</v>
      </c>
      <c r="B4319" s="15" t="s">
        <v>257</v>
      </c>
      <c r="C4319" s="15" t="s">
        <v>1160</v>
      </c>
      <c r="D4319" s="15" t="s">
        <v>1173</v>
      </c>
      <c r="E4319" s="15"/>
      <c r="F4319" s="15" t="s">
        <v>1162</v>
      </c>
      <c r="G4319" s="15" t="s">
        <v>112</v>
      </c>
      <c r="H4319" s="15" t="s">
        <v>1174</v>
      </c>
    </row>
    <row r="4320" customFormat="false" ht="15" hidden="false" customHeight="true" outlineLevel="0" collapsed="false">
      <c r="A4320" s="15" t="s">
        <v>254</v>
      </c>
      <c r="B4320" s="15" t="s">
        <v>257</v>
      </c>
      <c r="C4320" s="15" t="s">
        <v>1164</v>
      </c>
      <c r="D4320" s="15" t="s">
        <v>1175</v>
      </c>
      <c r="E4320" s="15"/>
      <c r="F4320" s="15" t="s">
        <v>1162</v>
      </c>
      <c r="G4320" s="15" t="s">
        <v>112</v>
      </c>
      <c r="H4320" s="15"/>
    </row>
    <row r="4321" customFormat="false" ht="15" hidden="false" customHeight="true" outlineLevel="0" collapsed="false">
      <c r="A4321" s="15" t="s">
        <v>254</v>
      </c>
      <c r="B4321" s="15" t="s">
        <v>257</v>
      </c>
      <c r="C4321" s="15" t="s">
        <v>1167</v>
      </c>
      <c r="D4321" s="15" t="s">
        <v>1168</v>
      </c>
      <c r="E4321" s="15"/>
      <c r="F4321" s="15" t="s">
        <v>1162</v>
      </c>
      <c r="G4321" s="15" t="s">
        <v>112</v>
      </c>
      <c r="H4321" s="15"/>
    </row>
    <row r="4322" customFormat="false" ht="15" hidden="false" customHeight="true" outlineLevel="0" collapsed="false">
      <c r="A4322" s="15" t="s">
        <v>254</v>
      </c>
      <c r="B4322" s="15" t="s">
        <v>257</v>
      </c>
      <c r="C4322" s="15" t="s">
        <v>1170</v>
      </c>
      <c r="D4322" s="15" t="s">
        <v>1171</v>
      </c>
      <c r="E4322" s="15"/>
      <c r="F4322" s="15" t="s">
        <v>1162</v>
      </c>
      <c r="G4322" s="15" t="s">
        <v>112</v>
      </c>
      <c r="H4322" s="15" t="s">
        <v>1176</v>
      </c>
    </row>
    <row r="4323" customFormat="false" ht="15" hidden="false" customHeight="true" outlineLevel="0" collapsed="false">
      <c r="A4323" s="15" t="s">
        <v>278</v>
      </c>
      <c r="B4323" s="15" t="s">
        <v>279</v>
      </c>
      <c r="C4323" s="15" t="s">
        <v>1160</v>
      </c>
      <c r="D4323" s="15" t="s">
        <v>1173</v>
      </c>
      <c r="E4323" s="15"/>
      <c r="F4323" s="15" t="s">
        <v>1162</v>
      </c>
      <c r="G4323" s="15" t="s">
        <v>112</v>
      </c>
      <c r="H4323" s="15" t="s">
        <v>1174</v>
      </c>
    </row>
    <row r="4324" customFormat="false" ht="15" hidden="false" customHeight="true" outlineLevel="0" collapsed="false">
      <c r="A4324" s="15" t="s">
        <v>278</v>
      </c>
      <c r="B4324" s="15" t="s">
        <v>279</v>
      </c>
      <c r="C4324" s="15" t="s">
        <v>1164</v>
      </c>
      <c r="D4324" s="15" t="s">
        <v>1175</v>
      </c>
      <c r="E4324" s="15"/>
      <c r="F4324" s="15" t="s">
        <v>1162</v>
      </c>
      <c r="G4324" s="15" t="s">
        <v>112</v>
      </c>
      <c r="H4324" s="15"/>
    </row>
    <row r="4325" customFormat="false" ht="15" hidden="false" customHeight="true" outlineLevel="0" collapsed="false">
      <c r="A4325" s="15" t="s">
        <v>278</v>
      </c>
      <c r="B4325" s="15" t="s">
        <v>279</v>
      </c>
      <c r="C4325" s="15" t="s">
        <v>1167</v>
      </c>
      <c r="D4325" s="15" t="s">
        <v>1168</v>
      </c>
      <c r="E4325" s="15"/>
      <c r="F4325" s="15" t="s">
        <v>1162</v>
      </c>
      <c r="G4325" s="15" t="s">
        <v>112</v>
      </c>
      <c r="H4325" s="15"/>
    </row>
    <row r="4326" customFormat="false" ht="15" hidden="false" customHeight="true" outlineLevel="0" collapsed="false">
      <c r="A4326" s="15" t="s">
        <v>278</v>
      </c>
      <c r="B4326" s="15" t="s">
        <v>279</v>
      </c>
      <c r="C4326" s="15" t="s">
        <v>1170</v>
      </c>
      <c r="D4326" s="15" t="s">
        <v>1171</v>
      </c>
      <c r="E4326" s="15"/>
      <c r="F4326" s="15" t="s">
        <v>1162</v>
      </c>
      <c r="G4326" s="15" t="s">
        <v>112</v>
      </c>
      <c r="H4326" s="15" t="s">
        <v>1176</v>
      </c>
    </row>
    <row r="4327" customFormat="false" ht="15" hidden="false" customHeight="true" outlineLevel="0" collapsed="false">
      <c r="A4327" s="15" t="s">
        <v>261</v>
      </c>
      <c r="B4327" s="15" t="s">
        <v>262</v>
      </c>
      <c r="C4327" s="15" t="s">
        <v>1160</v>
      </c>
      <c r="D4327" s="15" t="s">
        <v>1173</v>
      </c>
      <c r="E4327" s="15"/>
      <c r="F4327" s="15" t="s">
        <v>1162</v>
      </c>
      <c r="G4327" s="15" t="s">
        <v>112</v>
      </c>
      <c r="H4327" s="15" t="s">
        <v>1174</v>
      </c>
    </row>
    <row r="4328" customFormat="false" ht="15" hidden="false" customHeight="true" outlineLevel="0" collapsed="false">
      <c r="A4328" s="15" t="s">
        <v>261</v>
      </c>
      <c r="B4328" s="15" t="s">
        <v>262</v>
      </c>
      <c r="C4328" s="15" t="s">
        <v>1164</v>
      </c>
      <c r="D4328" s="15" t="s">
        <v>1175</v>
      </c>
      <c r="E4328" s="15"/>
      <c r="F4328" s="15" t="s">
        <v>1162</v>
      </c>
      <c r="G4328" s="15" t="s">
        <v>112</v>
      </c>
      <c r="H4328" s="15"/>
    </row>
    <row r="4329" customFormat="false" ht="15" hidden="false" customHeight="true" outlineLevel="0" collapsed="false">
      <c r="A4329" s="15" t="s">
        <v>261</v>
      </c>
      <c r="B4329" s="15" t="s">
        <v>262</v>
      </c>
      <c r="C4329" s="15" t="s">
        <v>1167</v>
      </c>
      <c r="D4329" s="15" t="s">
        <v>1168</v>
      </c>
      <c r="E4329" s="15"/>
      <c r="F4329" s="15" t="s">
        <v>1162</v>
      </c>
      <c r="G4329" s="15" t="s">
        <v>112</v>
      </c>
      <c r="H4329" s="15"/>
    </row>
    <row r="4330" customFormat="false" ht="15" hidden="false" customHeight="true" outlineLevel="0" collapsed="false">
      <c r="A4330" s="15" t="s">
        <v>261</v>
      </c>
      <c r="B4330" s="15" t="s">
        <v>262</v>
      </c>
      <c r="C4330" s="15" t="s">
        <v>1170</v>
      </c>
      <c r="D4330" s="15" t="s">
        <v>1171</v>
      </c>
      <c r="E4330" s="15"/>
      <c r="F4330" s="15" t="s">
        <v>1162</v>
      </c>
      <c r="G4330" s="15" t="s">
        <v>112</v>
      </c>
      <c r="H4330" s="15" t="s">
        <v>1176</v>
      </c>
    </row>
    <row r="4331" customFormat="false" ht="15" hidden="false" customHeight="true" outlineLevel="0" collapsed="false">
      <c r="A4331" s="15" t="s">
        <v>291</v>
      </c>
      <c r="B4331" s="15" t="s">
        <v>292</v>
      </c>
      <c r="C4331" s="15" t="s">
        <v>1160</v>
      </c>
      <c r="D4331" s="15" t="s">
        <v>1173</v>
      </c>
      <c r="E4331" s="15"/>
      <c r="F4331" s="15" t="s">
        <v>1162</v>
      </c>
      <c r="G4331" s="15" t="s">
        <v>112</v>
      </c>
      <c r="H4331" s="15" t="s">
        <v>1174</v>
      </c>
    </row>
    <row r="4332" customFormat="false" ht="15" hidden="false" customHeight="true" outlineLevel="0" collapsed="false">
      <c r="A4332" s="15" t="s">
        <v>291</v>
      </c>
      <c r="B4332" s="15" t="s">
        <v>292</v>
      </c>
      <c r="C4332" s="15" t="s">
        <v>1164</v>
      </c>
      <c r="D4332" s="15" t="s">
        <v>1175</v>
      </c>
      <c r="E4332" s="15"/>
      <c r="F4332" s="15" t="s">
        <v>1162</v>
      </c>
      <c r="G4332" s="15" t="s">
        <v>112</v>
      </c>
      <c r="H4332" s="15"/>
    </row>
    <row r="4333" customFormat="false" ht="15" hidden="false" customHeight="true" outlineLevel="0" collapsed="false">
      <c r="A4333" s="15" t="s">
        <v>291</v>
      </c>
      <c r="B4333" s="15" t="s">
        <v>292</v>
      </c>
      <c r="C4333" s="15" t="s">
        <v>1167</v>
      </c>
      <c r="D4333" s="15" t="s">
        <v>1168</v>
      </c>
      <c r="E4333" s="15"/>
      <c r="F4333" s="15" t="s">
        <v>1162</v>
      </c>
      <c r="G4333" s="15" t="s">
        <v>112</v>
      </c>
      <c r="H4333" s="15"/>
    </row>
    <row r="4334" customFormat="false" ht="15" hidden="false" customHeight="true" outlineLevel="0" collapsed="false">
      <c r="A4334" s="15" t="s">
        <v>291</v>
      </c>
      <c r="B4334" s="15" t="s">
        <v>292</v>
      </c>
      <c r="C4334" s="15" t="s">
        <v>1170</v>
      </c>
      <c r="D4334" s="15" t="s">
        <v>1171</v>
      </c>
      <c r="E4334" s="15"/>
      <c r="F4334" s="15" t="s">
        <v>1162</v>
      </c>
      <c r="G4334" s="15" t="s">
        <v>112</v>
      </c>
      <c r="H4334" s="15" t="s">
        <v>1176</v>
      </c>
    </row>
    <row r="4335" customFormat="false" ht="15" hidden="false" customHeight="true" outlineLevel="0" collapsed="false">
      <c r="A4335" s="15" t="s">
        <v>264</v>
      </c>
      <c r="B4335" s="15" t="s">
        <v>265</v>
      </c>
      <c r="C4335" s="15" t="s">
        <v>1160</v>
      </c>
      <c r="D4335" s="15" t="s">
        <v>1173</v>
      </c>
      <c r="E4335" s="15"/>
      <c r="F4335" s="15" t="s">
        <v>1162</v>
      </c>
      <c r="G4335" s="15" t="s">
        <v>112</v>
      </c>
      <c r="H4335" s="15" t="s">
        <v>1174</v>
      </c>
    </row>
    <row r="4336" customFormat="false" ht="15" hidden="false" customHeight="true" outlineLevel="0" collapsed="false">
      <c r="A4336" s="15" t="s">
        <v>264</v>
      </c>
      <c r="B4336" s="15" t="s">
        <v>265</v>
      </c>
      <c r="C4336" s="15" t="s">
        <v>1164</v>
      </c>
      <c r="D4336" s="15" t="s">
        <v>1175</v>
      </c>
      <c r="E4336" s="15"/>
      <c r="F4336" s="15" t="s">
        <v>1162</v>
      </c>
      <c r="G4336" s="15" t="s">
        <v>112</v>
      </c>
      <c r="H4336" s="15"/>
    </row>
    <row r="4337" customFormat="false" ht="15" hidden="false" customHeight="true" outlineLevel="0" collapsed="false">
      <c r="A4337" s="15" t="s">
        <v>264</v>
      </c>
      <c r="B4337" s="15" t="s">
        <v>265</v>
      </c>
      <c r="C4337" s="15" t="s">
        <v>1167</v>
      </c>
      <c r="D4337" s="15" t="s">
        <v>1168</v>
      </c>
      <c r="E4337" s="15"/>
      <c r="F4337" s="15" t="s">
        <v>1162</v>
      </c>
      <c r="G4337" s="15" t="s">
        <v>112</v>
      </c>
      <c r="H4337" s="15"/>
    </row>
    <row r="4338" customFormat="false" ht="15" hidden="false" customHeight="true" outlineLevel="0" collapsed="false">
      <c r="A4338" s="15" t="s">
        <v>264</v>
      </c>
      <c r="B4338" s="15" t="s">
        <v>265</v>
      </c>
      <c r="C4338" s="15" t="s">
        <v>1170</v>
      </c>
      <c r="D4338" s="15" t="s">
        <v>1171</v>
      </c>
      <c r="E4338" s="15"/>
      <c r="F4338" s="15" t="s">
        <v>1162</v>
      </c>
      <c r="G4338" s="15" t="s">
        <v>112</v>
      </c>
      <c r="H4338" s="15" t="s">
        <v>1176</v>
      </c>
    </row>
    <row r="4339" customFormat="false" ht="15" hidden="false" customHeight="true" outlineLevel="0" collapsed="false">
      <c r="A4339" s="15" t="s">
        <v>282</v>
      </c>
      <c r="B4339" s="15" t="s">
        <v>283</v>
      </c>
      <c r="C4339" s="15" t="s">
        <v>1160</v>
      </c>
      <c r="D4339" s="15" t="s">
        <v>1173</v>
      </c>
      <c r="E4339" s="15"/>
      <c r="F4339" s="15" t="s">
        <v>1162</v>
      </c>
      <c r="G4339" s="15" t="s">
        <v>112</v>
      </c>
      <c r="H4339" s="15" t="s">
        <v>1174</v>
      </c>
    </row>
    <row r="4340" customFormat="false" ht="15" hidden="false" customHeight="true" outlineLevel="0" collapsed="false">
      <c r="A4340" s="15" t="s">
        <v>282</v>
      </c>
      <c r="B4340" s="15" t="s">
        <v>283</v>
      </c>
      <c r="C4340" s="15" t="s">
        <v>1164</v>
      </c>
      <c r="D4340" s="15" t="s">
        <v>1175</v>
      </c>
      <c r="E4340" s="15"/>
      <c r="F4340" s="15" t="s">
        <v>1162</v>
      </c>
      <c r="G4340" s="15" t="s">
        <v>112</v>
      </c>
      <c r="H4340" s="15"/>
    </row>
    <row r="4341" customFormat="false" ht="15" hidden="false" customHeight="true" outlineLevel="0" collapsed="false">
      <c r="A4341" s="15" t="s">
        <v>282</v>
      </c>
      <c r="B4341" s="15" t="s">
        <v>283</v>
      </c>
      <c r="C4341" s="15" t="s">
        <v>1167</v>
      </c>
      <c r="D4341" s="15" t="s">
        <v>1168</v>
      </c>
      <c r="E4341" s="15"/>
      <c r="F4341" s="15" t="s">
        <v>1162</v>
      </c>
      <c r="G4341" s="15" t="s">
        <v>112</v>
      </c>
      <c r="H4341" s="15"/>
    </row>
    <row r="4342" customFormat="false" ht="15" hidden="false" customHeight="true" outlineLevel="0" collapsed="false">
      <c r="A4342" s="15" t="s">
        <v>282</v>
      </c>
      <c r="B4342" s="15" t="s">
        <v>283</v>
      </c>
      <c r="C4342" s="15" t="s">
        <v>1170</v>
      </c>
      <c r="D4342" s="15" t="s">
        <v>1171</v>
      </c>
      <c r="E4342" s="15"/>
      <c r="F4342" s="15" t="s">
        <v>1162</v>
      </c>
      <c r="G4342" s="15" t="s">
        <v>112</v>
      </c>
      <c r="H4342" s="15" t="s">
        <v>1176</v>
      </c>
    </row>
    <row r="4343" customFormat="false" ht="26.25" hidden="false" customHeight="true" outlineLevel="0" collapsed="false">
      <c r="A4343" s="15" t="s">
        <v>268</v>
      </c>
      <c r="B4343" s="15" t="s">
        <v>269</v>
      </c>
      <c r="C4343" s="15" t="s">
        <v>1160</v>
      </c>
      <c r="D4343" s="15" t="s">
        <v>1173</v>
      </c>
      <c r="E4343" s="15"/>
      <c r="F4343" s="15" t="s">
        <v>1162</v>
      </c>
      <c r="G4343" s="15" t="s">
        <v>112</v>
      </c>
      <c r="H4343" s="15" t="s">
        <v>1174</v>
      </c>
    </row>
    <row r="4344" customFormat="false" ht="26.25" hidden="false" customHeight="true" outlineLevel="0" collapsed="false">
      <c r="A4344" s="15" t="s">
        <v>268</v>
      </c>
      <c r="B4344" s="15" t="s">
        <v>269</v>
      </c>
      <c r="C4344" s="15" t="s">
        <v>1164</v>
      </c>
      <c r="D4344" s="15" t="s">
        <v>1175</v>
      </c>
      <c r="E4344" s="15"/>
      <c r="F4344" s="15" t="s">
        <v>1162</v>
      </c>
      <c r="G4344" s="15" t="s">
        <v>112</v>
      </c>
      <c r="H4344" s="15"/>
    </row>
    <row r="4345" customFormat="false" ht="26.25" hidden="false" customHeight="true" outlineLevel="0" collapsed="false">
      <c r="A4345" s="15" t="s">
        <v>268</v>
      </c>
      <c r="B4345" s="15" t="s">
        <v>269</v>
      </c>
      <c r="C4345" s="15" t="s">
        <v>1167</v>
      </c>
      <c r="D4345" s="15" t="s">
        <v>1168</v>
      </c>
      <c r="E4345" s="15"/>
      <c r="F4345" s="15" t="s">
        <v>1162</v>
      </c>
      <c r="G4345" s="15" t="s">
        <v>112</v>
      </c>
      <c r="H4345" s="15"/>
    </row>
    <row r="4346" customFormat="false" ht="26.25" hidden="false" customHeight="true" outlineLevel="0" collapsed="false">
      <c r="A4346" s="15" t="s">
        <v>268</v>
      </c>
      <c r="B4346" s="15" t="s">
        <v>269</v>
      </c>
      <c r="C4346" s="15" t="s">
        <v>1170</v>
      </c>
      <c r="D4346" s="15" t="s">
        <v>1171</v>
      </c>
      <c r="E4346" s="15"/>
      <c r="F4346" s="15" t="s">
        <v>1162</v>
      </c>
      <c r="G4346" s="15" t="s">
        <v>112</v>
      </c>
      <c r="H4346" s="15" t="s">
        <v>1176</v>
      </c>
    </row>
    <row r="4347" customFormat="false" ht="26.25" hidden="false" customHeight="true" outlineLevel="0" collapsed="false">
      <c r="A4347" s="15" t="s">
        <v>296</v>
      </c>
      <c r="B4347" s="15" t="s">
        <v>297</v>
      </c>
      <c r="C4347" s="15" t="s">
        <v>1160</v>
      </c>
      <c r="D4347" s="15" t="s">
        <v>1173</v>
      </c>
      <c r="E4347" s="15"/>
      <c r="F4347" s="15" t="s">
        <v>1162</v>
      </c>
      <c r="G4347" s="15" t="s">
        <v>112</v>
      </c>
      <c r="H4347" s="15" t="s">
        <v>1174</v>
      </c>
    </row>
    <row r="4348" customFormat="false" ht="26.25" hidden="false" customHeight="true" outlineLevel="0" collapsed="false">
      <c r="A4348" s="15" t="s">
        <v>296</v>
      </c>
      <c r="B4348" s="15" t="s">
        <v>297</v>
      </c>
      <c r="C4348" s="15" t="s">
        <v>1164</v>
      </c>
      <c r="D4348" s="15" t="s">
        <v>1175</v>
      </c>
      <c r="E4348" s="15"/>
      <c r="F4348" s="15" t="s">
        <v>1162</v>
      </c>
      <c r="G4348" s="15" t="s">
        <v>112</v>
      </c>
      <c r="H4348" s="15"/>
    </row>
    <row r="4349" customFormat="false" ht="26.25" hidden="false" customHeight="true" outlineLevel="0" collapsed="false">
      <c r="A4349" s="15" t="s">
        <v>296</v>
      </c>
      <c r="B4349" s="15" t="s">
        <v>297</v>
      </c>
      <c r="C4349" s="15" t="s">
        <v>1167</v>
      </c>
      <c r="D4349" s="15" t="s">
        <v>1168</v>
      </c>
      <c r="E4349" s="15"/>
      <c r="F4349" s="15" t="s">
        <v>1162</v>
      </c>
      <c r="G4349" s="15" t="s">
        <v>112</v>
      </c>
      <c r="H4349" s="15"/>
    </row>
    <row r="4350" customFormat="false" ht="26.25" hidden="false" customHeight="true" outlineLevel="0" collapsed="false">
      <c r="A4350" s="15" t="s">
        <v>296</v>
      </c>
      <c r="B4350" s="15" t="s">
        <v>297</v>
      </c>
      <c r="C4350" s="15" t="s">
        <v>1170</v>
      </c>
      <c r="D4350" s="15" t="s">
        <v>1171</v>
      </c>
      <c r="E4350" s="15"/>
      <c r="F4350" s="15" t="s">
        <v>1162</v>
      </c>
      <c r="G4350" s="15" t="s">
        <v>112</v>
      </c>
      <c r="H4350" s="15" t="s">
        <v>1176</v>
      </c>
    </row>
    <row r="4351" customFormat="false" ht="15" hidden="false" customHeight="true" outlineLevel="0" collapsed="false">
      <c r="A4351" s="15" t="s">
        <v>275</v>
      </c>
      <c r="B4351" s="15" t="s">
        <v>276</v>
      </c>
      <c r="C4351" s="15" t="s">
        <v>1160</v>
      </c>
      <c r="D4351" s="15" t="s">
        <v>1173</v>
      </c>
      <c r="E4351" s="15"/>
      <c r="F4351" s="15" t="s">
        <v>1162</v>
      </c>
      <c r="G4351" s="15" t="s">
        <v>112</v>
      </c>
      <c r="H4351" s="15" t="s">
        <v>1174</v>
      </c>
    </row>
    <row r="4352" customFormat="false" ht="15" hidden="false" customHeight="true" outlineLevel="0" collapsed="false">
      <c r="A4352" s="15" t="s">
        <v>275</v>
      </c>
      <c r="B4352" s="15" t="s">
        <v>276</v>
      </c>
      <c r="C4352" s="15" t="s">
        <v>1164</v>
      </c>
      <c r="D4352" s="15" t="s">
        <v>1175</v>
      </c>
      <c r="E4352" s="15"/>
      <c r="F4352" s="15" t="s">
        <v>1162</v>
      </c>
      <c r="G4352" s="15" t="s">
        <v>112</v>
      </c>
      <c r="H4352" s="15"/>
    </row>
    <row r="4353" customFormat="false" ht="15" hidden="false" customHeight="true" outlineLevel="0" collapsed="false">
      <c r="A4353" s="15" t="s">
        <v>275</v>
      </c>
      <c r="B4353" s="15" t="s">
        <v>276</v>
      </c>
      <c r="C4353" s="15" t="s">
        <v>1167</v>
      </c>
      <c r="D4353" s="15" t="s">
        <v>1168</v>
      </c>
      <c r="E4353" s="15"/>
      <c r="F4353" s="15" t="s">
        <v>1162</v>
      </c>
      <c r="G4353" s="15" t="s">
        <v>112</v>
      </c>
      <c r="H4353" s="15"/>
    </row>
    <row r="4354" customFormat="false" ht="15" hidden="false" customHeight="true" outlineLevel="0" collapsed="false">
      <c r="A4354" s="15" t="s">
        <v>275</v>
      </c>
      <c r="B4354" s="15" t="s">
        <v>276</v>
      </c>
      <c r="C4354" s="15" t="s">
        <v>1170</v>
      </c>
      <c r="D4354" s="15" t="s">
        <v>1171</v>
      </c>
      <c r="E4354" s="15"/>
      <c r="F4354" s="15" t="s">
        <v>1162</v>
      </c>
      <c r="G4354" s="15" t="s">
        <v>112</v>
      </c>
      <c r="H4354" s="15" t="s">
        <v>1176</v>
      </c>
    </row>
    <row r="4355" customFormat="false" ht="26.25" hidden="false" customHeight="true" outlineLevel="0" collapsed="false">
      <c r="A4355" s="15" t="s">
        <v>289</v>
      </c>
      <c r="B4355" s="15" t="s">
        <v>249</v>
      </c>
      <c r="C4355" s="15" t="s">
        <v>1160</v>
      </c>
      <c r="D4355" s="15" t="s">
        <v>1173</v>
      </c>
      <c r="E4355" s="15"/>
      <c r="F4355" s="15" t="s">
        <v>1162</v>
      </c>
      <c r="G4355" s="15" t="s">
        <v>112</v>
      </c>
      <c r="H4355" s="15" t="s">
        <v>1174</v>
      </c>
    </row>
    <row r="4356" customFormat="false" ht="26.25" hidden="false" customHeight="true" outlineLevel="0" collapsed="false">
      <c r="A4356" s="15" t="s">
        <v>289</v>
      </c>
      <c r="B4356" s="15" t="s">
        <v>249</v>
      </c>
      <c r="C4356" s="15" t="s">
        <v>1164</v>
      </c>
      <c r="D4356" s="15" t="s">
        <v>1175</v>
      </c>
      <c r="E4356" s="15"/>
      <c r="F4356" s="15" t="s">
        <v>1162</v>
      </c>
      <c r="G4356" s="15" t="s">
        <v>112</v>
      </c>
      <c r="H4356" s="15"/>
    </row>
    <row r="4357" customFormat="false" ht="26.25" hidden="false" customHeight="true" outlineLevel="0" collapsed="false">
      <c r="A4357" s="15" t="s">
        <v>289</v>
      </c>
      <c r="B4357" s="15" t="s">
        <v>249</v>
      </c>
      <c r="C4357" s="15" t="s">
        <v>1167</v>
      </c>
      <c r="D4357" s="15" t="s">
        <v>1168</v>
      </c>
      <c r="E4357" s="15"/>
      <c r="F4357" s="15" t="s">
        <v>1162</v>
      </c>
      <c r="G4357" s="15" t="s">
        <v>112</v>
      </c>
      <c r="H4357" s="15"/>
    </row>
    <row r="4358" customFormat="false" ht="26.25" hidden="false" customHeight="true" outlineLevel="0" collapsed="false">
      <c r="A4358" s="15" t="s">
        <v>289</v>
      </c>
      <c r="B4358" s="15" t="s">
        <v>249</v>
      </c>
      <c r="C4358" s="15" t="s">
        <v>1170</v>
      </c>
      <c r="D4358" s="15" t="s">
        <v>1171</v>
      </c>
      <c r="E4358" s="15"/>
      <c r="F4358" s="15" t="s">
        <v>1162</v>
      </c>
      <c r="G4358" s="15" t="s">
        <v>112</v>
      </c>
      <c r="H4358" s="15" t="s">
        <v>1176</v>
      </c>
    </row>
    <row r="4359" customFormat="false" ht="15" hidden="false" customHeight="true" outlineLevel="0" collapsed="false">
      <c r="A4359" s="15" t="s">
        <v>271</v>
      </c>
      <c r="B4359" s="15" t="s">
        <v>272</v>
      </c>
      <c r="C4359" s="15" t="s">
        <v>1160</v>
      </c>
      <c r="D4359" s="15" t="s">
        <v>1173</v>
      </c>
      <c r="E4359" s="15"/>
      <c r="F4359" s="15" t="s">
        <v>1162</v>
      </c>
      <c r="G4359" s="15" t="s">
        <v>112</v>
      </c>
      <c r="H4359" s="15" t="s">
        <v>1174</v>
      </c>
    </row>
    <row r="4360" customFormat="false" ht="15" hidden="false" customHeight="true" outlineLevel="0" collapsed="false">
      <c r="A4360" s="15" t="s">
        <v>271</v>
      </c>
      <c r="B4360" s="15" t="s">
        <v>272</v>
      </c>
      <c r="C4360" s="15" t="s">
        <v>1164</v>
      </c>
      <c r="D4360" s="15" t="s">
        <v>1175</v>
      </c>
      <c r="E4360" s="15"/>
      <c r="F4360" s="15" t="s">
        <v>1162</v>
      </c>
      <c r="G4360" s="15" t="s">
        <v>112</v>
      </c>
      <c r="H4360" s="15"/>
    </row>
    <row r="4361" customFormat="false" ht="15" hidden="false" customHeight="true" outlineLevel="0" collapsed="false">
      <c r="A4361" s="15" t="s">
        <v>271</v>
      </c>
      <c r="B4361" s="15" t="s">
        <v>272</v>
      </c>
      <c r="C4361" s="15" t="s">
        <v>1167</v>
      </c>
      <c r="D4361" s="15" t="s">
        <v>1168</v>
      </c>
      <c r="E4361" s="15"/>
      <c r="F4361" s="15" t="s">
        <v>1162</v>
      </c>
      <c r="G4361" s="15" t="s">
        <v>112</v>
      </c>
      <c r="H4361" s="15"/>
    </row>
    <row r="4362" customFormat="false" ht="15" hidden="false" customHeight="true" outlineLevel="0" collapsed="false">
      <c r="A4362" s="15" t="s">
        <v>271</v>
      </c>
      <c r="B4362" s="15" t="s">
        <v>272</v>
      </c>
      <c r="C4362" s="15" t="s">
        <v>1170</v>
      </c>
      <c r="D4362" s="15" t="s">
        <v>1171</v>
      </c>
      <c r="E4362" s="15"/>
      <c r="F4362" s="15" t="s">
        <v>1162</v>
      </c>
      <c r="G4362" s="15" t="s">
        <v>112</v>
      </c>
      <c r="H4362" s="15" t="s">
        <v>1176</v>
      </c>
    </row>
    <row r="4363" customFormat="false" ht="15" hidden="false" customHeight="true" outlineLevel="0" collapsed="false">
      <c r="A4363" s="15" t="s">
        <v>285</v>
      </c>
      <c r="B4363" s="15" t="s">
        <v>286</v>
      </c>
      <c r="C4363" s="15" t="s">
        <v>1160</v>
      </c>
      <c r="D4363" s="15" t="s">
        <v>1173</v>
      </c>
      <c r="E4363" s="15"/>
      <c r="F4363" s="15" t="s">
        <v>1162</v>
      </c>
      <c r="G4363" s="15" t="s">
        <v>112</v>
      </c>
      <c r="H4363" s="15" t="s">
        <v>1174</v>
      </c>
    </row>
    <row r="4364" customFormat="false" ht="15" hidden="false" customHeight="true" outlineLevel="0" collapsed="false">
      <c r="A4364" s="15" t="s">
        <v>285</v>
      </c>
      <c r="B4364" s="15" t="s">
        <v>286</v>
      </c>
      <c r="C4364" s="15" t="s">
        <v>1164</v>
      </c>
      <c r="D4364" s="15" t="s">
        <v>1175</v>
      </c>
      <c r="E4364" s="15"/>
      <c r="F4364" s="15" t="s">
        <v>1162</v>
      </c>
      <c r="G4364" s="15" t="s">
        <v>112</v>
      </c>
      <c r="H4364" s="15"/>
    </row>
    <row r="4365" customFormat="false" ht="15" hidden="false" customHeight="true" outlineLevel="0" collapsed="false">
      <c r="A4365" s="15" t="s">
        <v>285</v>
      </c>
      <c r="B4365" s="15" t="s">
        <v>286</v>
      </c>
      <c r="C4365" s="15" t="s">
        <v>1167</v>
      </c>
      <c r="D4365" s="15" t="s">
        <v>1168</v>
      </c>
      <c r="E4365" s="15"/>
      <c r="F4365" s="15" t="s">
        <v>1162</v>
      </c>
      <c r="G4365" s="15" t="s">
        <v>112</v>
      </c>
      <c r="H4365" s="15"/>
    </row>
    <row r="4366" customFormat="false" ht="15" hidden="false" customHeight="true" outlineLevel="0" collapsed="false">
      <c r="A4366" s="15" t="s">
        <v>285</v>
      </c>
      <c r="B4366" s="15" t="s">
        <v>286</v>
      </c>
      <c r="C4366" s="15" t="s">
        <v>1170</v>
      </c>
      <c r="D4366" s="15" t="s">
        <v>1171</v>
      </c>
      <c r="E4366" s="15"/>
      <c r="F4366" s="15" t="s">
        <v>1162</v>
      </c>
      <c r="G4366" s="15" t="s">
        <v>112</v>
      </c>
      <c r="H4366" s="15" t="s">
        <v>1176</v>
      </c>
    </row>
    <row r="4367" customFormat="false" ht="15" hidden="false" customHeight="true" outlineLevel="0" collapsed="false">
      <c r="A4367" s="15" t="s">
        <v>195</v>
      </c>
      <c r="B4367" s="15" t="s">
        <v>197</v>
      </c>
      <c r="C4367" s="15" t="s">
        <v>1160</v>
      </c>
      <c r="D4367" s="15" t="s">
        <v>1177</v>
      </c>
      <c r="E4367" s="15"/>
      <c r="F4367" s="15" t="s">
        <v>1162</v>
      </c>
      <c r="G4367" s="15" t="s">
        <v>112</v>
      </c>
      <c r="H4367" s="15" t="s">
        <v>1178</v>
      </c>
    </row>
    <row r="4368" customFormat="false" ht="26.25" hidden="false" customHeight="true" outlineLevel="0" collapsed="false">
      <c r="A4368" s="15" t="s">
        <v>234</v>
      </c>
      <c r="B4368" s="15" t="s">
        <v>235</v>
      </c>
      <c r="C4368" s="15" t="s">
        <v>1160</v>
      </c>
      <c r="D4368" s="15" t="s">
        <v>1177</v>
      </c>
      <c r="E4368" s="15"/>
      <c r="F4368" s="15" t="s">
        <v>1162</v>
      </c>
      <c r="G4368" s="15" t="s">
        <v>112</v>
      </c>
      <c r="H4368" s="15" t="s">
        <v>1178</v>
      </c>
    </row>
    <row r="4369" customFormat="false" ht="15" hidden="false" customHeight="true" outlineLevel="0" collapsed="false">
      <c r="A4369" s="15" t="s">
        <v>204</v>
      </c>
      <c r="B4369" s="15" t="s">
        <v>205</v>
      </c>
      <c r="C4369" s="15" t="s">
        <v>1160</v>
      </c>
      <c r="D4369" s="15" t="s">
        <v>1177</v>
      </c>
      <c r="E4369" s="15"/>
      <c r="F4369" s="15" t="s">
        <v>1162</v>
      </c>
      <c r="G4369" s="15" t="s">
        <v>112</v>
      </c>
      <c r="H4369" s="15" t="s">
        <v>1178</v>
      </c>
    </row>
    <row r="4370" customFormat="false" ht="26.25" hidden="false" customHeight="true" outlineLevel="0" collapsed="false">
      <c r="A4370" s="15" t="s">
        <v>238</v>
      </c>
      <c r="B4370" s="15" t="s">
        <v>239</v>
      </c>
      <c r="C4370" s="15" t="s">
        <v>1160</v>
      </c>
      <c r="D4370" s="15" t="s">
        <v>1177</v>
      </c>
      <c r="E4370" s="15"/>
      <c r="F4370" s="15" t="s">
        <v>1162</v>
      </c>
      <c r="G4370" s="15" t="s">
        <v>112</v>
      </c>
      <c r="H4370" s="15" t="s">
        <v>1178</v>
      </c>
    </row>
    <row r="4371" customFormat="false" ht="26.25" hidden="false" customHeight="true" outlineLevel="0" collapsed="false">
      <c r="A4371" s="15" t="s">
        <v>207</v>
      </c>
      <c r="B4371" s="15" t="s">
        <v>208</v>
      </c>
      <c r="C4371" s="15" t="s">
        <v>1160</v>
      </c>
      <c r="D4371" s="15" t="s">
        <v>1177</v>
      </c>
      <c r="E4371" s="15"/>
      <c r="F4371" s="15" t="s">
        <v>1162</v>
      </c>
      <c r="G4371" s="15" t="s">
        <v>112</v>
      </c>
      <c r="H4371" s="15" t="s">
        <v>1178</v>
      </c>
    </row>
    <row r="4372" customFormat="false" ht="26.25" hidden="false" customHeight="true" outlineLevel="0" collapsed="false">
      <c r="A4372" s="15" t="s">
        <v>245</v>
      </c>
      <c r="B4372" s="15" t="s">
        <v>246</v>
      </c>
      <c r="C4372" s="15" t="s">
        <v>1160</v>
      </c>
      <c r="D4372" s="15" t="s">
        <v>1177</v>
      </c>
      <c r="E4372" s="15"/>
      <c r="F4372" s="15" t="s">
        <v>1162</v>
      </c>
      <c r="G4372" s="15" t="s">
        <v>112</v>
      </c>
      <c r="H4372" s="15" t="s">
        <v>1178</v>
      </c>
    </row>
    <row r="4373" customFormat="false" ht="26.25" hidden="false" customHeight="true" outlineLevel="0" collapsed="false">
      <c r="A4373" s="15" t="s">
        <v>215</v>
      </c>
      <c r="B4373" s="15" t="s">
        <v>216</v>
      </c>
      <c r="C4373" s="15" t="s">
        <v>1160</v>
      </c>
      <c r="D4373" s="15" t="s">
        <v>1177</v>
      </c>
      <c r="E4373" s="15"/>
      <c r="F4373" s="15" t="s">
        <v>1162</v>
      </c>
      <c r="G4373" s="15" t="s">
        <v>112</v>
      </c>
      <c r="H4373" s="15" t="s">
        <v>1178</v>
      </c>
    </row>
    <row r="4374" customFormat="false" ht="26.25" hidden="false" customHeight="true" outlineLevel="0" collapsed="false">
      <c r="A4374" s="15" t="s">
        <v>241</v>
      </c>
      <c r="B4374" s="15" t="s">
        <v>242</v>
      </c>
      <c r="C4374" s="15" t="s">
        <v>1160</v>
      </c>
      <c r="D4374" s="15" t="s">
        <v>1177</v>
      </c>
      <c r="E4374" s="15"/>
      <c r="F4374" s="15" t="s">
        <v>1162</v>
      </c>
      <c r="G4374" s="15" t="s">
        <v>112</v>
      </c>
      <c r="H4374" s="15" t="s">
        <v>1178</v>
      </c>
    </row>
    <row r="4375" customFormat="false" ht="26.25" hidden="false" customHeight="true" outlineLevel="0" collapsed="false">
      <c r="A4375" s="15" t="s">
        <v>221</v>
      </c>
      <c r="B4375" s="15" t="s">
        <v>222</v>
      </c>
      <c r="C4375" s="15" t="s">
        <v>1160</v>
      </c>
      <c r="D4375" s="15" t="s">
        <v>1177</v>
      </c>
      <c r="E4375" s="15"/>
      <c r="F4375" s="15" t="s">
        <v>1162</v>
      </c>
      <c r="G4375" s="15" t="s">
        <v>112</v>
      </c>
      <c r="H4375" s="15" t="s">
        <v>1178</v>
      </c>
    </row>
    <row r="4376" customFormat="false" ht="26.25" hidden="false" customHeight="true" outlineLevel="0" collapsed="false">
      <c r="A4376" s="15" t="s">
        <v>248</v>
      </c>
      <c r="B4376" s="15" t="s">
        <v>249</v>
      </c>
      <c r="C4376" s="15" t="s">
        <v>1160</v>
      </c>
      <c r="D4376" s="15" t="s">
        <v>1177</v>
      </c>
      <c r="E4376" s="15"/>
      <c r="F4376" s="15" t="s">
        <v>1162</v>
      </c>
      <c r="G4376" s="15" t="s">
        <v>112</v>
      </c>
      <c r="H4376" s="15" t="s">
        <v>1178</v>
      </c>
    </row>
    <row r="4377" customFormat="false" ht="26.25" hidden="false" customHeight="true" outlineLevel="0" collapsed="false">
      <c r="A4377" s="15" t="s">
        <v>230</v>
      </c>
      <c r="B4377" s="15" t="s">
        <v>231</v>
      </c>
      <c r="C4377" s="15" t="s">
        <v>1160</v>
      </c>
      <c r="D4377" s="15" t="s">
        <v>1177</v>
      </c>
      <c r="E4377" s="15"/>
      <c r="F4377" s="15" t="s">
        <v>1162</v>
      </c>
      <c r="G4377" s="15" t="s">
        <v>112</v>
      </c>
      <c r="H4377" s="15" t="s">
        <v>1178</v>
      </c>
    </row>
    <row r="4378" customFormat="false" ht="26.25" hidden="false" customHeight="true" outlineLevel="0" collapsed="false">
      <c r="A4378" s="15" t="s">
        <v>251</v>
      </c>
      <c r="B4378" s="15" t="s">
        <v>252</v>
      </c>
      <c r="C4378" s="15" t="s">
        <v>1160</v>
      </c>
      <c r="D4378" s="15" t="s">
        <v>1177</v>
      </c>
      <c r="E4378" s="15"/>
      <c r="F4378" s="15" t="s">
        <v>1162</v>
      </c>
      <c r="G4378" s="15" t="s">
        <v>112</v>
      </c>
      <c r="H4378" s="15" t="s">
        <v>1178</v>
      </c>
    </row>
    <row r="4379" customFormat="false" ht="26.25" hidden="false" customHeight="true" outlineLevel="0" collapsed="false">
      <c r="A4379" s="15" t="s">
        <v>299</v>
      </c>
      <c r="B4379" s="15" t="s">
        <v>301</v>
      </c>
      <c r="C4379" s="15" t="s">
        <v>1160</v>
      </c>
      <c r="D4379" s="15" t="s">
        <v>1179</v>
      </c>
      <c r="E4379" s="15"/>
      <c r="F4379" s="15" t="s">
        <v>1162</v>
      </c>
      <c r="G4379" s="15" t="s">
        <v>112</v>
      </c>
      <c r="H4379" s="15" t="s">
        <v>1180</v>
      </c>
    </row>
    <row r="4380" customFormat="false" ht="26.25" hidden="false" customHeight="true" outlineLevel="0" collapsed="false">
      <c r="A4380" s="15" t="s">
        <v>299</v>
      </c>
      <c r="B4380" s="15" t="s">
        <v>301</v>
      </c>
      <c r="C4380" s="15" t="s">
        <v>1181</v>
      </c>
      <c r="D4380" s="15" t="s">
        <v>1182</v>
      </c>
      <c r="E4380" s="15"/>
      <c r="F4380" s="15" t="s">
        <v>1162</v>
      </c>
      <c r="G4380" s="15" t="s">
        <v>112</v>
      </c>
      <c r="H4380" s="15" t="s">
        <v>1183</v>
      </c>
    </row>
    <row r="4381" customFormat="false" ht="26.25" hidden="false" customHeight="true" outlineLevel="0" collapsed="false">
      <c r="A4381" s="15" t="s">
        <v>307</v>
      </c>
      <c r="B4381" s="15" t="s">
        <v>308</v>
      </c>
      <c r="C4381" s="15" t="s">
        <v>1160</v>
      </c>
      <c r="D4381" s="15" t="s">
        <v>1179</v>
      </c>
      <c r="E4381" s="15"/>
      <c r="F4381" s="15" t="s">
        <v>1162</v>
      </c>
      <c r="G4381" s="15" t="s">
        <v>112</v>
      </c>
      <c r="H4381" s="15" t="s">
        <v>1180</v>
      </c>
    </row>
    <row r="4382" customFormat="false" ht="26.25" hidden="false" customHeight="true" outlineLevel="0" collapsed="false">
      <c r="A4382" s="15" t="s">
        <v>307</v>
      </c>
      <c r="B4382" s="15" t="s">
        <v>308</v>
      </c>
      <c r="C4382" s="15" t="s">
        <v>1181</v>
      </c>
      <c r="D4382" s="15" t="s">
        <v>1182</v>
      </c>
      <c r="E4382" s="15"/>
      <c r="F4382" s="15" t="s">
        <v>1162</v>
      </c>
      <c r="G4382" s="15" t="s">
        <v>112</v>
      </c>
      <c r="H4382" s="15" t="s">
        <v>1183</v>
      </c>
    </row>
    <row r="4383" customFormat="false" ht="26.25" hidden="false" customHeight="true" outlineLevel="0" collapsed="false">
      <c r="A4383" s="15" t="s">
        <v>211</v>
      </c>
      <c r="B4383" s="15" t="s">
        <v>212</v>
      </c>
      <c r="C4383" s="15" t="s">
        <v>1160</v>
      </c>
      <c r="D4383" s="15" t="s">
        <v>1177</v>
      </c>
      <c r="E4383" s="15"/>
      <c r="F4383" s="15" t="s">
        <v>1162</v>
      </c>
      <c r="G4383" s="15" t="s">
        <v>112</v>
      </c>
      <c r="H4383" s="15" t="s">
        <v>1178</v>
      </c>
    </row>
    <row r="4384" customFormat="false" ht="26.25" hidden="false" customHeight="true" outlineLevel="0" collapsed="false">
      <c r="A4384" s="15" t="s">
        <v>218</v>
      </c>
      <c r="B4384" s="15" t="s">
        <v>219</v>
      </c>
      <c r="C4384" s="15" t="s">
        <v>1160</v>
      </c>
      <c r="D4384" s="15" t="s">
        <v>1177</v>
      </c>
      <c r="E4384" s="15"/>
      <c r="F4384" s="15" t="s">
        <v>1162</v>
      </c>
      <c r="G4384" s="15" t="s">
        <v>112</v>
      </c>
      <c r="H4384" s="15" t="s">
        <v>1178</v>
      </c>
    </row>
    <row r="4385" customFormat="false" ht="26.25" hidden="false" customHeight="true" outlineLevel="0" collapsed="false">
      <c r="A4385" s="15" t="s">
        <v>224</v>
      </c>
      <c r="B4385" s="15" t="s">
        <v>225</v>
      </c>
      <c r="C4385" s="15" t="s">
        <v>1160</v>
      </c>
      <c r="D4385" s="15" t="s">
        <v>1177</v>
      </c>
      <c r="E4385" s="15"/>
      <c r="F4385" s="15" t="s">
        <v>1162</v>
      </c>
      <c r="G4385" s="15" t="s">
        <v>112</v>
      </c>
      <c r="H4385" s="15" t="s">
        <v>1178</v>
      </c>
    </row>
    <row r="4386" customFormat="false" ht="26.25" hidden="false" customHeight="true" outlineLevel="0" collapsed="false">
      <c r="A4386" s="15" t="s">
        <v>227</v>
      </c>
      <c r="B4386" s="15" t="s">
        <v>228</v>
      </c>
      <c r="C4386" s="15" t="s">
        <v>1160</v>
      </c>
      <c r="D4386" s="15" t="s">
        <v>1177</v>
      </c>
      <c r="E4386" s="15"/>
      <c r="F4386" s="15" t="s">
        <v>1162</v>
      </c>
      <c r="G4386" s="15" t="s">
        <v>112</v>
      </c>
      <c r="H4386" s="15" t="s">
        <v>1178</v>
      </c>
    </row>
    <row r="4387" customFormat="false" ht="51.75" hidden="false" customHeight="true" outlineLevel="0" collapsed="false">
      <c r="A4387" s="15" t="s">
        <v>352</v>
      </c>
      <c r="B4387" s="15" t="s">
        <v>354</v>
      </c>
      <c r="C4387" s="15" t="s">
        <v>1160</v>
      </c>
      <c r="D4387" s="15" t="s">
        <v>1184</v>
      </c>
      <c r="E4387" s="15"/>
      <c r="F4387" s="15" t="s">
        <v>1185</v>
      </c>
      <c r="G4387" s="15" t="s">
        <v>293</v>
      </c>
      <c r="H4387" s="15" t="s">
        <v>1186</v>
      </c>
    </row>
    <row r="4388" customFormat="false" ht="15" hidden="false" customHeight="true" outlineLevel="0" collapsed="false">
      <c r="A4388" s="15" t="s">
        <v>352</v>
      </c>
      <c r="B4388" s="15" t="s">
        <v>354</v>
      </c>
      <c r="C4388" s="15" t="s">
        <v>1164</v>
      </c>
      <c r="D4388" s="15" t="s">
        <v>1187</v>
      </c>
      <c r="E4388" s="15"/>
      <c r="F4388" s="15" t="s">
        <v>1185</v>
      </c>
      <c r="G4388" s="15" t="s">
        <v>293</v>
      </c>
      <c r="H4388" s="15"/>
    </row>
    <row r="4389" customFormat="false" ht="15" hidden="false" customHeight="true" outlineLevel="0" collapsed="false">
      <c r="A4389" s="15" t="s">
        <v>352</v>
      </c>
      <c r="B4389" s="15" t="s">
        <v>354</v>
      </c>
      <c r="C4389" s="15" t="s">
        <v>1167</v>
      </c>
      <c r="D4389" s="15" t="s">
        <v>1188</v>
      </c>
      <c r="E4389" s="15"/>
      <c r="F4389" s="15" t="s">
        <v>1185</v>
      </c>
      <c r="G4389" s="15" t="s">
        <v>293</v>
      </c>
      <c r="H4389" s="15"/>
    </row>
    <row r="4390" customFormat="false" ht="15" hidden="false" customHeight="true" outlineLevel="0" collapsed="false">
      <c r="A4390" s="15" t="s">
        <v>352</v>
      </c>
      <c r="B4390" s="15" t="s">
        <v>354</v>
      </c>
      <c r="C4390" s="15" t="s">
        <v>1170</v>
      </c>
      <c r="D4390" s="15" t="s">
        <v>1171</v>
      </c>
      <c r="E4390" s="15"/>
      <c r="F4390" s="15" t="s">
        <v>1185</v>
      </c>
      <c r="G4390" s="15" t="s">
        <v>293</v>
      </c>
      <c r="H4390" s="15"/>
    </row>
    <row r="4391" customFormat="false" ht="51.75" hidden="false" customHeight="true" outlineLevel="0" collapsed="false">
      <c r="A4391" s="15" t="s">
        <v>359</v>
      </c>
      <c r="B4391" s="15" t="s">
        <v>360</v>
      </c>
      <c r="C4391" s="15" t="s">
        <v>1160</v>
      </c>
      <c r="D4391" s="15" t="s">
        <v>1184</v>
      </c>
      <c r="E4391" s="15"/>
      <c r="F4391" s="15" t="s">
        <v>1185</v>
      </c>
      <c r="G4391" s="15" t="s">
        <v>293</v>
      </c>
      <c r="H4391" s="15" t="s">
        <v>1186</v>
      </c>
    </row>
    <row r="4392" customFormat="false" ht="15" hidden="false" customHeight="true" outlineLevel="0" collapsed="false">
      <c r="A4392" s="15" t="s">
        <v>359</v>
      </c>
      <c r="B4392" s="15" t="s">
        <v>360</v>
      </c>
      <c r="C4392" s="15" t="s">
        <v>1164</v>
      </c>
      <c r="D4392" s="15" t="s">
        <v>1187</v>
      </c>
      <c r="E4392" s="15"/>
      <c r="F4392" s="15" t="s">
        <v>1185</v>
      </c>
      <c r="G4392" s="15" t="s">
        <v>293</v>
      </c>
      <c r="H4392" s="15"/>
    </row>
    <row r="4393" customFormat="false" ht="15" hidden="false" customHeight="true" outlineLevel="0" collapsed="false">
      <c r="A4393" s="15" t="s">
        <v>359</v>
      </c>
      <c r="B4393" s="15" t="s">
        <v>360</v>
      </c>
      <c r="C4393" s="15" t="s">
        <v>1167</v>
      </c>
      <c r="D4393" s="15" t="s">
        <v>1188</v>
      </c>
      <c r="E4393" s="15"/>
      <c r="F4393" s="15" t="s">
        <v>1185</v>
      </c>
      <c r="G4393" s="15" t="s">
        <v>293</v>
      </c>
      <c r="H4393" s="15"/>
    </row>
    <row r="4394" customFormat="false" ht="15" hidden="false" customHeight="true" outlineLevel="0" collapsed="false">
      <c r="A4394" s="15" t="s">
        <v>359</v>
      </c>
      <c r="B4394" s="15" t="s">
        <v>360</v>
      </c>
      <c r="C4394" s="15" t="s">
        <v>1170</v>
      </c>
      <c r="D4394" s="15" t="s">
        <v>1171</v>
      </c>
      <c r="E4394" s="15"/>
      <c r="F4394" s="15" t="s">
        <v>1185</v>
      </c>
      <c r="G4394" s="15" t="s">
        <v>293</v>
      </c>
      <c r="H4394" s="15"/>
    </row>
    <row r="4395" customFormat="false" ht="26.25" hidden="false" customHeight="true" outlineLevel="0" collapsed="false">
      <c r="A4395" s="15" t="s">
        <v>362</v>
      </c>
      <c r="B4395" s="15" t="s">
        <v>363</v>
      </c>
      <c r="C4395" s="15" t="s">
        <v>1160</v>
      </c>
      <c r="D4395" s="15" t="s">
        <v>1189</v>
      </c>
      <c r="E4395" s="15"/>
      <c r="F4395" s="15" t="s">
        <v>1185</v>
      </c>
      <c r="G4395" s="15" t="s">
        <v>112</v>
      </c>
      <c r="H4395" s="15"/>
    </row>
    <row r="4396" customFormat="false" ht="15" hidden="false" customHeight="true" outlineLevel="0" collapsed="false">
      <c r="A4396" s="15" t="s">
        <v>362</v>
      </c>
      <c r="B4396" s="15" t="s">
        <v>363</v>
      </c>
      <c r="C4396" s="15" t="s">
        <v>1164</v>
      </c>
      <c r="D4396" s="15" t="s">
        <v>1187</v>
      </c>
      <c r="E4396" s="15"/>
      <c r="F4396" s="15" t="s">
        <v>1185</v>
      </c>
      <c r="G4396" s="15" t="s">
        <v>112</v>
      </c>
      <c r="H4396" s="15"/>
    </row>
    <row r="4397" customFormat="false" ht="15" hidden="false" customHeight="true" outlineLevel="0" collapsed="false">
      <c r="A4397" s="15" t="s">
        <v>362</v>
      </c>
      <c r="B4397" s="15" t="s">
        <v>363</v>
      </c>
      <c r="C4397" s="15" t="s">
        <v>1167</v>
      </c>
      <c r="D4397" s="15" t="s">
        <v>1188</v>
      </c>
      <c r="E4397" s="15"/>
      <c r="F4397" s="15" t="s">
        <v>1185</v>
      </c>
      <c r="G4397" s="15" t="s">
        <v>112</v>
      </c>
      <c r="H4397" s="15"/>
    </row>
    <row r="4398" customFormat="false" ht="15" hidden="false" customHeight="true" outlineLevel="0" collapsed="false">
      <c r="A4398" s="15" t="s">
        <v>362</v>
      </c>
      <c r="B4398" s="15" t="s">
        <v>363</v>
      </c>
      <c r="C4398" s="15" t="s">
        <v>1170</v>
      </c>
      <c r="D4398" s="15" t="s">
        <v>1171</v>
      </c>
      <c r="E4398" s="15"/>
      <c r="F4398" s="15" t="s">
        <v>1185</v>
      </c>
      <c r="G4398" s="15" t="s">
        <v>112</v>
      </c>
      <c r="H4398" s="15"/>
    </row>
    <row r="4399" customFormat="false" ht="26.25" hidden="false" customHeight="true" outlineLevel="0" collapsed="false">
      <c r="A4399" s="15" t="s">
        <v>365</v>
      </c>
      <c r="B4399" s="15" t="s">
        <v>366</v>
      </c>
      <c r="C4399" s="15" t="s">
        <v>1160</v>
      </c>
      <c r="D4399" s="15" t="s">
        <v>1190</v>
      </c>
      <c r="E4399" s="15"/>
      <c r="F4399" s="15" t="s">
        <v>1185</v>
      </c>
      <c r="G4399" s="15" t="s">
        <v>112</v>
      </c>
      <c r="H4399" s="15"/>
    </row>
    <row r="4400" customFormat="false" ht="15" hidden="false" customHeight="true" outlineLevel="0" collapsed="false">
      <c r="A4400" s="15" t="s">
        <v>365</v>
      </c>
      <c r="B4400" s="15" t="s">
        <v>366</v>
      </c>
      <c r="C4400" s="15" t="s">
        <v>1164</v>
      </c>
      <c r="D4400" s="15" t="s">
        <v>1187</v>
      </c>
      <c r="E4400" s="15"/>
      <c r="F4400" s="15" t="s">
        <v>1185</v>
      </c>
      <c r="G4400" s="15" t="s">
        <v>112</v>
      </c>
      <c r="H4400" s="15"/>
    </row>
    <row r="4401" customFormat="false" ht="15" hidden="false" customHeight="true" outlineLevel="0" collapsed="false">
      <c r="A4401" s="15" t="s">
        <v>365</v>
      </c>
      <c r="B4401" s="15" t="s">
        <v>366</v>
      </c>
      <c r="C4401" s="15" t="s">
        <v>1167</v>
      </c>
      <c r="D4401" s="15" t="s">
        <v>1188</v>
      </c>
      <c r="E4401" s="15"/>
      <c r="F4401" s="15" t="s">
        <v>1185</v>
      </c>
      <c r="G4401" s="15" t="s">
        <v>112</v>
      </c>
      <c r="H4401" s="15"/>
    </row>
    <row r="4402" customFormat="false" ht="15" hidden="false" customHeight="true" outlineLevel="0" collapsed="false">
      <c r="A4402" s="15" t="s">
        <v>365</v>
      </c>
      <c r="B4402" s="15" t="s">
        <v>366</v>
      </c>
      <c r="C4402" s="15" t="s">
        <v>1170</v>
      </c>
      <c r="D4402" s="15" t="s">
        <v>1171</v>
      </c>
      <c r="E4402" s="15"/>
      <c r="F4402" s="15" t="s">
        <v>1185</v>
      </c>
      <c r="G4402" s="15" t="s">
        <v>112</v>
      </c>
      <c r="H4402" s="15"/>
    </row>
    <row r="4403" customFormat="false" ht="26.25" hidden="false" customHeight="true" outlineLevel="0" collapsed="false">
      <c r="A4403" s="15" t="s">
        <v>368</v>
      </c>
      <c r="B4403" s="15" t="s">
        <v>369</v>
      </c>
      <c r="C4403" s="15" t="s">
        <v>1160</v>
      </c>
      <c r="D4403" s="15" t="s">
        <v>1191</v>
      </c>
      <c r="E4403" s="15"/>
      <c r="F4403" s="15" t="s">
        <v>1185</v>
      </c>
      <c r="G4403" s="15" t="s">
        <v>112</v>
      </c>
      <c r="H4403" s="15"/>
    </row>
    <row r="4404" customFormat="false" ht="15" hidden="false" customHeight="true" outlineLevel="0" collapsed="false">
      <c r="A4404" s="15" t="s">
        <v>368</v>
      </c>
      <c r="B4404" s="15" t="s">
        <v>369</v>
      </c>
      <c r="C4404" s="15" t="s">
        <v>1164</v>
      </c>
      <c r="D4404" s="15" t="s">
        <v>1187</v>
      </c>
      <c r="E4404" s="15"/>
      <c r="F4404" s="15" t="s">
        <v>1185</v>
      </c>
      <c r="G4404" s="15" t="s">
        <v>112</v>
      </c>
      <c r="H4404" s="15"/>
    </row>
    <row r="4405" customFormat="false" ht="15" hidden="false" customHeight="true" outlineLevel="0" collapsed="false">
      <c r="A4405" s="15" t="s">
        <v>368</v>
      </c>
      <c r="B4405" s="15" t="s">
        <v>369</v>
      </c>
      <c r="C4405" s="15" t="s">
        <v>1167</v>
      </c>
      <c r="D4405" s="15" t="s">
        <v>1188</v>
      </c>
      <c r="E4405" s="15"/>
      <c r="F4405" s="15" t="s">
        <v>1185</v>
      </c>
      <c r="G4405" s="15" t="s">
        <v>112</v>
      </c>
      <c r="H4405" s="15"/>
    </row>
    <row r="4406" customFormat="false" ht="15" hidden="false" customHeight="true" outlineLevel="0" collapsed="false">
      <c r="A4406" s="15" t="s">
        <v>368</v>
      </c>
      <c r="B4406" s="15" t="s">
        <v>369</v>
      </c>
      <c r="C4406" s="15" t="s">
        <v>1170</v>
      </c>
      <c r="D4406" s="15" t="s">
        <v>1171</v>
      </c>
      <c r="E4406" s="15"/>
      <c r="F4406" s="15" t="s">
        <v>1185</v>
      </c>
      <c r="G4406" s="15" t="s">
        <v>112</v>
      </c>
      <c r="H4406" s="15"/>
    </row>
    <row r="4407" customFormat="false" ht="26.25" hidden="false" customHeight="true" outlineLevel="0" collapsed="false">
      <c r="A4407" s="15" t="s">
        <v>371</v>
      </c>
      <c r="B4407" s="15" t="s">
        <v>372</v>
      </c>
      <c r="C4407" s="15" t="s">
        <v>1160</v>
      </c>
      <c r="D4407" s="15" t="s">
        <v>1192</v>
      </c>
      <c r="E4407" s="15"/>
      <c r="F4407" s="15" t="s">
        <v>1185</v>
      </c>
      <c r="G4407" s="15" t="s">
        <v>112</v>
      </c>
      <c r="H4407" s="15"/>
    </row>
    <row r="4408" customFormat="false" ht="15" hidden="false" customHeight="true" outlineLevel="0" collapsed="false">
      <c r="A4408" s="15" t="s">
        <v>371</v>
      </c>
      <c r="B4408" s="15" t="s">
        <v>372</v>
      </c>
      <c r="C4408" s="15" t="s">
        <v>1164</v>
      </c>
      <c r="D4408" s="15" t="s">
        <v>1187</v>
      </c>
      <c r="E4408" s="15"/>
      <c r="F4408" s="15" t="s">
        <v>1185</v>
      </c>
      <c r="G4408" s="15" t="s">
        <v>112</v>
      </c>
      <c r="H4408" s="15"/>
    </row>
    <row r="4409" customFormat="false" ht="15" hidden="false" customHeight="true" outlineLevel="0" collapsed="false">
      <c r="A4409" s="15" t="s">
        <v>371</v>
      </c>
      <c r="B4409" s="15" t="s">
        <v>372</v>
      </c>
      <c r="C4409" s="15" t="s">
        <v>1167</v>
      </c>
      <c r="D4409" s="15" t="s">
        <v>1188</v>
      </c>
      <c r="E4409" s="15"/>
      <c r="F4409" s="15" t="s">
        <v>1185</v>
      </c>
      <c r="G4409" s="15" t="s">
        <v>112</v>
      </c>
      <c r="H4409" s="15"/>
    </row>
    <row r="4410" customFormat="false" ht="15" hidden="false" customHeight="true" outlineLevel="0" collapsed="false">
      <c r="A4410" s="15" t="s">
        <v>371</v>
      </c>
      <c r="B4410" s="15" t="s">
        <v>372</v>
      </c>
      <c r="C4410" s="15" t="s">
        <v>1170</v>
      </c>
      <c r="D4410" s="15" t="s">
        <v>1171</v>
      </c>
      <c r="E4410" s="15"/>
      <c r="F4410" s="15" t="s">
        <v>1185</v>
      </c>
      <c r="G4410" s="15" t="s">
        <v>112</v>
      </c>
      <c r="H4410" s="15"/>
    </row>
    <row r="4411" customFormat="false" ht="26.25" hidden="false" customHeight="true" outlineLevel="0" collapsed="false">
      <c r="A4411" s="15" t="s">
        <v>374</v>
      </c>
      <c r="B4411" s="15" t="s">
        <v>376</v>
      </c>
      <c r="C4411" s="15" t="s">
        <v>1160</v>
      </c>
      <c r="D4411" s="15" t="s">
        <v>1193</v>
      </c>
      <c r="E4411" s="15"/>
      <c r="F4411" s="15" t="s">
        <v>1194</v>
      </c>
      <c r="G4411" s="15" t="s">
        <v>112</v>
      </c>
      <c r="H4411" s="15"/>
    </row>
    <row r="4412" customFormat="false" ht="15" hidden="false" customHeight="true" outlineLevel="0" collapsed="false">
      <c r="A4412" s="15" t="s">
        <v>374</v>
      </c>
      <c r="B4412" s="15" t="s">
        <v>376</v>
      </c>
      <c r="C4412" s="15" t="s">
        <v>1164</v>
      </c>
      <c r="D4412" s="15" t="s">
        <v>1195</v>
      </c>
      <c r="E4412" s="15"/>
      <c r="F4412" s="15" t="s">
        <v>1194</v>
      </c>
      <c r="G4412" s="15" t="s">
        <v>112</v>
      </c>
      <c r="H4412" s="15"/>
    </row>
    <row r="4413" customFormat="false" ht="15" hidden="false" customHeight="true" outlineLevel="0" collapsed="false">
      <c r="A4413" s="15" t="s">
        <v>374</v>
      </c>
      <c r="B4413" s="15" t="s">
        <v>376</v>
      </c>
      <c r="C4413" s="15" t="s">
        <v>1167</v>
      </c>
      <c r="D4413" s="15" t="s">
        <v>1168</v>
      </c>
      <c r="E4413" s="15"/>
      <c r="F4413" s="15" t="s">
        <v>1194</v>
      </c>
      <c r="G4413" s="15" t="s">
        <v>112</v>
      </c>
      <c r="H4413" s="15"/>
    </row>
    <row r="4414" customFormat="false" ht="15" hidden="false" customHeight="true" outlineLevel="0" collapsed="false">
      <c r="A4414" s="15" t="s">
        <v>374</v>
      </c>
      <c r="B4414" s="15" t="s">
        <v>376</v>
      </c>
      <c r="C4414" s="15" t="s">
        <v>1170</v>
      </c>
      <c r="D4414" s="15" t="s">
        <v>1171</v>
      </c>
      <c r="E4414" s="15"/>
      <c r="F4414" s="15" t="s">
        <v>1194</v>
      </c>
      <c r="G4414" s="15" t="s">
        <v>112</v>
      </c>
      <c r="H4414" s="15"/>
    </row>
    <row r="4415" customFormat="false" ht="26.25" hidden="false" customHeight="true" outlineLevel="0" collapsed="false">
      <c r="A4415" s="15" t="s">
        <v>382</v>
      </c>
      <c r="B4415" s="15" t="s">
        <v>383</v>
      </c>
      <c r="C4415" s="15" t="s">
        <v>1160</v>
      </c>
      <c r="D4415" s="15" t="s">
        <v>1196</v>
      </c>
      <c r="E4415" s="15"/>
      <c r="F4415" s="15" t="s">
        <v>1194</v>
      </c>
      <c r="G4415" s="15" t="s">
        <v>112</v>
      </c>
      <c r="H4415" s="15"/>
    </row>
    <row r="4416" customFormat="false" ht="15" hidden="false" customHeight="true" outlineLevel="0" collapsed="false">
      <c r="A4416" s="15" t="s">
        <v>382</v>
      </c>
      <c r="B4416" s="15" t="s">
        <v>383</v>
      </c>
      <c r="C4416" s="15" t="s">
        <v>1164</v>
      </c>
      <c r="D4416" s="15" t="s">
        <v>1195</v>
      </c>
      <c r="E4416" s="15"/>
      <c r="F4416" s="15" t="s">
        <v>1194</v>
      </c>
      <c r="G4416" s="15" t="s">
        <v>112</v>
      </c>
      <c r="H4416" s="15"/>
    </row>
    <row r="4417" customFormat="false" ht="15" hidden="false" customHeight="true" outlineLevel="0" collapsed="false">
      <c r="A4417" s="15" t="s">
        <v>382</v>
      </c>
      <c r="B4417" s="15" t="s">
        <v>383</v>
      </c>
      <c r="C4417" s="15" t="s">
        <v>1167</v>
      </c>
      <c r="D4417" s="15" t="s">
        <v>1168</v>
      </c>
      <c r="E4417" s="15"/>
      <c r="F4417" s="15" t="s">
        <v>1194</v>
      </c>
      <c r="G4417" s="15" t="s">
        <v>112</v>
      </c>
      <c r="H4417" s="15"/>
    </row>
    <row r="4418" customFormat="false" ht="15" hidden="false" customHeight="true" outlineLevel="0" collapsed="false">
      <c r="A4418" s="15" t="s">
        <v>382</v>
      </c>
      <c r="B4418" s="15" t="s">
        <v>383</v>
      </c>
      <c r="C4418" s="15" t="s">
        <v>1170</v>
      </c>
      <c r="D4418" s="15" t="s">
        <v>1171</v>
      </c>
      <c r="E4418" s="15"/>
      <c r="F4418" s="15" t="s">
        <v>1194</v>
      </c>
      <c r="G4418" s="15" t="s">
        <v>112</v>
      </c>
      <c r="H4418" s="15"/>
    </row>
    <row r="4419" customFormat="false" ht="26.25" hidden="false" customHeight="true" outlineLevel="0" collapsed="false">
      <c r="A4419" s="15" t="s">
        <v>385</v>
      </c>
      <c r="B4419" s="15" t="s">
        <v>386</v>
      </c>
      <c r="C4419" s="15" t="s">
        <v>1160</v>
      </c>
      <c r="D4419" s="15" t="s">
        <v>1197</v>
      </c>
      <c r="E4419" s="15"/>
      <c r="F4419" s="15" t="s">
        <v>1194</v>
      </c>
      <c r="G4419" s="15" t="s">
        <v>112</v>
      </c>
      <c r="H4419" s="15"/>
    </row>
    <row r="4420" customFormat="false" ht="15" hidden="false" customHeight="true" outlineLevel="0" collapsed="false">
      <c r="A4420" s="15" t="s">
        <v>385</v>
      </c>
      <c r="B4420" s="15" t="s">
        <v>386</v>
      </c>
      <c r="C4420" s="15" t="s">
        <v>1164</v>
      </c>
      <c r="D4420" s="15" t="s">
        <v>1195</v>
      </c>
      <c r="E4420" s="15"/>
      <c r="F4420" s="15" t="s">
        <v>1194</v>
      </c>
      <c r="G4420" s="15" t="s">
        <v>112</v>
      </c>
      <c r="H4420" s="15"/>
    </row>
    <row r="4421" customFormat="false" ht="15" hidden="false" customHeight="true" outlineLevel="0" collapsed="false">
      <c r="A4421" s="15" t="s">
        <v>385</v>
      </c>
      <c r="B4421" s="15" t="s">
        <v>386</v>
      </c>
      <c r="C4421" s="15" t="s">
        <v>1167</v>
      </c>
      <c r="D4421" s="15" t="s">
        <v>1168</v>
      </c>
      <c r="E4421" s="15"/>
      <c r="F4421" s="15" t="s">
        <v>1194</v>
      </c>
      <c r="G4421" s="15" t="s">
        <v>112</v>
      </c>
      <c r="H4421" s="15"/>
    </row>
    <row r="4422" customFormat="false" ht="15" hidden="false" customHeight="true" outlineLevel="0" collapsed="false">
      <c r="A4422" s="15" t="s">
        <v>385</v>
      </c>
      <c r="B4422" s="15" t="s">
        <v>386</v>
      </c>
      <c r="C4422" s="15" t="s">
        <v>1170</v>
      </c>
      <c r="D4422" s="15" t="s">
        <v>1171</v>
      </c>
      <c r="E4422" s="15"/>
      <c r="F4422" s="15" t="s">
        <v>1194</v>
      </c>
      <c r="G4422" s="15" t="s">
        <v>112</v>
      </c>
      <c r="H4422" s="15"/>
    </row>
    <row r="4423" customFormat="false" ht="26.25" hidden="false" customHeight="true" outlineLevel="0" collapsed="false">
      <c r="A4423" s="15" t="s">
        <v>389</v>
      </c>
      <c r="B4423" s="15" t="s">
        <v>390</v>
      </c>
      <c r="C4423" s="15" t="s">
        <v>1160</v>
      </c>
      <c r="D4423" s="15" t="s">
        <v>1198</v>
      </c>
      <c r="E4423" s="15"/>
      <c r="F4423" s="15" t="s">
        <v>1194</v>
      </c>
      <c r="G4423" s="15" t="s">
        <v>112</v>
      </c>
      <c r="H4423" s="15"/>
    </row>
    <row r="4424" customFormat="false" ht="15" hidden="false" customHeight="true" outlineLevel="0" collapsed="false">
      <c r="A4424" s="15" t="s">
        <v>389</v>
      </c>
      <c r="B4424" s="15" t="s">
        <v>390</v>
      </c>
      <c r="C4424" s="15" t="s">
        <v>1164</v>
      </c>
      <c r="D4424" s="15" t="s">
        <v>1195</v>
      </c>
      <c r="E4424" s="15"/>
      <c r="F4424" s="15" t="s">
        <v>1194</v>
      </c>
      <c r="G4424" s="15" t="s">
        <v>112</v>
      </c>
      <c r="H4424" s="15"/>
    </row>
    <row r="4425" customFormat="false" ht="15" hidden="false" customHeight="true" outlineLevel="0" collapsed="false">
      <c r="A4425" s="15" t="s">
        <v>389</v>
      </c>
      <c r="B4425" s="15" t="s">
        <v>390</v>
      </c>
      <c r="C4425" s="15" t="s">
        <v>1167</v>
      </c>
      <c r="D4425" s="15" t="s">
        <v>1168</v>
      </c>
      <c r="E4425" s="15"/>
      <c r="F4425" s="15" t="s">
        <v>1194</v>
      </c>
      <c r="G4425" s="15" t="s">
        <v>112</v>
      </c>
      <c r="H4425" s="15"/>
    </row>
    <row r="4426" customFormat="false" ht="15" hidden="false" customHeight="true" outlineLevel="0" collapsed="false">
      <c r="A4426" s="15" t="s">
        <v>389</v>
      </c>
      <c r="B4426" s="15" t="s">
        <v>390</v>
      </c>
      <c r="C4426" s="15" t="s">
        <v>1170</v>
      </c>
      <c r="D4426" s="15" t="s">
        <v>1171</v>
      </c>
      <c r="E4426" s="15"/>
      <c r="F4426" s="15" t="s">
        <v>1194</v>
      </c>
      <c r="G4426" s="15" t="s">
        <v>112</v>
      </c>
      <c r="H4426" s="15"/>
    </row>
    <row r="4427" customFormat="false" ht="26.25" hidden="false" customHeight="true" outlineLevel="0" collapsed="false">
      <c r="A4427" s="15" t="s">
        <v>392</v>
      </c>
      <c r="B4427" s="15" t="s">
        <v>393</v>
      </c>
      <c r="C4427" s="15" t="s">
        <v>1160</v>
      </c>
      <c r="D4427" s="15" t="s">
        <v>1199</v>
      </c>
      <c r="E4427" s="15"/>
      <c r="F4427" s="15" t="s">
        <v>1194</v>
      </c>
      <c r="G4427" s="15" t="s">
        <v>112</v>
      </c>
      <c r="H4427" s="15"/>
    </row>
    <row r="4428" customFormat="false" ht="15" hidden="false" customHeight="true" outlineLevel="0" collapsed="false">
      <c r="A4428" s="15" t="s">
        <v>392</v>
      </c>
      <c r="B4428" s="15" t="s">
        <v>393</v>
      </c>
      <c r="C4428" s="15" t="s">
        <v>1164</v>
      </c>
      <c r="D4428" s="15" t="s">
        <v>1195</v>
      </c>
      <c r="E4428" s="15"/>
      <c r="F4428" s="15" t="s">
        <v>1194</v>
      </c>
      <c r="G4428" s="15" t="s">
        <v>112</v>
      </c>
      <c r="H4428" s="15"/>
    </row>
    <row r="4429" customFormat="false" ht="15" hidden="false" customHeight="true" outlineLevel="0" collapsed="false">
      <c r="A4429" s="15" t="s">
        <v>392</v>
      </c>
      <c r="B4429" s="15" t="s">
        <v>393</v>
      </c>
      <c r="C4429" s="15" t="s">
        <v>1167</v>
      </c>
      <c r="D4429" s="15" t="s">
        <v>1168</v>
      </c>
      <c r="E4429" s="15"/>
      <c r="F4429" s="15" t="s">
        <v>1194</v>
      </c>
      <c r="G4429" s="15" t="s">
        <v>112</v>
      </c>
      <c r="H4429" s="15"/>
    </row>
    <row r="4430" customFormat="false" ht="15" hidden="false" customHeight="true" outlineLevel="0" collapsed="false">
      <c r="A4430" s="15" t="s">
        <v>392</v>
      </c>
      <c r="B4430" s="15" t="s">
        <v>393</v>
      </c>
      <c r="C4430" s="15" t="s">
        <v>1170</v>
      </c>
      <c r="D4430" s="15" t="s">
        <v>1171</v>
      </c>
      <c r="E4430" s="15"/>
      <c r="F4430" s="15" t="s">
        <v>1194</v>
      </c>
      <c r="G4430" s="15" t="s">
        <v>112</v>
      </c>
      <c r="H4430" s="15"/>
    </row>
    <row r="4431" customFormat="false" ht="26.25" hidden="false" customHeight="true" outlineLevel="0" collapsed="false">
      <c r="A4431" s="15" t="s">
        <v>395</v>
      </c>
      <c r="B4431" s="15" t="s">
        <v>396</v>
      </c>
      <c r="C4431" s="15" t="s">
        <v>1160</v>
      </c>
      <c r="D4431" s="15" t="s">
        <v>1200</v>
      </c>
      <c r="E4431" s="15"/>
      <c r="F4431" s="15" t="s">
        <v>1194</v>
      </c>
      <c r="G4431" s="15" t="s">
        <v>112</v>
      </c>
      <c r="H4431" s="15"/>
    </row>
    <row r="4432" customFormat="false" ht="15" hidden="false" customHeight="true" outlineLevel="0" collapsed="false">
      <c r="A4432" s="15" t="s">
        <v>395</v>
      </c>
      <c r="B4432" s="15" t="s">
        <v>396</v>
      </c>
      <c r="C4432" s="15" t="s">
        <v>1164</v>
      </c>
      <c r="D4432" s="15" t="s">
        <v>1195</v>
      </c>
      <c r="E4432" s="15"/>
      <c r="F4432" s="15" t="s">
        <v>1194</v>
      </c>
      <c r="G4432" s="15" t="s">
        <v>112</v>
      </c>
      <c r="H4432" s="15"/>
    </row>
    <row r="4433" customFormat="false" ht="15" hidden="false" customHeight="true" outlineLevel="0" collapsed="false">
      <c r="A4433" s="15" t="s">
        <v>395</v>
      </c>
      <c r="B4433" s="15" t="s">
        <v>396</v>
      </c>
      <c r="C4433" s="15" t="s">
        <v>1167</v>
      </c>
      <c r="D4433" s="15" t="s">
        <v>1168</v>
      </c>
      <c r="E4433" s="15"/>
      <c r="F4433" s="15" t="s">
        <v>1194</v>
      </c>
      <c r="G4433" s="15" t="s">
        <v>112</v>
      </c>
      <c r="H4433" s="15"/>
    </row>
    <row r="4434" customFormat="false" ht="15" hidden="false" customHeight="true" outlineLevel="0" collapsed="false">
      <c r="A4434" s="15" t="s">
        <v>395</v>
      </c>
      <c r="B4434" s="15" t="s">
        <v>396</v>
      </c>
      <c r="C4434" s="15" t="s">
        <v>1170</v>
      </c>
      <c r="D4434" s="15" t="s">
        <v>1171</v>
      </c>
      <c r="E4434" s="15"/>
      <c r="F4434" s="15" t="s">
        <v>1194</v>
      </c>
      <c r="G4434" s="15" t="s">
        <v>112</v>
      </c>
      <c r="H4434" s="15"/>
    </row>
    <row r="4435" customFormat="false" ht="26.25" hidden="false" customHeight="true" outlineLevel="0" collapsed="false">
      <c r="A4435" s="15" t="s">
        <v>311</v>
      </c>
      <c r="B4435" s="15" t="s">
        <v>314</v>
      </c>
      <c r="C4435" s="15" t="s">
        <v>1160</v>
      </c>
      <c r="D4435" s="15" t="s">
        <v>1201</v>
      </c>
      <c r="E4435" s="15"/>
      <c r="F4435" s="15" t="s">
        <v>1202</v>
      </c>
      <c r="G4435" s="15" t="s">
        <v>112</v>
      </c>
      <c r="H4435" s="15"/>
    </row>
    <row r="4436" customFormat="false" ht="15" hidden="false" customHeight="true" outlineLevel="0" collapsed="false">
      <c r="A4436" s="15" t="s">
        <v>311</v>
      </c>
      <c r="B4436" s="15" t="s">
        <v>314</v>
      </c>
      <c r="C4436" s="15" t="s">
        <v>1164</v>
      </c>
      <c r="D4436" s="15" t="s">
        <v>1203</v>
      </c>
      <c r="E4436" s="15"/>
      <c r="F4436" s="15" t="s">
        <v>1202</v>
      </c>
      <c r="G4436" s="15" t="s">
        <v>112</v>
      </c>
      <c r="H4436" s="15"/>
    </row>
    <row r="4437" customFormat="false" ht="15" hidden="false" customHeight="true" outlineLevel="0" collapsed="false">
      <c r="A4437" s="15" t="s">
        <v>311</v>
      </c>
      <c r="B4437" s="15" t="s">
        <v>314</v>
      </c>
      <c r="C4437" s="15" t="s">
        <v>1167</v>
      </c>
      <c r="D4437" s="15" t="s">
        <v>1204</v>
      </c>
      <c r="E4437" s="15"/>
      <c r="F4437" s="15" t="s">
        <v>1202</v>
      </c>
      <c r="G4437" s="15" t="s">
        <v>112</v>
      </c>
      <c r="H4437" s="15"/>
    </row>
    <row r="4438" customFormat="false" ht="15" hidden="false" customHeight="true" outlineLevel="0" collapsed="false">
      <c r="A4438" s="15" t="s">
        <v>311</v>
      </c>
      <c r="B4438" s="15" t="s">
        <v>314</v>
      </c>
      <c r="C4438" s="15" t="s">
        <v>1170</v>
      </c>
      <c r="D4438" s="15" t="s">
        <v>1171</v>
      </c>
      <c r="E4438" s="15"/>
      <c r="F4438" s="15" t="s">
        <v>1202</v>
      </c>
      <c r="G4438" s="15" t="s">
        <v>112</v>
      </c>
      <c r="H4438" s="15"/>
    </row>
    <row r="4439" customFormat="false" ht="26.25" hidden="false" customHeight="true" outlineLevel="0" collapsed="false">
      <c r="A4439" s="15" t="s">
        <v>320</v>
      </c>
      <c r="B4439" s="15" t="s">
        <v>321</v>
      </c>
      <c r="C4439" s="15" t="s">
        <v>1160</v>
      </c>
      <c r="D4439" s="15" t="s">
        <v>1205</v>
      </c>
      <c r="E4439" s="15"/>
      <c r="F4439" s="15" t="s">
        <v>1202</v>
      </c>
      <c r="G4439" s="15" t="s">
        <v>112</v>
      </c>
      <c r="H4439" s="15"/>
    </row>
    <row r="4440" customFormat="false" ht="15" hidden="false" customHeight="true" outlineLevel="0" collapsed="false">
      <c r="A4440" s="15" t="s">
        <v>320</v>
      </c>
      <c r="B4440" s="15" t="s">
        <v>321</v>
      </c>
      <c r="C4440" s="15" t="s">
        <v>1164</v>
      </c>
      <c r="D4440" s="15" t="s">
        <v>1203</v>
      </c>
      <c r="E4440" s="15"/>
      <c r="F4440" s="15" t="s">
        <v>1202</v>
      </c>
      <c r="G4440" s="15" t="s">
        <v>112</v>
      </c>
      <c r="H4440" s="15"/>
    </row>
    <row r="4441" customFormat="false" ht="15" hidden="false" customHeight="true" outlineLevel="0" collapsed="false">
      <c r="A4441" s="15" t="s">
        <v>320</v>
      </c>
      <c r="B4441" s="15" t="s">
        <v>321</v>
      </c>
      <c r="C4441" s="15" t="s">
        <v>1167</v>
      </c>
      <c r="D4441" s="15" t="s">
        <v>1204</v>
      </c>
      <c r="E4441" s="15"/>
      <c r="F4441" s="15" t="s">
        <v>1202</v>
      </c>
      <c r="G4441" s="15" t="s">
        <v>112</v>
      </c>
      <c r="H4441" s="15"/>
    </row>
    <row r="4442" customFormat="false" ht="15" hidden="false" customHeight="true" outlineLevel="0" collapsed="false">
      <c r="A4442" s="15" t="s">
        <v>320</v>
      </c>
      <c r="B4442" s="15" t="s">
        <v>321</v>
      </c>
      <c r="C4442" s="15" t="s">
        <v>1170</v>
      </c>
      <c r="D4442" s="15" t="s">
        <v>1171</v>
      </c>
      <c r="E4442" s="15"/>
      <c r="F4442" s="15" t="s">
        <v>1202</v>
      </c>
      <c r="G4442" s="15" t="s">
        <v>112</v>
      </c>
      <c r="H4442" s="15"/>
    </row>
    <row r="4443" customFormat="false" ht="26.25" hidden="false" customHeight="true" outlineLevel="0" collapsed="false">
      <c r="A4443" s="15" t="s">
        <v>326</v>
      </c>
      <c r="B4443" s="15" t="s">
        <v>328</v>
      </c>
      <c r="C4443" s="15" t="s">
        <v>1160</v>
      </c>
      <c r="D4443" s="15" t="s">
        <v>1206</v>
      </c>
      <c r="E4443" s="15"/>
      <c r="F4443" s="15" t="s">
        <v>1207</v>
      </c>
      <c r="G4443" s="15" t="s">
        <v>112</v>
      </c>
      <c r="H4443" s="15" t="s">
        <v>1180</v>
      </c>
    </row>
    <row r="4444" customFormat="false" ht="26.25" hidden="false" customHeight="true" outlineLevel="0" collapsed="false">
      <c r="A4444" s="15" t="s">
        <v>326</v>
      </c>
      <c r="B4444" s="15" t="s">
        <v>328</v>
      </c>
      <c r="C4444" s="15" t="s">
        <v>1181</v>
      </c>
      <c r="D4444" s="15" t="s">
        <v>1208</v>
      </c>
      <c r="E4444" s="15"/>
      <c r="F4444" s="15" t="s">
        <v>1207</v>
      </c>
      <c r="G4444" s="15" t="s">
        <v>112</v>
      </c>
      <c r="H4444" s="15" t="s">
        <v>1183</v>
      </c>
    </row>
    <row r="4445" customFormat="false" ht="26.25" hidden="false" customHeight="true" outlineLevel="0" collapsed="false">
      <c r="A4445" s="15" t="s">
        <v>332</v>
      </c>
      <c r="B4445" s="15" t="s">
        <v>333</v>
      </c>
      <c r="C4445" s="15" t="s">
        <v>1160</v>
      </c>
      <c r="D4445" s="15" t="s">
        <v>1206</v>
      </c>
      <c r="E4445" s="15"/>
      <c r="F4445" s="15" t="s">
        <v>1207</v>
      </c>
      <c r="G4445" s="15" t="s">
        <v>112</v>
      </c>
      <c r="H4445" s="15" t="s">
        <v>1180</v>
      </c>
    </row>
    <row r="4446" customFormat="false" ht="26.25" hidden="false" customHeight="true" outlineLevel="0" collapsed="false">
      <c r="A4446" s="15" t="s">
        <v>332</v>
      </c>
      <c r="B4446" s="15" t="s">
        <v>333</v>
      </c>
      <c r="C4446" s="15" t="s">
        <v>1181</v>
      </c>
      <c r="D4446" s="15" t="s">
        <v>1208</v>
      </c>
      <c r="E4446" s="15"/>
      <c r="F4446" s="15" t="s">
        <v>1207</v>
      </c>
      <c r="G4446" s="15" t="s">
        <v>112</v>
      </c>
      <c r="H4446" s="15" t="s">
        <v>1183</v>
      </c>
    </row>
    <row r="4447" customFormat="false" ht="26.25" hidden="false" customHeight="true" outlineLevel="0" collapsed="false">
      <c r="A4447" s="15" t="s">
        <v>335</v>
      </c>
      <c r="B4447" s="15" t="s">
        <v>336</v>
      </c>
      <c r="C4447" s="15" t="s">
        <v>1160</v>
      </c>
      <c r="D4447" s="15" t="s">
        <v>1206</v>
      </c>
      <c r="E4447" s="15"/>
      <c r="F4447" s="15" t="s">
        <v>1207</v>
      </c>
      <c r="G4447" s="15" t="s">
        <v>112</v>
      </c>
      <c r="H4447" s="15" t="s">
        <v>1180</v>
      </c>
    </row>
    <row r="4448" customFormat="false" ht="26.25" hidden="false" customHeight="true" outlineLevel="0" collapsed="false">
      <c r="A4448" s="15" t="s">
        <v>335</v>
      </c>
      <c r="B4448" s="15" t="s">
        <v>336</v>
      </c>
      <c r="C4448" s="15" t="s">
        <v>1181</v>
      </c>
      <c r="D4448" s="15" t="s">
        <v>1208</v>
      </c>
      <c r="E4448" s="15"/>
      <c r="F4448" s="15" t="s">
        <v>1207</v>
      </c>
      <c r="G4448" s="15" t="s">
        <v>112</v>
      </c>
      <c r="H4448" s="15" t="s">
        <v>1183</v>
      </c>
    </row>
    <row r="4449" customFormat="false" ht="26.25" hidden="false" customHeight="true" outlineLevel="0" collapsed="false">
      <c r="A4449" s="15" t="s">
        <v>338</v>
      </c>
      <c r="B4449" s="15" t="s">
        <v>339</v>
      </c>
      <c r="C4449" s="15" t="s">
        <v>1160</v>
      </c>
      <c r="D4449" s="15" t="s">
        <v>1206</v>
      </c>
      <c r="E4449" s="15"/>
      <c r="F4449" s="15" t="s">
        <v>1207</v>
      </c>
      <c r="G4449" s="15" t="s">
        <v>112</v>
      </c>
      <c r="H4449" s="15" t="s">
        <v>1180</v>
      </c>
    </row>
    <row r="4450" customFormat="false" ht="26.25" hidden="false" customHeight="true" outlineLevel="0" collapsed="false">
      <c r="A4450" s="15" t="s">
        <v>338</v>
      </c>
      <c r="B4450" s="15" t="s">
        <v>339</v>
      </c>
      <c r="C4450" s="15" t="s">
        <v>1181</v>
      </c>
      <c r="D4450" s="15" t="s">
        <v>1208</v>
      </c>
      <c r="E4450" s="15"/>
      <c r="F4450" s="15" t="s">
        <v>1207</v>
      </c>
      <c r="G4450" s="15" t="s">
        <v>112</v>
      </c>
      <c r="H4450" s="15" t="s">
        <v>1183</v>
      </c>
    </row>
    <row r="4451" customFormat="false" ht="26.25" hidden="false" customHeight="true" outlineLevel="0" collapsed="false">
      <c r="A4451" s="15" t="s">
        <v>346</v>
      </c>
      <c r="B4451" s="15" t="s">
        <v>347</v>
      </c>
      <c r="C4451" s="15" t="s">
        <v>1160</v>
      </c>
      <c r="D4451" s="15" t="s">
        <v>1206</v>
      </c>
      <c r="E4451" s="15"/>
      <c r="F4451" s="15" t="s">
        <v>1207</v>
      </c>
      <c r="G4451" s="15" t="s">
        <v>112</v>
      </c>
      <c r="H4451" s="15" t="s">
        <v>1180</v>
      </c>
    </row>
    <row r="4452" customFormat="false" ht="26.25" hidden="false" customHeight="true" outlineLevel="0" collapsed="false">
      <c r="A4452" s="15" t="s">
        <v>346</v>
      </c>
      <c r="B4452" s="15" t="s">
        <v>347</v>
      </c>
      <c r="C4452" s="15" t="s">
        <v>1181</v>
      </c>
      <c r="D4452" s="15" t="s">
        <v>1208</v>
      </c>
      <c r="E4452" s="15"/>
      <c r="F4452" s="15" t="s">
        <v>1207</v>
      </c>
      <c r="G4452" s="15" t="s">
        <v>112</v>
      </c>
      <c r="H4452" s="15" t="s">
        <v>1183</v>
      </c>
    </row>
    <row r="4453" customFormat="false" ht="26.25" hidden="false" customHeight="true" outlineLevel="0" collapsed="false">
      <c r="A4453" s="15" t="s">
        <v>341</v>
      </c>
      <c r="B4453" s="15" t="s">
        <v>342</v>
      </c>
      <c r="C4453" s="15" t="s">
        <v>1160</v>
      </c>
      <c r="D4453" s="15" t="s">
        <v>1206</v>
      </c>
      <c r="E4453" s="15"/>
      <c r="F4453" s="15" t="s">
        <v>1207</v>
      </c>
      <c r="G4453" s="15" t="s">
        <v>112</v>
      </c>
      <c r="H4453" s="15" t="s">
        <v>1180</v>
      </c>
    </row>
    <row r="4454" customFormat="false" ht="26.25" hidden="false" customHeight="true" outlineLevel="0" collapsed="false">
      <c r="A4454" s="15" t="s">
        <v>341</v>
      </c>
      <c r="B4454" s="15" t="s">
        <v>342</v>
      </c>
      <c r="C4454" s="15" t="s">
        <v>1181</v>
      </c>
      <c r="D4454" s="15" t="s">
        <v>1208</v>
      </c>
      <c r="E4454" s="15"/>
      <c r="F4454" s="15" t="s">
        <v>1207</v>
      </c>
      <c r="G4454" s="15" t="s">
        <v>112</v>
      </c>
      <c r="H4454" s="15" t="s">
        <v>1183</v>
      </c>
    </row>
    <row r="4455" customFormat="false" ht="26.25" hidden="false" customHeight="true" outlineLevel="0" collapsed="false">
      <c r="A4455" s="15" t="s">
        <v>349</v>
      </c>
      <c r="B4455" s="15" t="s">
        <v>350</v>
      </c>
      <c r="C4455" s="15" t="s">
        <v>1160</v>
      </c>
      <c r="D4455" s="15" t="s">
        <v>1206</v>
      </c>
      <c r="E4455" s="15"/>
      <c r="F4455" s="15" t="s">
        <v>1207</v>
      </c>
      <c r="G4455" s="15" t="s">
        <v>112</v>
      </c>
      <c r="H4455" s="15" t="s">
        <v>1180</v>
      </c>
    </row>
    <row r="4456" customFormat="false" ht="26.25" hidden="false" customHeight="true" outlineLevel="0" collapsed="false">
      <c r="A4456" s="15" t="s">
        <v>349</v>
      </c>
      <c r="B4456" s="15" t="s">
        <v>350</v>
      </c>
      <c r="C4456" s="15" t="s">
        <v>1181</v>
      </c>
      <c r="D4456" s="15" t="s">
        <v>1208</v>
      </c>
      <c r="E4456" s="15"/>
      <c r="F4456" s="15" t="s">
        <v>1207</v>
      </c>
      <c r="G4456" s="15" t="s">
        <v>112</v>
      </c>
      <c r="H4456" s="15" t="s">
        <v>1183</v>
      </c>
    </row>
    <row r="4457" customFormat="false" ht="15" hidden="false" customHeight="true" outlineLevel="0" collapsed="false">
      <c r="A4457" s="15" t="s">
        <v>398</v>
      </c>
      <c r="B4457" s="15" t="s">
        <v>400</v>
      </c>
      <c r="C4457" s="15" t="s">
        <v>1160</v>
      </c>
      <c r="D4457" s="15" t="s">
        <v>1177</v>
      </c>
      <c r="E4457" s="15"/>
      <c r="F4457" s="15" t="s">
        <v>1162</v>
      </c>
      <c r="G4457" s="15" t="s">
        <v>112</v>
      </c>
      <c r="H4457" s="15" t="s">
        <v>1209</v>
      </c>
    </row>
    <row r="4458" customFormat="false" ht="15" hidden="false" customHeight="true" outlineLevel="0" collapsed="false">
      <c r="A4458" s="15" t="s">
        <v>403</v>
      </c>
      <c r="B4458" s="15" t="s">
        <v>404</v>
      </c>
      <c r="C4458" s="15" t="s">
        <v>1160</v>
      </c>
      <c r="D4458" s="15" t="s">
        <v>1177</v>
      </c>
      <c r="E4458" s="15"/>
      <c r="F4458" s="15" t="s">
        <v>1162</v>
      </c>
      <c r="G4458" s="15" t="s">
        <v>112</v>
      </c>
      <c r="H4458" s="15" t="s">
        <v>1209</v>
      </c>
    </row>
    <row r="4459" customFormat="false" ht="15" hidden="false" customHeight="true" outlineLevel="0" collapsed="false">
      <c r="A4459" s="15" t="s">
        <v>406</v>
      </c>
      <c r="B4459" s="15" t="s">
        <v>407</v>
      </c>
      <c r="C4459" s="15" t="s">
        <v>1160</v>
      </c>
      <c r="D4459" s="15" t="s">
        <v>1177</v>
      </c>
      <c r="E4459" s="15"/>
      <c r="F4459" s="15" t="s">
        <v>1162</v>
      </c>
      <c r="G4459" s="15" t="s">
        <v>112</v>
      </c>
      <c r="H4459" s="15" t="s">
        <v>1209</v>
      </c>
    </row>
    <row r="4460" customFormat="false" ht="15" hidden="false" customHeight="true" outlineLevel="0" collapsed="false">
      <c r="A4460" s="15" t="s">
        <v>409</v>
      </c>
      <c r="B4460" s="15" t="s">
        <v>410</v>
      </c>
      <c r="C4460" s="15" t="s">
        <v>1160</v>
      </c>
      <c r="D4460" s="15" t="s">
        <v>1177</v>
      </c>
      <c r="E4460" s="15"/>
      <c r="F4460" s="15" t="s">
        <v>1162</v>
      </c>
      <c r="G4460" s="15" t="s">
        <v>112</v>
      </c>
      <c r="H4460" s="15" t="s">
        <v>1209</v>
      </c>
    </row>
    <row r="4461" customFormat="false" ht="15" hidden="false" customHeight="true" outlineLevel="0" collapsed="false">
      <c r="A4461" s="15" t="s">
        <v>412</v>
      </c>
      <c r="B4461" s="15" t="s">
        <v>413</v>
      </c>
      <c r="C4461" s="15" t="s">
        <v>1160</v>
      </c>
      <c r="D4461" s="15" t="s">
        <v>1177</v>
      </c>
      <c r="E4461" s="15"/>
      <c r="F4461" s="15" t="s">
        <v>1162</v>
      </c>
      <c r="G4461" s="15" t="s">
        <v>112</v>
      </c>
      <c r="H4461" s="15" t="s">
        <v>1209</v>
      </c>
    </row>
    <row r="4462" customFormat="false" ht="15" hidden="false" customHeight="true" outlineLevel="0" collapsed="false">
      <c r="A4462" s="15" t="s">
        <v>415</v>
      </c>
      <c r="B4462" s="15" t="s">
        <v>347</v>
      </c>
      <c r="C4462" s="15" t="s">
        <v>1160</v>
      </c>
      <c r="D4462" s="15" t="s">
        <v>1177</v>
      </c>
      <c r="E4462" s="15"/>
      <c r="F4462" s="15" t="s">
        <v>1162</v>
      </c>
      <c r="G4462" s="15" t="s">
        <v>112</v>
      </c>
      <c r="H4462" s="15" t="s">
        <v>1209</v>
      </c>
    </row>
    <row r="4463" customFormat="false" ht="15" hidden="false" customHeight="true" outlineLevel="0" collapsed="false">
      <c r="A4463" s="15" t="s">
        <v>417</v>
      </c>
      <c r="B4463" s="15" t="s">
        <v>418</v>
      </c>
      <c r="C4463" s="15" t="s">
        <v>1160</v>
      </c>
      <c r="D4463" s="15" t="s">
        <v>1177</v>
      </c>
      <c r="E4463" s="15"/>
      <c r="F4463" s="15" t="s">
        <v>1162</v>
      </c>
      <c r="G4463" s="15" t="s">
        <v>112</v>
      </c>
      <c r="H4463" s="15" t="s">
        <v>1209</v>
      </c>
    </row>
    <row r="4464" customFormat="false" ht="26.25" hidden="false" customHeight="true" outlineLevel="0" collapsed="false">
      <c r="A4464" s="15" t="s">
        <v>420</v>
      </c>
      <c r="B4464" s="15" t="s">
        <v>421</v>
      </c>
      <c r="C4464" s="15" t="s">
        <v>1160</v>
      </c>
      <c r="D4464" s="15" t="s">
        <v>1177</v>
      </c>
      <c r="E4464" s="15"/>
      <c r="F4464" s="15" t="s">
        <v>1162</v>
      </c>
      <c r="G4464" s="15" t="s">
        <v>112</v>
      </c>
      <c r="H4464" s="15" t="s">
        <v>1209</v>
      </c>
    </row>
    <row r="4465" customFormat="false" ht="15" hidden="false" customHeight="true" outlineLevel="0" collapsed="false">
      <c r="A4465" s="15" t="s">
        <v>423</v>
      </c>
      <c r="B4465" s="15" t="s">
        <v>426</v>
      </c>
      <c r="C4465" s="15" t="s">
        <v>1160</v>
      </c>
      <c r="D4465" s="15" t="s">
        <v>1177</v>
      </c>
      <c r="E4465" s="15"/>
      <c r="F4465" s="15" t="s">
        <v>1162</v>
      </c>
      <c r="G4465" s="15" t="s">
        <v>112</v>
      </c>
      <c r="H4465" s="15" t="s">
        <v>1209</v>
      </c>
    </row>
    <row r="4466" customFormat="false" ht="15" hidden="false" customHeight="true" outlineLevel="0" collapsed="false">
      <c r="A4466" s="15" t="s">
        <v>432</v>
      </c>
      <c r="B4466" s="15" t="s">
        <v>433</v>
      </c>
      <c r="C4466" s="15" t="s">
        <v>1160</v>
      </c>
      <c r="D4466" s="15" t="s">
        <v>1177</v>
      </c>
      <c r="E4466" s="15"/>
      <c r="F4466" s="15" t="s">
        <v>1162</v>
      </c>
      <c r="G4466" s="15" t="s">
        <v>112</v>
      </c>
      <c r="H4466" s="15" t="s">
        <v>1209</v>
      </c>
    </row>
    <row r="4467" customFormat="false" ht="15" hidden="false" customHeight="true" outlineLevel="0" collapsed="false">
      <c r="A4467" s="15" t="s">
        <v>435</v>
      </c>
      <c r="B4467" s="15" t="s">
        <v>436</v>
      </c>
      <c r="C4467" s="15" t="s">
        <v>1160</v>
      </c>
      <c r="D4467" s="15" t="s">
        <v>1177</v>
      </c>
      <c r="E4467" s="15"/>
      <c r="F4467" s="15" t="s">
        <v>1162</v>
      </c>
      <c r="G4467" s="15" t="s">
        <v>112</v>
      </c>
      <c r="H4467" s="15" t="s">
        <v>1209</v>
      </c>
    </row>
    <row r="4468" customFormat="false" ht="15" hidden="false" customHeight="true" outlineLevel="0" collapsed="false">
      <c r="A4468" s="15" t="s">
        <v>439</v>
      </c>
      <c r="B4468" s="15" t="s">
        <v>440</v>
      </c>
      <c r="C4468" s="15" t="s">
        <v>1160</v>
      </c>
      <c r="D4468" s="15" t="s">
        <v>1177</v>
      </c>
      <c r="E4468" s="15"/>
      <c r="F4468" s="15" t="s">
        <v>1162</v>
      </c>
      <c r="G4468" s="15" t="s">
        <v>112</v>
      </c>
      <c r="H4468" s="15" t="s">
        <v>1209</v>
      </c>
    </row>
    <row r="4469" customFormat="false" ht="15" hidden="false" customHeight="true" outlineLevel="0" collapsed="false">
      <c r="A4469" s="15" t="s">
        <v>443</v>
      </c>
      <c r="B4469" s="15" t="s">
        <v>446</v>
      </c>
      <c r="C4469" s="15" t="s">
        <v>1160</v>
      </c>
      <c r="D4469" s="15" t="s">
        <v>1177</v>
      </c>
      <c r="E4469" s="15"/>
      <c r="F4469" s="15" t="s">
        <v>1162</v>
      </c>
      <c r="G4469" s="15" t="s">
        <v>112</v>
      </c>
      <c r="H4469" s="15" t="s">
        <v>1209</v>
      </c>
    </row>
    <row r="4470" customFormat="false" ht="15" hidden="false" customHeight="true" outlineLevel="0" collapsed="false">
      <c r="A4470" s="15" t="s">
        <v>449</v>
      </c>
      <c r="B4470" s="15" t="s">
        <v>450</v>
      </c>
      <c r="C4470" s="15" t="s">
        <v>1160</v>
      </c>
      <c r="D4470" s="15" t="s">
        <v>1177</v>
      </c>
      <c r="E4470" s="15"/>
      <c r="F4470" s="15" t="s">
        <v>1162</v>
      </c>
      <c r="G4470" s="15" t="s">
        <v>112</v>
      </c>
      <c r="H4470" s="15" t="s">
        <v>1209</v>
      </c>
    </row>
    <row r="4471" customFormat="false" ht="15" hidden="false" customHeight="true" outlineLevel="0" collapsed="false">
      <c r="A4471" s="15" t="s">
        <v>452</v>
      </c>
      <c r="B4471" s="15" t="s">
        <v>453</v>
      </c>
      <c r="C4471" s="15" t="s">
        <v>1160</v>
      </c>
      <c r="D4471" s="15" t="s">
        <v>1177</v>
      </c>
      <c r="E4471" s="15"/>
      <c r="F4471" s="15" t="s">
        <v>1162</v>
      </c>
      <c r="G4471" s="15" t="s">
        <v>112</v>
      </c>
      <c r="H4471" s="15" t="s">
        <v>1209</v>
      </c>
    </row>
    <row r="4472" customFormat="false" ht="15" hidden="false" customHeight="true" outlineLevel="0" collapsed="false">
      <c r="A4472" s="15" t="s">
        <v>455</v>
      </c>
      <c r="B4472" s="15" t="s">
        <v>456</v>
      </c>
      <c r="C4472" s="15" t="s">
        <v>1160</v>
      </c>
      <c r="D4472" s="15" t="s">
        <v>1177</v>
      </c>
      <c r="E4472" s="15"/>
      <c r="F4472" s="15" t="s">
        <v>1162</v>
      </c>
      <c r="G4472" s="15" t="s">
        <v>112</v>
      </c>
      <c r="H4472" s="15" t="s">
        <v>1209</v>
      </c>
    </row>
    <row r="4473" customFormat="false" ht="26.25" hidden="false" customHeight="true" outlineLevel="0" collapsed="false">
      <c r="A4473" s="15" t="s">
        <v>148</v>
      </c>
      <c r="B4473" s="15" t="s">
        <v>149</v>
      </c>
      <c r="C4473" s="15" t="s">
        <v>887</v>
      </c>
      <c r="D4473" s="15" t="s">
        <v>1210</v>
      </c>
      <c r="E4473" s="15"/>
      <c r="F4473" s="15" t="s">
        <v>1211</v>
      </c>
      <c r="G4473" s="15" t="s">
        <v>112</v>
      </c>
      <c r="H4473" s="15" t="s">
        <v>1212</v>
      </c>
    </row>
    <row r="4474" customFormat="false" ht="39" hidden="false" customHeight="true" outlineLevel="0" collapsed="false">
      <c r="A4474" s="15" t="s">
        <v>148</v>
      </c>
      <c r="B4474" s="15" t="s">
        <v>149</v>
      </c>
      <c r="C4474" s="15" t="s">
        <v>1213</v>
      </c>
      <c r="D4474" s="15" t="n">
        <v>5.68</v>
      </c>
      <c r="E4474" s="15" t="s">
        <v>1214</v>
      </c>
      <c r="F4474" s="15" t="s">
        <v>1211</v>
      </c>
      <c r="G4474" s="15" t="s">
        <v>112</v>
      </c>
      <c r="H4474" s="15" t="s">
        <v>1215</v>
      </c>
    </row>
    <row r="4475" customFormat="false" ht="26.25" hidden="false" customHeight="true" outlineLevel="0" collapsed="false">
      <c r="A4475" s="15" t="s">
        <v>183</v>
      </c>
      <c r="B4475" s="15" t="s">
        <v>184</v>
      </c>
      <c r="C4475" s="15" t="s">
        <v>887</v>
      </c>
      <c r="D4475" s="15" t="s">
        <v>1210</v>
      </c>
      <c r="E4475" s="15"/>
      <c r="F4475" s="15" t="s">
        <v>1211</v>
      </c>
      <c r="G4475" s="15" t="s">
        <v>112</v>
      </c>
      <c r="H4475" s="15" t="s">
        <v>1212</v>
      </c>
    </row>
    <row r="4476" customFormat="false" ht="39" hidden="false" customHeight="true" outlineLevel="0" collapsed="false">
      <c r="A4476" s="15" t="s">
        <v>183</v>
      </c>
      <c r="B4476" s="15" t="s">
        <v>184</v>
      </c>
      <c r="C4476" s="15" t="s">
        <v>1213</v>
      </c>
      <c r="D4476" s="15" t="n">
        <v>5.68</v>
      </c>
      <c r="E4476" s="15" t="s">
        <v>1214</v>
      </c>
      <c r="F4476" s="15" t="s">
        <v>1211</v>
      </c>
      <c r="G4476" s="15" t="s">
        <v>112</v>
      </c>
      <c r="H4476" s="15" t="s">
        <v>1215</v>
      </c>
    </row>
    <row r="4477" customFormat="false" ht="26.25" hidden="false" customHeight="true" outlineLevel="0" collapsed="false">
      <c r="A4477" s="15" t="s">
        <v>143</v>
      </c>
      <c r="B4477" s="15" t="s">
        <v>144</v>
      </c>
      <c r="C4477" s="15" t="s">
        <v>887</v>
      </c>
      <c r="D4477" s="15" t="s">
        <v>1210</v>
      </c>
      <c r="E4477" s="15"/>
      <c r="F4477" s="15" t="s">
        <v>1211</v>
      </c>
      <c r="G4477" s="15" t="s">
        <v>112</v>
      </c>
      <c r="H4477" s="15" t="s">
        <v>1212</v>
      </c>
    </row>
    <row r="4478" customFormat="false" ht="39" hidden="false" customHeight="true" outlineLevel="0" collapsed="false">
      <c r="A4478" s="15" t="s">
        <v>143</v>
      </c>
      <c r="B4478" s="15" t="s">
        <v>144</v>
      </c>
      <c r="C4478" s="15" t="s">
        <v>1213</v>
      </c>
      <c r="D4478" s="15" t="n">
        <v>5.68</v>
      </c>
      <c r="E4478" s="15" t="s">
        <v>1214</v>
      </c>
      <c r="F4478" s="15" t="s">
        <v>1211</v>
      </c>
      <c r="G4478" s="15" t="s">
        <v>112</v>
      </c>
      <c r="H4478" s="15" t="s">
        <v>1215</v>
      </c>
    </row>
    <row r="4479" customFormat="false" ht="26.25" hidden="false" customHeight="true" outlineLevel="0" collapsed="false">
      <c r="A4479" s="15" t="s">
        <v>176</v>
      </c>
      <c r="B4479" s="15" t="s">
        <v>177</v>
      </c>
      <c r="C4479" s="15" t="s">
        <v>887</v>
      </c>
      <c r="D4479" s="15" t="s">
        <v>1210</v>
      </c>
      <c r="E4479" s="15"/>
      <c r="F4479" s="15" t="s">
        <v>1211</v>
      </c>
      <c r="G4479" s="15" t="s">
        <v>112</v>
      </c>
      <c r="H4479" s="15" t="s">
        <v>1212</v>
      </c>
    </row>
    <row r="4480" customFormat="false" ht="39" hidden="false" customHeight="true" outlineLevel="0" collapsed="false">
      <c r="A4480" s="15" t="s">
        <v>176</v>
      </c>
      <c r="B4480" s="15" t="s">
        <v>177</v>
      </c>
      <c r="C4480" s="15" t="s">
        <v>1213</v>
      </c>
      <c r="D4480" s="15" t="n">
        <v>5.68</v>
      </c>
      <c r="E4480" s="15" t="s">
        <v>1214</v>
      </c>
      <c r="F4480" s="15" t="s">
        <v>1211</v>
      </c>
      <c r="G4480" s="15" t="s">
        <v>112</v>
      </c>
      <c r="H4480" s="15" t="s">
        <v>1215</v>
      </c>
    </row>
    <row r="4481" customFormat="false" ht="26.25" hidden="false" customHeight="true" outlineLevel="0" collapsed="false">
      <c r="A4481" s="15" t="s">
        <v>151</v>
      </c>
      <c r="B4481" s="15" t="s">
        <v>152</v>
      </c>
      <c r="C4481" s="15" t="s">
        <v>887</v>
      </c>
      <c r="D4481" s="15" t="s">
        <v>1210</v>
      </c>
      <c r="E4481" s="15"/>
      <c r="F4481" s="15" t="s">
        <v>1211</v>
      </c>
      <c r="G4481" s="15" t="s">
        <v>112</v>
      </c>
      <c r="H4481" s="15" t="s">
        <v>1212</v>
      </c>
    </row>
    <row r="4482" customFormat="false" ht="39" hidden="false" customHeight="true" outlineLevel="0" collapsed="false">
      <c r="A4482" s="15" t="s">
        <v>151</v>
      </c>
      <c r="B4482" s="15" t="s">
        <v>152</v>
      </c>
      <c r="C4482" s="15" t="s">
        <v>1213</v>
      </c>
      <c r="D4482" s="15" t="n">
        <v>5.68</v>
      </c>
      <c r="E4482" s="15" t="s">
        <v>1214</v>
      </c>
      <c r="F4482" s="15" t="s">
        <v>1211</v>
      </c>
      <c r="G4482" s="15" t="s">
        <v>112</v>
      </c>
      <c r="H4482" s="15" t="s">
        <v>1215</v>
      </c>
    </row>
    <row r="4483" customFormat="false" ht="26.25" hidden="false" customHeight="true" outlineLevel="0" collapsed="false">
      <c r="A4483" s="15" t="s">
        <v>186</v>
      </c>
      <c r="B4483" s="15" t="s">
        <v>187</v>
      </c>
      <c r="C4483" s="15" t="s">
        <v>887</v>
      </c>
      <c r="D4483" s="15" t="s">
        <v>1210</v>
      </c>
      <c r="E4483" s="15"/>
      <c r="F4483" s="15" t="s">
        <v>1211</v>
      </c>
      <c r="G4483" s="15" t="s">
        <v>112</v>
      </c>
      <c r="H4483" s="15" t="s">
        <v>1212</v>
      </c>
    </row>
    <row r="4484" customFormat="false" ht="39" hidden="false" customHeight="true" outlineLevel="0" collapsed="false">
      <c r="A4484" s="15" t="s">
        <v>186</v>
      </c>
      <c r="B4484" s="15" t="s">
        <v>187</v>
      </c>
      <c r="C4484" s="15" t="s">
        <v>1213</v>
      </c>
      <c r="D4484" s="15" t="n">
        <v>5.68</v>
      </c>
      <c r="E4484" s="15" t="s">
        <v>1214</v>
      </c>
      <c r="F4484" s="15" t="s">
        <v>1211</v>
      </c>
      <c r="G4484" s="15" t="s">
        <v>112</v>
      </c>
      <c r="H4484" s="15" t="s">
        <v>1215</v>
      </c>
    </row>
    <row r="4485" customFormat="false" ht="26.25" hidden="false" customHeight="true" outlineLevel="0" collapsed="false">
      <c r="A4485" s="15" t="s">
        <v>155</v>
      </c>
      <c r="B4485" s="15" t="s">
        <v>156</v>
      </c>
      <c r="C4485" s="15" t="s">
        <v>887</v>
      </c>
      <c r="D4485" s="15" t="s">
        <v>1210</v>
      </c>
      <c r="E4485" s="15"/>
      <c r="F4485" s="15" t="s">
        <v>1211</v>
      </c>
      <c r="G4485" s="15" t="s">
        <v>112</v>
      </c>
      <c r="H4485" s="15" t="s">
        <v>1212</v>
      </c>
    </row>
    <row r="4486" customFormat="false" ht="39" hidden="false" customHeight="true" outlineLevel="0" collapsed="false">
      <c r="A4486" s="15" t="s">
        <v>155</v>
      </c>
      <c r="B4486" s="15" t="s">
        <v>156</v>
      </c>
      <c r="C4486" s="15" t="s">
        <v>1213</v>
      </c>
      <c r="D4486" s="15" t="n">
        <v>5.68</v>
      </c>
      <c r="E4486" s="15" t="s">
        <v>1214</v>
      </c>
      <c r="F4486" s="15" t="s">
        <v>1211</v>
      </c>
      <c r="G4486" s="15" t="s">
        <v>112</v>
      </c>
      <c r="H4486" s="15" t="s">
        <v>1215</v>
      </c>
    </row>
    <row r="4487" customFormat="false" ht="26.25" hidden="false" customHeight="true" outlineLevel="0" collapsed="false">
      <c r="A4487" s="15" t="s">
        <v>189</v>
      </c>
      <c r="B4487" s="15" t="s">
        <v>190</v>
      </c>
      <c r="C4487" s="15" t="s">
        <v>887</v>
      </c>
      <c r="D4487" s="15" t="s">
        <v>1210</v>
      </c>
      <c r="E4487" s="15"/>
      <c r="F4487" s="15" t="s">
        <v>1211</v>
      </c>
      <c r="G4487" s="15" t="s">
        <v>112</v>
      </c>
      <c r="H4487" s="15" t="s">
        <v>1212</v>
      </c>
    </row>
    <row r="4488" customFormat="false" ht="39" hidden="false" customHeight="true" outlineLevel="0" collapsed="false">
      <c r="A4488" s="15" t="s">
        <v>189</v>
      </c>
      <c r="B4488" s="15" t="s">
        <v>190</v>
      </c>
      <c r="C4488" s="15" t="s">
        <v>1213</v>
      </c>
      <c r="D4488" s="15" t="n">
        <v>5.68</v>
      </c>
      <c r="E4488" s="15" t="s">
        <v>1214</v>
      </c>
      <c r="F4488" s="15" t="s">
        <v>1211</v>
      </c>
      <c r="G4488" s="15" t="s">
        <v>112</v>
      </c>
      <c r="H4488" s="15" t="s">
        <v>1215</v>
      </c>
    </row>
    <row r="4489" customFormat="false" ht="26.25" hidden="false" customHeight="true" outlineLevel="0" collapsed="false">
      <c r="A4489" s="15" t="s">
        <v>159</v>
      </c>
      <c r="B4489" s="15" t="s">
        <v>160</v>
      </c>
      <c r="C4489" s="15" t="s">
        <v>887</v>
      </c>
      <c r="D4489" s="15" t="s">
        <v>1210</v>
      </c>
      <c r="E4489" s="15"/>
      <c r="F4489" s="15" t="s">
        <v>1211</v>
      </c>
      <c r="G4489" s="15" t="s">
        <v>112</v>
      </c>
      <c r="H4489" s="15" t="s">
        <v>1212</v>
      </c>
    </row>
    <row r="4490" customFormat="false" ht="39" hidden="false" customHeight="true" outlineLevel="0" collapsed="false">
      <c r="A4490" s="15" t="s">
        <v>159</v>
      </c>
      <c r="B4490" s="15" t="s">
        <v>160</v>
      </c>
      <c r="C4490" s="15" t="s">
        <v>1213</v>
      </c>
      <c r="D4490" s="15" t="n">
        <v>5.68</v>
      </c>
      <c r="E4490" s="15" t="s">
        <v>1214</v>
      </c>
      <c r="F4490" s="15" t="s">
        <v>1211</v>
      </c>
      <c r="G4490" s="15" t="s">
        <v>112</v>
      </c>
      <c r="H4490" s="15" t="s">
        <v>1215</v>
      </c>
    </row>
    <row r="4491" customFormat="false" ht="26.25" hidden="false" customHeight="true" outlineLevel="0" collapsed="false">
      <c r="A4491" s="15" t="s">
        <v>192</v>
      </c>
      <c r="B4491" s="15" t="s">
        <v>193</v>
      </c>
      <c r="C4491" s="15" t="s">
        <v>887</v>
      </c>
      <c r="D4491" s="15" t="s">
        <v>1210</v>
      </c>
      <c r="E4491" s="15"/>
      <c r="F4491" s="15" t="s">
        <v>1211</v>
      </c>
      <c r="G4491" s="15" t="s">
        <v>112</v>
      </c>
      <c r="H4491" s="15" t="s">
        <v>1212</v>
      </c>
    </row>
    <row r="4492" customFormat="false" ht="39" hidden="false" customHeight="true" outlineLevel="0" collapsed="false">
      <c r="A4492" s="15" t="s">
        <v>192</v>
      </c>
      <c r="B4492" s="15" t="s">
        <v>193</v>
      </c>
      <c r="C4492" s="15" t="s">
        <v>1213</v>
      </c>
      <c r="D4492" s="15" t="n">
        <v>5.68</v>
      </c>
      <c r="E4492" s="15" t="s">
        <v>1214</v>
      </c>
      <c r="F4492" s="15" t="s">
        <v>1211</v>
      </c>
      <c r="G4492" s="15" t="s">
        <v>112</v>
      </c>
      <c r="H4492" s="15" t="s">
        <v>1215</v>
      </c>
    </row>
    <row r="4493" customFormat="false" ht="26.25" hidden="false" customHeight="true" outlineLevel="0" collapsed="false">
      <c r="A4493" s="15" t="s">
        <v>264</v>
      </c>
      <c r="B4493" s="15" t="s">
        <v>265</v>
      </c>
      <c r="C4493" s="15" t="s">
        <v>887</v>
      </c>
      <c r="D4493" s="15" t="s">
        <v>1216</v>
      </c>
      <c r="E4493" s="15"/>
      <c r="F4493" s="15" t="s">
        <v>1211</v>
      </c>
      <c r="G4493" s="15" t="s">
        <v>112</v>
      </c>
      <c r="H4493" s="15" t="s">
        <v>1217</v>
      </c>
    </row>
    <row r="4494" customFormat="false" ht="26.25" hidden="false" customHeight="true" outlineLevel="0" collapsed="false">
      <c r="A4494" s="15" t="s">
        <v>282</v>
      </c>
      <c r="B4494" s="15" t="s">
        <v>283</v>
      </c>
      <c r="C4494" s="15" t="s">
        <v>887</v>
      </c>
      <c r="D4494" s="15" t="s">
        <v>1216</v>
      </c>
      <c r="E4494" s="15"/>
      <c r="F4494" s="15" t="s">
        <v>1211</v>
      </c>
      <c r="G4494" s="15" t="s">
        <v>112</v>
      </c>
      <c r="H4494" s="15" t="s">
        <v>1217</v>
      </c>
    </row>
    <row r="4495" customFormat="false" ht="26.25" hidden="false" customHeight="true" outlineLevel="0" collapsed="false">
      <c r="A4495" s="15" t="s">
        <v>275</v>
      </c>
      <c r="B4495" s="15" t="s">
        <v>276</v>
      </c>
      <c r="C4495" s="15" t="s">
        <v>887</v>
      </c>
      <c r="D4495" s="15" t="s">
        <v>1216</v>
      </c>
      <c r="E4495" s="15"/>
      <c r="F4495" s="15" t="s">
        <v>1211</v>
      </c>
      <c r="G4495" s="15" t="s">
        <v>112</v>
      </c>
      <c r="H4495" s="15" t="s">
        <v>1217</v>
      </c>
    </row>
    <row r="4496" customFormat="false" ht="26.25" hidden="false" customHeight="true" outlineLevel="0" collapsed="false">
      <c r="A4496" s="15" t="s">
        <v>289</v>
      </c>
      <c r="B4496" s="15" t="s">
        <v>249</v>
      </c>
      <c r="C4496" s="15" t="s">
        <v>887</v>
      </c>
      <c r="D4496" s="15" t="s">
        <v>1216</v>
      </c>
      <c r="E4496" s="15"/>
      <c r="F4496" s="15" t="s">
        <v>1211</v>
      </c>
      <c r="G4496" s="15" t="s">
        <v>112</v>
      </c>
      <c r="H4496" s="15" t="s">
        <v>1217</v>
      </c>
    </row>
    <row r="4497" customFormat="false" ht="26.25" hidden="false" customHeight="true" outlineLevel="0" collapsed="false">
      <c r="A4497" s="15" t="s">
        <v>271</v>
      </c>
      <c r="B4497" s="15" t="s">
        <v>272</v>
      </c>
      <c r="C4497" s="15" t="s">
        <v>887</v>
      </c>
      <c r="D4497" s="15" t="s">
        <v>1216</v>
      </c>
      <c r="E4497" s="15"/>
      <c r="F4497" s="15" t="s">
        <v>1211</v>
      </c>
      <c r="G4497" s="15" t="s">
        <v>112</v>
      </c>
      <c r="H4497" s="15" t="s">
        <v>1217</v>
      </c>
    </row>
    <row r="4498" customFormat="false" ht="26.25" hidden="false" customHeight="true" outlineLevel="0" collapsed="false">
      <c r="A4498" s="15" t="s">
        <v>285</v>
      </c>
      <c r="B4498" s="15" t="s">
        <v>286</v>
      </c>
      <c r="C4498" s="15" t="s">
        <v>887</v>
      </c>
      <c r="D4498" s="15" t="s">
        <v>1216</v>
      </c>
      <c r="E4498" s="15"/>
      <c r="F4498" s="15" t="s">
        <v>1211</v>
      </c>
      <c r="G4498" s="15" t="s">
        <v>112</v>
      </c>
      <c r="H4498" s="15" t="s">
        <v>1217</v>
      </c>
    </row>
    <row r="4499" customFormat="false" ht="15" hidden="false" customHeight="true" outlineLevel="0" collapsed="false">
      <c r="A4499" s="15" t="s">
        <v>362</v>
      </c>
      <c r="B4499" s="15" t="s">
        <v>363</v>
      </c>
      <c r="C4499" s="15" t="s">
        <v>887</v>
      </c>
      <c r="D4499" s="15" t="s">
        <v>1218</v>
      </c>
      <c r="E4499" s="15"/>
      <c r="F4499" s="15" t="s">
        <v>1211</v>
      </c>
      <c r="G4499" s="15" t="s">
        <v>112</v>
      </c>
      <c r="H4499" s="15" t="s">
        <v>1219</v>
      </c>
    </row>
    <row r="4500" customFormat="false" ht="26.25" hidden="false" customHeight="true" outlineLevel="0" collapsed="false">
      <c r="A4500" s="15" t="s">
        <v>362</v>
      </c>
      <c r="B4500" s="15" t="s">
        <v>363</v>
      </c>
      <c r="C4500" s="15" t="s">
        <v>1213</v>
      </c>
      <c r="D4500" s="15" t="n">
        <v>7.79</v>
      </c>
      <c r="E4500" s="15" t="s">
        <v>1214</v>
      </c>
      <c r="F4500" s="15" t="s">
        <v>1211</v>
      </c>
      <c r="G4500" s="15" t="s">
        <v>112</v>
      </c>
      <c r="H4500" s="15" t="s">
        <v>1220</v>
      </c>
    </row>
    <row r="4501" customFormat="false" ht="15" hidden="false" customHeight="true" outlineLevel="0" collapsed="false">
      <c r="A4501" s="15" t="s">
        <v>365</v>
      </c>
      <c r="B4501" s="15" t="s">
        <v>366</v>
      </c>
      <c r="C4501" s="15" t="s">
        <v>887</v>
      </c>
      <c r="D4501" s="15" t="s">
        <v>1218</v>
      </c>
      <c r="E4501" s="15"/>
      <c r="F4501" s="15" t="s">
        <v>1211</v>
      </c>
      <c r="G4501" s="15" t="s">
        <v>112</v>
      </c>
      <c r="H4501" s="15" t="s">
        <v>1219</v>
      </c>
    </row>
    <row r="4502" customFormat="false" ht="26.25" hidden="false" customHeight="true" outlineLevel="0" collapsed="false">
      <c r="A4502" s="15" t="s">
        <v>365</v>
      </c>
      <c r="B4502" s="15" t="s">
        <v>366</v>
      </c>
      <c r="C4502" s="15" t="s">
        <v>1213</v>
      </c>
      <c r="D4502" s="15" t="n">
        <v>7.79</v>
      </c>
      <c r="E4502" s="15" t="s">
        <v>1214</v>
      </c>
      <c r="F4502" s="15" t="s">
        <v>1211</v>
      </c>
      <c r="G4502" s="15" t="s">
        <v>112</v>
      </c>
      <c r="H4502" s="15" t="s">
        <v>1220</v>
      </c>
    </row>
    <row r="4503" customFormat="false" ht="15" hidden="false" customHeight="true" outlineLevel="0" collapsed="false">
      <c r="A4503" s="15" t="s">
        <v>368</v>
      </c>
      <c r="B4503" s="15" t="s">
        <v>369</v>
      </c>
      <c r="C4503" s="15" t="s">
        <v>887</v>
      </c>
      <c r="D4503" s="15" t="s">
        <v>1218</v>
      </c>
      <c r="E4503" s="15"/>
      <c r="F4503" s="15" t="s">
        <v>1211</v>
      </c>
      <c r="G4503" s="15" t="s">
        <v>112</v>
      </c>
      <c r="H4503" s="15" t="s">
        <v>1219</v>
      </c>
    </row>
    <row r="4504" customFormat="false" ht="26.25" hidden="false" customHeight="true" outlineLevel="0" collapsed="false">
      <c r="A4504" s="15" t="s">
        <v>368</v>
      </c>
      <c r="B4504" s="15" t="s">
        <v>369</v>
      </c>
      <c r="C4504" s="15" t="s">
        <v>1213</v>
      </c>
      <c r="D4504" s="15" t="n">
        <v>7.79</v>
      </c>
      <c r="E4504" s="15" t="s">
        <v>1214</v>
      </c>
      <c r="F4504" s="15" t="s">
        <v>1211</v>
      </c>
      <c r="G4504" s="15" t="s">
        <v>112</v>
      </c>
      <c r="H4504" s="15" t="s">
        <v>1220</v>
      </c>
    </row>
    <row r="4505" customFormat="false" ht="15" hidden="false" customHeight="true" outlineLevel="0" collapsed="false">
      <c r="A4505" s="15" t="s">
        <v>371</v>
      </c>
      <c r="B4505" s="15" t="s">
        <v>372</v>
      </c>
      <c r="C4505" s="15" t="s">
        <v>887</v>
      </c>
      <c r="D4505" s="15" t="s">
        <v>1218</v>
      </c>
      <c r="E4505" s="15"/>
      <c r="F4505" s="15" t="s">
        <v>1211</v>
      </c>
      <c r="G4505" s="15" t="s">
        <v>112</v>
      </c>
      <c r="H4505" s="15" t="s">
        <v>1219</v>
      </c>
    </row>
    <row r="4506" customFormat="false" ht="26.25" hidden="false" customHeight="true" outlineLevel="0" collapsed="false">
      <c r="A4506" s="15" t="s">
        <v>371</v>
      </c>
      <c r="B4506" s="15" t="s">
        <v>372</v>
      </c>
      <c r="C4506" s="15" t="s">
        <v>1213</v>
      </c>
      <c r="D4506" s="15" t="n">
        <v>7.79</v>
      </c>
      <c r="E4506" s="15" t="s">
        <v>1214</v>
      </c>
      <c r="F4506" s="15" t="s">
        <v>1211</v>
      </c>
      <c r="G4506" s="15" t="s">
        <v>112</v>
      </c>
      <c r="H4506" s="15" t="s">
        <v>1220</v>
      </c>
    </row>
    <row r="4507" customFormat="false" ht="26.25" hidden="false" customHeight="true" outlineLevel="0" collapsed="false">
      <c r="A4507" s="15" t="s">
        <v>385</v>
      </c>
      <c r="B4507" s="15" t="s">
        <v>386</v>
      </c>
      <c r="C4507" s="15" t="s">
        <v>887</v>
      </c>
      <c r="D4507" s="15" t="s">
        <v>1221</v>
      </c>
      <c r="E4507" s="15"/>
      <c r="F4507" s="15" t="s">
        <v>1211</v>
      </c>
      <c r="G4507" s="15" t="s">
        <v>112</v>
      </c>
      <c r="H4507" s="15" t="s">
        <v>1222</v>
      </c>
    </row>
    <row r="4508" customFormat="false" ht="26.25" hidden="false" customHeight="true" outlineLevel="0" collapsed="false">
      <c r="A4508" s="15" t="s">
        <v>385</v>
      </c>
      <c r="B4508" s="15" t="s">
        <v>386</v>
      </c>
      <c r="C4508" s="15" t="s">
        <v>1213</v>
      </c>
      <c r="D4508" s="15" t="n">
        <v>7.61</v>
      </c>
      <c r="E4508" s="15" t="s">
        <v>1214</v>
      </c>
      <c r="F4508" s="15" t="s">
        <v>1211</v>
      </c>
      <c r="G4508" s="15" t="s">
        <v>112</v>
      </c>
      <c r="H4508" s="15" t="s">
        <v>1223</v>
      </c>
    </row>
    <row r="4509" customFormat="false" ht="26.25" hidden="false" customHeight="true" outlineLevel="0" collapsed="false">
      <c r="A4509" s="15" t="s">
        <v>389</v>
      </c>
      <c r="B4509" s="15" t="s">
        <v>390</v>
      </c>
      <c r="C4509" s="15" t="s">
        <v>887</v>
      </c>
      <c r="D4509" s="15" t="s">
        <v>1221</v>
      </c>
      <c r="E4509" s="15"/>
      <c r="F4509" s="15" t="s">
        <v>1211</v>
      </c>
      <c r="G4509" s="15" t="s">
        <v>112</v>
      </c>
      <c r="H4509" s="15" t="s">
        <v>1222</v>
      </c>
    </row>
    <row r="4510" customFormat="false" ht="26.25" hidden="false" customHeight="true" outlineLevel="0" collapsed="false">
      <c r="A4510" s="15" t="s">
        <v>389</v>
      </c>
      <c r="B4510" s="15" t="s">
        <v>390</v>
      </c>
      <c r="C4510" s="15" t="s">
        <v>1213</v>
      </c>
      <c r="D4510" s="15" t="n">
        <v>7.61</v>
      </c>
      <c r="E4510" s="15" t="s">
        <v>1214</v>
      </c>
      <c r="F4510" s="15" t="s">
        <v>1211</v>
      </c>
      <c r="G4510" s="15" t="s">
        <v>112</v>
      </c>
      <c r="H4510" s="15" t="s">
        <v>1223</v>
      </c>
    </row>
    <row r="4511" customFormat="false" ht="26.25" hidden="false" customHeight="true" outlineLevel="0" collapsed="false">
      <c r="A4511" s="15" t="s">
        <v>392</v>
      </c>
      <c r="B4511" s="15" t="s">
        <v>393</v>
      </c>
      <c r="C4511" s="15" t="s">
        <v>887</v>
      </c>
      <c r="D4511" s="15" t="s">
        <v>1221</v>
      </c>
      <c r="E4511" s="15"/>
      <c r="F4511" s="15" t="s">
        <v>1211</v>
      </c>
      <c r="G4511" s="15" t="s">
        <v>112</v>
      </c>
      <c r="H4511" s="15" t="s">
        <v>1222</v>
      </c>
    </row>
    <row r="4512" customFormat="false" ht="26.25" hidden="false" customHeight="true" outlineLevel="0" collapsed="false">
      <c r="A4512" s="15" t="s">
        <v>392</v>
      </c>
      <c r="B4512" s="15" t="s">
        <v>393</v>
      </c>
      <c r="C4512" s="15" t="s">
        <v>1213</v>
      </c>
      <c r="D4512" s="15" t="n">
        <v>7.61</v>
      </c>
      <c r="E4512" s="15" t="s">
        <v>1214</v>
      </c>
      <c r="F4512" s="15" t="s">
        <v>1211</v>
      </c>
      <c r="G4512" s="15" t="s">
        <v>112</v>
      </c>
      <c r="H4512" s="15" t="s">
        <v>1223</v>
      </c>
    </row>
    <row r="4513" customFormat="false" ht="26.25" hidden="false" customHeight="true" outlineLevel="0" collapsed="false">
      <c r="A4513" s="15" t="s">
        <v>395</v>
      </c>
      <c r="B4513" s="15" t="s">
        <v>396</v>
      </c>
      <c r="C4513" s="15" t="s">
        <v>887</v>
      </c>
      <c r="D4513" s="15" t="s">
        <v>1221</v>
      </c>
      <c r="E4513" s="15"/>
      <c r="F4513" s="15" t="s">
        <v>1211</v>
      </c>
      <c r="G4513" s="15" t="s">
        <v>112</v>
      </c>
      <c r="H4513" s="15" t="s">
        <v>1222</v>
      </c>
    </row>
    <row r="4514" customFormat="false" ht="26.25" hidden="false" customHeight="true" outlineLevel="0" collapsed="false">
      <c r="A4514" s="15" t="s">
        <v>395</v>
      </c>
      <c r="B4514" s="15" t="s">
        <v>396</v>
      </c>
      <c r="C4514" s="15" t="s">
        <v>1213</v>
      </c>
      <c r="D4514" s="15" t="n">
        <v>7.61</v>
      </c>
      <c r="E4514" s="15" t="s">
        <v>1214</v>
      </c>
      <c r="F4514" s="15" t="s">
        <v>1211</v>
      </c>
      <c r="G4514" s="15" t="s">
        <v>112</v>
      </c>
      <c r="H4514" s="15" t="s">
        <v>1223</v>
      </c>
    </row>
    <row r="4515" customFormat="false" ht="15" hidden="false" customHeight="true" outlineLevel="0" collapsed="false">
      <c r="A4515" s="15" t="s">
        <v>311</v>
      </c>
      <c r="B4515" s="15" t="s">
        <v>314</v>
      </c>
      <c r="C4515" s="15" t="s">
        <v>887</v>
      </c>
      <c r="D4515" s="15" t="s">
        <v>1224</v>
      </c>
      <c r="E4515" s="15"/>
      <c r="F4515" s="15" t="s">
        <v>1211</v>
      </c>
      <c r="G4515" s="15" t="s">
        <v>112</v>
      </c>
      <c r="H4515" s="15" t="s">
        <v>1225</v>
      </c>
    </row>
    <row r="4516" customFormat="false" ht="26.25" hidden="false" customHeight="true" outlineLevel="0" collapsed="false">
      <c r="A4516" s="15" t="s">
        <v>311</v>
      </c>
      <c r="B4516" s="15" t="s">
        <v>314</v>
      </c>
      <c r="C4516" s="15" t="s">
        <v>1213</v>
      </c>
      <c r="D4516" s="15" t="n">
        <v>6.64</v>
      </c>
      <c r="E4516" s="15" t="s">
        <v>1214</v>
      </c>
      <c r="F4516" s="15" t="s">
        <v>1211</v>
      </c>
      <c r="G4516" s="15" t="s">
        <v>112</v>
      </c>
      <c r="H4516" s="15" t="s">
        <v>1226</v>
      </c>
    </row>
    <row r="4517" customFormat="false" ht="15" hidden="false" customHeight="true" outlineLevel="0" collapsed="false">
      <c r="A4517" s="15" t="s">
        <v>320</v>
      </c>
      <c r="B4517" s="15" t="s">
        <v>321</v>
      </c>
      <c r="C4517" s="15" t="s">
        <v>887</v>
      </c>
      <c r="D4517" s="15" t="s">
        <v>1224</v>
      </c>
      <c r="E4517" s="15"/>
      <c r="F4517" s="15" t="s">
        <v>1211</v>
      </c>
      <c r="G4517" s="15" t="s">
        <v>112</v>
      </c>
      <c r="H4517" s="15" t="s">
        <v>1225</v>
      </c>
    </row>
    <row r="4518" customFormat="false" ht="26.25" hidden="false" customHeight="true" outlineLevel="0" collapsed="false">
      <c r="A4518" s="15" t="s">
        <v>320</v>
      </c>
      <c r="B4518" s="15" t="s">
        <v>321</v>
      </c>
      <c r="C4518" s="15" t="s">
        <v>1213</v>
      </c>
      <c r="D4518" s="15" t="n">
        <v>6.64</v>
      </c>
      <c r="E4518" s="15" t="s">
        <v>1214</v>
      </c>
      <c r="F4518" s="15" t="s">
        <v>1211</v>
      </c>
      <c r="G4518" s="15" t="s">
        <v>112</v>
      </c>
      <c r="H4518" s="15" t="s">
        <v>1226</v>
      </c>
    </row>
    <row r="4519" customFormat="false" ht="26.25" hidden="false" customHeight="true" outlineLevel="0" collapsed="false">
      <c r="A4519" s="15" t="s">
        <v>341</v>
      </c>
      <c r="B4519" s="15" t="s">
        <v>342</v>
      </c>
      <c r="C4519" s="15" t="s">
        <v>887</v>
      </c>
      <c r="D4519" s="15" t="s">
        <v>1227</v>
      </c>
      <c r="E4519" s="15"/>
      <c r="F4519" s="15" t="s">
        <v>1211</v>
      </c>
      <c r="G4519" s="15" t="s">
        <v>112</v>
      </c>
      <c r="H4519" s="15" t="s">
        <v>1228</v>
      </c>
    </row>
    <row r="4520" customFormat="false" ht="26.25" hidden="false" customHeight="true" outlineLevel="0" collapsed="false">
      <c r="A4520" s="15" t="s">
        <v>341</v>
      </c>
      <c r="B4520" s="15" t="s">
        <v>342</v>
      </c>
      <c r="C4520" s="15" t="s">
        <v>1213</v>
      </c>
      <c r="D4520" s="15" t="n">
        <v>5.35</v>
      </c>
      <c r="E4520" s="15" t="s">
        <v>1214</v>
      </c>
      <c r="F4520" s="15" t="s">
        <v>1211</v>
      </c>
      <c r="G4520" s="15" t="s">
        <v>112</v>
      </c>
      <c r="H4520" s="15" t="s">
        <v>1229</v>
      </c>
    </row>
    <row r="4521" customFormat="false" ht="26.25" hidden="false" customHeight="true" outlineLevel="0" collapsed="false">
      <c r="A4521" s="15" t="s">
        <v>349</v>
      </c>
      <c r="B4521" s="15" t="s">
        <v>350</v>
      </c>
      <c r="C4521" s="15" t="s">
        <v>887</v>
      </c>
      <c r="D4521" s="15" t="s">
        <v>1227</v>
      </c>
      <c r="E4521" s="15"/>
      <c r="F4521" s="15" t="s">
        <v>1211</v>
      </c>
      <c r="G4521" s="15" t="s">
        <v>112</v>
      </c>
      <c r="H4521" s="15" t="s">
        <v>1228</v>
      </c>
    </row>
    <row r="4522" customFormat="false" ht="26.25" hidden="false" customHeight="true" outlineLevel="0" collapsed="false">
      <c r="A4522" s="15" t="s">
        <v>349</v>
      </c>
      <c r="B4522" s="15" t="s">
        <v>350</v>
      </c>
      <c r="C4522" s="15" t="s">
        <v>1213</v>
      </c>
      <c r="D4522" s="15" t="n">
        <v>5.35</v>
      </c>
      <c r="E4522" s="15" t="s">
        <v>1214</v>
      </c>
      <c r="F4522" s="15" t="s">
        <v>1211</v>
      </c>
      <c r="G4522" s="15" t="s">
        <v>112</v>
      </c>
      <c r="H4522" s="15" t="s">
        <v>1229</v>
      </c>
    </row>
    <row r="4523" customFormat="false" ht="26.25" hidden="false" customHeight="true" outlineLevel="0" collapsed="false">
      <c r="A4523" s="15" t="s">
        <v>435</v>
      </c>
      <c r="B4523" s="15" t="s">
        <v>436</v>
      </c>
      <c r="C4523" s="15" t="s">
        <v>887</v>
      </c>
      <c r="D4523" s="15" t="s">
        <v>1230</v>
      </c>
      <c r="E4523" s="15"/>
      <c r="F4523" s="15" t="s">
        <v>1211</v>
      </c>
      <c r="G4523" s="15" t="s">
        <v>112</v>
      </c>
      <c r="H4523" s="15" t="s">
        <v>1231</v>
      </c>
    </row>
    <row r="4524" customFormat="false" ht="26.25" hidden="false" customHeight="true" outlineLevel="0" collapsed="false">
      <c r="A4524" s="15" t="s">
        <v>435</v>
      </c>
      <c r="B4524" s="15" t="s">
        <v>436</v>
      </c>
      <c r="C4524" s="15" t="s">
        <v>1213</v>
      </c>
      <c r="D4524" s="15" t="n">
        <v>7.77</v>
      </c>
      <c r="E4524" s="15" t="s">
        <v>1214</v>
      </c>
      <c r="F4524" s="15" t="s">
        <v>1211</v>
      </c>
      <c r="G4524" s="15" t="s">
        <v>112</v>
      </c>
      <c r="H4524" s="15" t="s">
        <v>1232</v>
      </c>
    </row>
    <row r="4525" customFormat="false" ht="26.25" hidden="false" customHeight="true" outlineLevel="0" collapsed="false">
      <c r="A4525" s="15" t="s">
        <v>439</v>
      </c>
      <c r="B4525" s="15" t="s">
        <v>440</v>
      </c>
      <c r="C4525" s="15" t="s">
        <v>887</v>
      </c>
      <c r="D4525" s="15" t="s">
        <v>1230</v>
      </c>
      <c r="E4525" s="15"/>
      <c r="F4525" s="15" t="s">
        <v>1211</v>
      </c>
      <c r="G4525" s="15" t="s">
        <v>112</v>
      </c>
      <c r="H4525" s="15" t="s">
        <v>1231</v>
      </c>
    </row>
    <row r="4526" customFormat="false" ht="26.25" hidden="false" customHeight="true" outlineLevel="0" collapsed="false">
      <c r="A4526" s="15" t="s">
        <v>439</v>
      </c>
      <c r="B4526" s="15" t="s">
        <v>440</v>
      </c>
      <c r="C4526" s="15" t="s">
        <v>1213</v>
      </c>
      <c r="D4526" s="15" t="n">
        <v>7.77</v>
      </c>
      <c r="E4526" s="15" t="s">
        <v>1214</v>
      </c>
      <c r="F4526" s="15" t="s">
        <v>1211</v>
      </c>
      <c r="G4526" s="15" t="s">
        <v>112</v>
      </c>
      <c r="H4526" s="15" t="s">
        <v>1232</v>
      </c>
    </row>
    <row r="4527" customFormat="false" ht="26.25" hidden="false" customHeight="true" outlineLevel="0" collapsed="false">
      <c r="A4527" s="15" t="s">
        <v>443</v>
      </c>
      <c r="B4527" s="15" t="s">
        <v>446</v>
      </c>
      <c r="C4527" s="15" t="s">
        <v>1213</v>
      </c>
      <c r="D4527" s="15" t="n">
        <v>7.29</v>
      </c>
      <c r="E4527" s="15" t="s">
        <v>1214</v>
      </c>
      <c r="F4527" s="15" t="s">
        <v>1211</v>
      </c>
      <c r="G4527" s="15" t="s">
        <v>112</v>
      </c>
      <c r="H4527" s="15" t="s">
        <v>1233</v>
      </c>
    </row>
    <row r="4528" customFormat="false" ht="26.25" hidden="false" customHeight="true" outlineLevel="0" collapsed="false">
      <c r="A4528" s="15" t="s">
        <v>449</v>
      </c>
      <c r="B4528" s="15" t="s">
        <v>450</v>
      </c>
      <c r="C4528" s="15" t="s">
        <v>1213</v>
      </c>
      <c r="D4528" s="15" t="n">
        <v>7.29</v>
      </c>
      <c r="E4528" s="15" t="s">
        <v>1214</v>
      </c>
      <c r="F4528" s="15" t="s">
        <v>1211</v>
      </c>
      <c r="G4528" s="15" t="s">
        <v>112</v>
      </c>
      <c r="H4528" s="15" t="s">
        <v>1233</v>
      </c>
    </row>
    <row r="4529" customFormat="false" ht="26.25" hidden="false" customHeight="true" outlineLevel="0" collapsed="false">
      <c r="A4529" s="15" t="s">
        <v>452</v>
      </c>
      <c r="B4529" s="15" t="s">
        <v>453</v>
      </c>
      <c r="C4529" s="15" t="s">
        <v>1213</v>
      </c>
      <c r="D4529" s="15" t="n">
        <v>7.29</v>
      </c>
      <c r="E4529" s="15" t="s">
        <v>1214</v>
      </c>
      <c r="F4529" s="15" t="s">
        <v>1211</v>
      </c>
      <c r="G4529" s="15" t="s">
        <v>112</v>
      </c>
      <c r="H4529" s="15" t="s">
        <v>1233</v>
      </c>
    </row>
    <row r="4530" customFormat="false" ht="26.25" hidden="false" customHeight="true" outlineLevel="0" collapsed="false">
      <c r="A4530" s="15" t="s">
        <v>455</v>
      </c>
      <c r="B4530" s="15" t="s">
        <v>456</v>
      </c>
      <c r="C4530" s="15" t="s">
        <v>1213</v>
      </c>
      <c r="D4530" s="15" t="n">
        <v>7.29</v>
      </c>
      <c r="E4530" s="15" t="s">
        <v>1214</v>
      </c>
      <c r="F4530" s="15" t="s">
        <v>1211</v>
      </c>
      <c r="G4530" s="15" t="s">
        <v>112</v>
      </c>
      <c r="H4530" s="15" t="s">
        <v>1233</v>
      </c>
    </row>
    <row r="4531" customFormat="false" ht="15" hidden="false" customHeight="true" outlineLevel="0" collapsed="false">
      <c r="A4531" s="15" t="s">
        <v>106</v>
      </c>
      <c r="B4531" s="15" t="s">
        <v>110</v>
      </c>
      <c r="C4531" s="15" t="s">
        <v>61</v>
      </c>
      <c r="D4531" s="15" t="s">
        <v>109</v>
      </c>
      <c r="E4531" s="15"/>
      <c r="F4531" s="15" t="s">
        <v>716</v>
      </c>
      <c r="G4531" s="15" t="s">
        <v>112</v>
      </c>
      <c r="H4531" s="15" t="s">
        <v>1234</v>
      </c>
    </row>
    <row r="4532" customFormat="false" ht="26.25" hidden="false" customHeight="true" outlineLevel="0" collapsed="false">
      <c r="A4532" s="15" t="s">
        <v>106</v>
      </c>
      <c r="B4532" s="15" t="s">
        <v>110</v>
      </c>
      <c r="C4532" s="15" t="s">
        <v>1235</v>
      </c>
      <c r="D4532" s="15" t="s">
        <v>1236</v>
      </c>
      <c r="E4532" s="15"/>
      <c r="F4532" s="15" t="s">
        <v>716</v>
      </c>
      <c r="G4532" s="15" t="s">
        <v>112</v>
      </c>
      <c r="H4532" s="15"/>
    </row>
    <row r="4533" customFormat="false" ht="15" hidden="false" customHeight="true" outlineLevel="0" collapsed="false">
      <c r="A4533" s="15" t="s">
        <v>162</v>
      </c>
      <c r="B4533" s="15" t="s">
        <v>163</v>
      </c>
      <c r="C4533" s="15" t="s">
        <v>61</v>
      </c>
      <c r="D4533" s="15" t="s">
        <v>109</v>
      </c>
      <c r="E4533" s="15"/>
      <c r="F4533" s="15" t="s">
        <v>716</v>
      </c>
      <c r="G4533" s="15" t="s">
        <v>112</v>
      </c>
      <c r="H4533" s="15" t="s">
        <v>1234</v>
      </c>
    </row>
    <row r="4534" customFormat="false" ht="26.25" hidden="false" customHeight="true" outlineLevel="0" collapsed="false">
      <c r="A4534" s="15" t="s">
        <v>162</v>
      </c>
      <c r="B4534" s="15" t="s">
        <v>163</v>
      </c>
      <c r="C4534" s="15" t="s">
        <v>1235</v>
      </c>
      <c r="D4534" s="15" t="s">
        <v>1236</v>
      </c>
      <c r="E4534" s="15"/>
      <c r="F4534" s="15" t="s">
        <v>716</v>
      </c>
      <c r="G4534" s="15" t="s">
        <v>112</v>
      </c>
      <c r="H4534" s="15"/>
    </row>
    <row r="4535" customFormat="false" ht="15" hidden="false" customHeight="true" outlineLevel="0" collapsed="false">
      <c r="A4535" s="15" t="s">
        <v>126</v>
      </c>
      <c r="B4535" s="15" t="s">
        <v>127</v>
      </c>
      <c r="C4535" s="15" t="s">
        <v>61</v>
      </c>
      <c r="D4535" s="15" t="s">
        <v>109</v>
      </c>
      <c r="E4535" s="15"/>
      <c r="F4535" s="15" t="s">
        <v>716</v>
      </c>
      <c r="G4535" s="15" t="s">
        <v>112</v>
      </c>
      <c r="H4535" s="15" t="s">
        <v>1234</v>
      </c>
    </row>
    <row r="4536" customFormat="false" ht="26.25" hidden="false" customHeight="true" outlineLevel="0" collapsed="false">
      <c r="A4536" s="15" t="s">
        <v>126</v>
      </c>
      <c r="B4536" s="15" t="s">
        <v>127</v>
      </c>
      <c r="C4536" s="15" t="s">
        <v>1235</v>
      </c>
      <c r="D4536" s="15" t="s">
        <v>1236</v>
      </c>
      <c r="E4536" s="15"/>
      <c r="F4536" s="15" t="s">
        <v>716</v>
      </c>
      <c r="G4536" s="15" t="s">
        <v>112</v>
      </c>
      <c r="H4536" s="15"/>
    </row>
    <row r="4537" customFormat="false" ht="15" hidden="false" customHeight="true" outlineLevel="0" collapsed="false">
      <c r="A4537" s="15" t="s">
        <v>167</v>
      </c>
      <c r="B4537" s="15" t="s">
        <v>168</v>
      </c>
      <c r="C4537" s="15" t="s">
        <v>61</v>
      </c>
      <c r="D4537" s="15" t="s">
        <v>109</v>
      </c>
      <c r="E4537" s="15"/>
      <c r="F4537" s="15" t="s">
        <v>716</v>
      </c>
      <c r="G4537" s="15" t="s">
        <v>112</v>
      </c>
      <c r="H4537" s="15" t="s">
        <v>1234</v>
      </c>
    </row>
    <row r="4538" customFormat="false" ht="26.25" hidden="false" customHeight="true" outlineLevel="0" collapsed="false">
      <c r="A4538" s="15" t="s">
        <v>167</v>
      </c>
      <c r="B4538" s="15" t="s">
        <v>168</v>
      </c>
      <c r="C4538" s="15" t="s">
        <v>1235</v>
      </c>
      <c r="D4538" s="15" t="s">
        <v>1236</v>
      </c>
      <c r="E4538" s="15"/>
      <c r="F4538" s="15" t="s">
        <v>716</v>
      </c>
      <c r="G4538" s="15" t="s">
        <v>112</v>
      </c>
      <c r="H4538" s="15"/>
    </row>
    <row r="4539" customFormat="false" ht="15" hidden="false" customHeight="true" outlineLevel="0" collapsed="false">
      <c r="A4539" s="15" t="s">
        <v>132</v>
      </c>
      <c r="B4539" s="15" t="s">
        <v>133</v>
      </c>
      <c r="C4539" s="15" t="s">
        <v>61</v>
      </c>
      <c r="D4539" s="15" t="s">
        <v>109</v>
      </c>
      <c r="E4539" s="15"/>
      <c r="F4539" s="15" t="s">
        <v>716</v>
      </c>
      <c r="G4539" s="15" t="s">
        <v>112</v>
      </c>
      <c r="H4539" s="15" t="s">
        <v>1234</v>
      </c>
    </row>
    <row r="4540" customFormat="false" ht="26.25" hidden="false" customHeight="true" outlineLevel="0" collapsed="false">
      <c r="A4540" s="15" t="s">
        <v>132</v>
      </c>
      <c r="B4540" s="15" t="s">
        <v>133</v>
      </c>
      <c r="C4540" s="15" t="s">
        <v>1235</v>
      </c>
      <c r="D4540" s="15" t="s">
        <v>1236</v>
      </c>
      <c r="E4540" s="15"/>
      <c r="F4540" s="15" t="s">
        <v>716</v>
      </c>
      <c r="G4540" s="15" t="s">
        <v>112</v>
      </c>
      <c r="H4540" s="15"/>
    </row>
    <row r="4541" customFormat="false" ht="15" hidden="false" customHeight="true" outlineLevel="0" collapsed="false">
      <c r="A4541" s="15" t="s">
        <v>170</v>
      </c>
      <c r="B4541" s="15" t="s">
        <v>171</v>
      </c>
      <c r="C4541" s="15" t="s">
        <v>61</v>
      </c>
      <c r="D4541" s="15" t="s">
        <v>109</v>
      </c>
      <c r="E4541" s="15"/>
      <c r="F4541" s="15" t="s">
        <v>716</v>
      </c>
      <c r="G4541" s="15" t="s">
        <v>112</v>
      </c>
      <c r="H4541" s="15" t="s">
        <v>1234</v>
      </c>
    </row>
    <row r="4542" customFormat="false" ht="26.25" hidden="false" customHeight="true" outlineLevel="0" collapsed="false">
      <c r="A4542" s="15" t="s">
        <v>170</v>
      </c>
      <c r="B4542" s="15" t="s">
        <v>171</v>
      </c>
      <c r="C4542" s="15" t="s">
        <v>1235</v>
      </c>
      <c r="D4542" s="15" t="s">
        <v>1236</v>
      </c>
      <c r="E4542" s="15"/>
      <c r="F4542" s="15" t="s">
        <v>716</v>
      </c>
      <c r="G4542" s="15" t="s">
        <v>112</v>
      </c>
      <c r="H4542" s="15"/>
    </row>
    <row r="4543" customFormat="false" ht="15" hidden="false" customHeight="true" outlineLevel="0" collapsed="false">
      <c r="A4543" s="15" t="s">
        <v>136</v>
      </c>
      <c r="B4543" s="15" t="s">
        <v>137</v>
      </c>
      <c r="C4543" s="15" t="s">
        <v>61</v>
      </c>
      <c r="D4543" s="15" t="s">
        <v>109</v>
      </c>
      <c r="E4543" s="15"/>
      <c r="F4543" s="15" t="s">
        <v>716</v>
      </c>
      <c r="G4543" s="15" t="s">
        <v>112</v>
      </c>
      <c r="H4543" s="15" t="s">
        <v>1234</v>
      </c>
    </row>
    <row r="4544" customFormat="false" ht="26.25" hidden="false" customHeight="true" outlineLevel="0" collapsed="false">
      <c r="A4544" s="15" t="s">
        <v>136</v>
      </c>
      <c r="B4544" s="15" t="s">
        <v>137</v>
      </c>
      <c r="C4544" s="15" t="s">
        <v>1235</v>
      </c>
      <c r="D4544" s="15" t="s">
        <v>1236</v>
      </c>
      <c r="E4544" s="15"/>
      <c r="F4544" s="15" t="s">
        <v>716</v>
      </c>
      <c r="G4544" s="15" t="s">
        <v>112</v>
      </c>
      <c r="H4544" s="15"/>
    </row>
    <row r="4545" customFormat="false" ht="15" hidden="false" customHeight="true" outlineLevel="0" collapsed="false">
      <c r="A4545" s="15" t="s">
        <v>173</v>
      </c>
      <c r="B4545" s="15" t="s">
        <v>174</v>
      </c>
      <c r="C4545" s="15" t="s">
        <v>61</v>
      </c>
      <c r="D4545" s="15" t="s">
        <v>109</v>
      </c>
      <c r="E4545" s="15"/>
      <c r="F4545" s="15" t="s">
        <v>716</v>
      </c>
      <c r="G4545" s="15" t="s">
        <v>112</v>
      </c>
      <c r="H4545" s="15" t="s">
        <v>1234</v>
      </c>
    </row>
    <row r="4546" customFormat="false" ht="26.25" hidden="false" customHeight="true" outlineLevel="0" collapsed="false">
      <c r="A4546" s="15" t="s">
        <v>173</v>
      </c>
      <c r="B4546" s="15" t="s">
        <v>174</v>
      </c>
      <c r="C4546" s="15" t="s">
        <v>1235</v>
      </c>
      <c r="D4546" s="15" t="s">
        <v>1236</v>
      </c>
      <c r="E4546" s="15"/>
      <c r="F4546" s="15" t="s">
        <v>716</v>
      </c>
      <c r="G4546" s="15" t="s">
        <v>112</v>
      </c>
      <c r="H4546" s="15"/>
    </row>
    <row r="4547" customFormat="false" ht="15" hidden="false" customHeight="true" outlineLevel="0" collapsed="false">
      <c r="A4547" s="15" t="s">
        <v>139</v>
      </c>
      <c r="B4547" s="15" t="s">
        <v>140</v>
      </c>
      <c r="C4547" s="15" t="s">
        <v>61</v>
      </c>
      <c r="D4547" s="15" t="s">
        <v>109</v>
      </c>
      <c r="E4547" s="15"/>
      <c r="F4547" s="15" t="s">
        <v>716</v>
      </c>
      <c r="G4547" s="15" t="s">
        <v>112</v>
      </c>
      <c r="H4547" s="15" t="s">
        <v>1234</v>
      </c>
    </row>
    <row r="4548" customFormat="false" ht="26.25" hidden="false" customHeight="true" outlineLevel="0" collapsed="false">
      <c r="A4548" s="15" t="s">
        <v>139</v>
      </c>
      <c r="B4548" s="15" t="s">
        <v>140</v>
      </c>
      <c r="C4548" s="15" t="s">
        <v>1235</v>
      </c>
      <c r="D4548" s="15" t="s">
        <v>1236</v>
      </c>
      <c r="E4548" s="15"/>
      <c r="F4548" s="15" t="s">
        <v>716</v>
      </c>
      <c r="G4548" s="15" t="s">
        <v>112</v>
      </c>
      <c r="H4548" s="15"/>
    </row>
    <row r="4549" customFormat="false" ht="15" hidden="false" customHeight="true" outlineLevel="0" collapsed="false">
      <c r="A4549" s="15" t="s">
        <v>180</v>
      </c>
      <c r="B4549" s="15" t="s">
        <v>181</v>
      </c>
      <c r="C4549" s="15" t="s">
        <v>61</v>
      </c>
      <c r="D4549" s="15" t="s">
        <v>109</v>
      </c>
      <c r="E4549" s="15"/>
      <c r="F4549" s="15" t="s">
        <v>716</v>
      </c>
      <c r="G4549" s="15" t="s">
        <v>112</v>
      </c>
      <c r="H4549" s="15" t="s">
        <v>1234</v>
      </c>
    </row>
    <row r="4550" customFormat="false" ht="26.25" hidden="false" customHeight="true" outlineLevel="0" collapsed="false">
      <c r="A4550" s="15" t="s">
        <v>180</v>
      </c>
      <c r="B4550" s="15" t="s">
        <v>181</v>
      </c>
      <c r="C4550" s="15" t="s">
        <v>1235</v>
      </c>
      <c r="D4550" s="15" t="s">
        <v>1236</v>
      </c>
      <c r="E4550" s="15"/>
      <c r="F4550" s="15" t="s">
        <v>716</v>
      </c>
      <c r="G4550" s="15" t="s">
        <v>112</v>
      </c>
      <c r="H4550" s="15"/>
    </row>
    <row r="4551" customFormat="false" ht="15" hidden="false" customHeight="true" outlineLevel="0" collapsed="false">
      <c r="A4551" s="15" t="s">
        <v>148</v>
      </c>
      <c r="B4551" s="15" t="s">
        <v>149</v>
      </c>
      <c r="C4551" s="15" t="s">
        <v>61</v>
      </c>
      <c r="D4551" s="15" t="s">
        <v>109</v>
      </c>
      <c r="E4551" s="15"/>
      <c r="F4551" s="15" t="s">
        <v>716</v>
      </c>
      <c r="G4551" s="15" t="s">
        <v>112</v>
      </c>
      <c r="H4551" s="15" t="s">
        <v>1234</v>
      </c>
    </row>
    <row r="4552" customFormat="false" ht="26.25" hidden="false" customHeight="true" outlineLevel="0" collapsed="false">
      <c r="A4552" s="15" t="s">
        <v>148</v>
      </c>
      <c r="B4552" s="15" t="s">
        <v>149</v>
      </c>
      <c r="C4552" s="15" t="s">
        <v>1235</v>
      </c>
      <c r="D4552" s="15" t="s">
        <v>1236</v>
      </c>
      <c r="E4552" s="15"/>
      <c r="F4552" s="15" t="s">
        <v>716</v>
      </c>
      <c r="G4552" s="15" t="s">
        <v>112</v>
      </c>
      <c r="H4552" s="15"/>
    </row>
    <row r="4553" customFormat="false" ht="15" hidden="false" customHeight="true" outlineLevel="0" collapsed="false">
      <c r="A4553" s="15" t="s">
        <v>183</v>
      </c>
      <c r="B4553" s="15" t="s">
        <v>184</v>
      </c>
      <c r="C4553" s="15" t="s">
        <v>61</v>
      </c>
      <c r="D4553" s="15" t="s">
        <v>109</v>
      </c>
      <c r="E4553" s="15"/>
      <c r="F4553" s="15" t="s">
        <v>716</v>
      </c>
      <c r="G4553" s="15" t="s">
        <v>112</v>
      </c>
      <c r="H4553" s="15" t="s">
        <v>1234</v>
      </c>
    </row>
    <row r="4554" customFormat="false" ht="26.25" hidden="false" customHeight="true" outlineLevel="0" collapsed="false">
      <c r="A4554" s="15" t="s">
        <v>183</v>
      </c>
      <c r="B4554" s="15" t="s">
        <v>184</v>
      </c>
      <c r="C4554" s="15" t="s">
        <v>1235</v>
      </c>
      <c r="D4554" s="15" t="s">
        <v>1236</v>
      </c>
      <c r="E4554" s="15"/>
      <c r="F4554" s="15" t="s">
        <v>716</v>
      </c>
      <c r="G4554" s="15" t="s">
        <v>112</v>
      </c>
      <c r="H4554" s="15"/>
    </row>
    <row r="4555" customFormat="false" ht="15" hidden="false" customHeight="true" outlineLevel="0" collapsed="false">
      <c r="A4555" s="15" t="s">
        <v>143</v>
      </c>
      <c r="B4555" s="15" t="s">
        <v>144</v>
      </c>
      <c r="C4555" s="15" t="s">
        <v>61</v>
      </c>
      <c r="D4555" s="15" t="s">
        <v>109</v>
      </c>
      <c r="E4555" s="15"/>
      <c r="F4555" s="15" t="s">
        <v>716</v>
      </c>
      <c r="G4555" s="15" t="s">
        <v>112</v>
      </c>
      <c r="H4555" s="15" t="s">
        <v>1234</v>
      </c>
    </row>
    <row r="4556" customFormat="false" ht="26.25" hidden="false" customHeight="true" outlineLevel="0" collapsed="false">
      <c r="A4556" s="15" t="s">
        <v>143</v>
      </c>
      <c r="B4556" s="15" t="s">
        <v>144</v>
      </c>
      <c r="C4556" s="15" t="s">
        <v>1235</v>
      </c>
      <c r="D4556" s="15" t="s">
        <v>1236</v>
      </c>
      <c r="E4556" s="15"/>
      <c r="F4556" s="15" t="s">
        <v>716</v>
      </c>
      <c r="G4556" s="15" t="s">
        <v>112</v>
      </c>
      <c r="H4556" s="15"/>
    </row>
    <row r="4557" customFormat="false" ht="15" hidden="false" customHeight="true" outlineLevel="0" collapsed="false">
      <c r="A4557" s="15" t="s">
        <v>176</v>
      </c>
      <c r="B4557" s="15" t="s">
        <v>177</v>
      </c>
      <c r="C4557" s="15" t="s">
        <v>61</v>
      </c>
      <c r="D4557" s="15" t="s">
        <v>109</v>
      </c>
      <c r="E4557" s="15"/>
      <c r="F4557" s="15" t="s">
        <v>716</v>
      </c>
      <c r="G4557" s="15" t="s">
        <v>112</v>
      </c>
      <c r="H4557" s="15" t="s">
        <v>1234</v>
      </c>
    </row>
    <row r="4558" customFormat="false" ht="26.25" hidden="false" customHeight="true" outlineLevel="0" collapsed="false">
      <c r="A4558" s="15" t="s">
        <v>176</v>
      </c>
      <c r="B4558" s="15" t="s">
        <v>177</v>
      </c>
      <c r="C4558" s="15" t="s">
        <v>1235</v>
      </c>
      <c r="D4558" s="15" t="s">
        <v>1236</v>
      </c>
      <c r="E4558" s="15"/>
      <c r="F4558" s="15" t="s">
        <v>716</v>
      </c>
      <c r="G4558" s="15" t="s">
        <v>112</v>
      </c>
      <c r="H4558" s="15"/>
    </row>
    <row r="4559" customFormat="false" ht="15" hidden="false" customHeight="true" outlineLevel="0" collapsed="false">
      <c r="A4559" s="15" t="s">
        <v>151</v>
      </c>
      <c r="B4559" s="15" t="s">
        <v>152</v>
      </c>
      <c r="C4559" s="15" t="s">
        <v>61</v>
      </c>
      <c r="D4559" s="15" t="s">
        <v>109</v>
      </c>
      <c r="E4559" s="15"/>
      <c r="F4559" s="15" t="s">
        <v>716</v>
      </c>
      <c r="G4559" s="15" t="s">
        <v>112</v>
      </c>
      <c r="H4559" s="15" t="s">
        <v>1234</v>
      </c>
    </row>
    <row r="4560" customFormat="false" ht="26.25" hidden="false" customHeight="true" outlineLevel="0" collapsed="false">
      <c r="A4560" s="15" t="s">
        <v>151</v>
      </c>
      <c r="B4560" s="15" t="s">
        <v>152</v>
      </c>
      <c r="C4560" s="15" t="s">
        <v>1235</v>
      </c>
      <c r="D4560" s="15" t="s">
        <v>1236</v>
      </c>
      <c r="E4560" s="15"/>
      <c r="F4560" s="15" t="s">
        <v>716</v>
      </c>
      <c r="G4560" s="15" t="s">
        <v>112</v>
      </c>
      <c r="H4560" s="15"/>
    </row>
    <row r="4561" customFormat="false" ht="15" hidden="false" customHeight="true" outlineLevel="0" collapsed="false">
      <c r="A4561" s="15" t="s">
        <v>186</v>
      </c>
      <c r="B4561" s="15" t="s">
        <v>187</v>
      </c>
      <c r="C4561" s="15" t="s">
        <v>61</v>
      </c>
      <c r="D4561" s="15" t="s">
        <v>109</v>
      </c>
      <c r="E4561" s="15"/>
      <c r="F4561" s="15" t="s">
        <v>716</v>
      </c>
      <c r="G4561" s="15" t="s">
        <v>112</v>
      </c>
      <c r="H4561" s="15" t="s">
        <v>1234</v>
      </c>
    </row>
    <row r="4562" customFormat="false" ht="26.25" hidden="false" customHeight="true" outlineLevel="0" collapsed="false">
      <c r="A4562" s="15" t="s">
        <v>186</v>
      </c>
      <c r="B4562" s="15" t="s">
        <v>187</v>
      </c>
      <c r="C4562" s="15" t="s">
        <v>1235</v>
      </c>
      <c r="D4562" s="15" t="s">
        <v>1236</v>
      </c>
      <c r="E4562" s="15"/>
      <c r="F4562" s="15" t="s">
        <v>716</v>
      </c>
      <c r="G4562" s="15" t="s">
        <v>112</v>
      </c>
      <c r="H4562" s="15"/>
    </row>
    <row r="4563" customFormat="false" ht="15" hidden="false" customHeight="true" outlineLevel="0" collapsed="false">
      <c r="A4563" s="15" t="s">
        <v>155</v>
      </c>
      <c r="B4563" s="15" t="s">
        <v>156</v>
      </c>
      <c r="C4563" s="15" t="s">
        <v>61</v>
      </c>
      <c r="D4563" s="15" t="s">
        <v>109</v>
      </c>
      <c r="E4563" s="15"/>
      <c r="F4563" s="15" t="s">
        <v>716</v>
      </c>
      <c r="G4563" s="15" t="s">
        <v>112</v>
      </c>
      <c r="H4563" s="15" t="s">
        <v>1234</v>
      </c>
    </row>
    <row r="4564" customFormat="false" ht="26.25" hidden="false" customHeight="true" outlineLevel="0" collapsed="false">
      <c r="A4564" s="15" t="s">
        <v>155</v>
      </c>
      <c r="B4564" s="15" t="s">
        <v>156</v>
      </c>
      <c r="C4564" s="15" t="s">
        <v>1235</v>
      </c>
      <c r="D4564" s="15" t="s">
        <v>1236</v>
      </c>
      <c r="E4564" s="15"/>
      <c r="F4564" s="15" t="s">
        <v>716</v>
      </c>
      <c r="G4564" s="15" t="s">
        <v>112</v>
      </c>
      <c r="H4564" s="15"/>
    </row>
    <row r="4565" customFormat="false" ht="15" hidden="false" customHeight="true" outlineLevel="0" collapsed="false">
      <c r="A4565" s="15" t="s">
        <v>189</v>
      </c>
      <c r="B4565" s="15" t="s">
        <v>190</v>
      </c>
      <c r="C4565" s="15" t="s">
        <v>61</v>
      </c>
      <c r="D4565" s="15" t="s">
        <v>109</v>
      </c>
      <c r="E4565" s="15"/>
      <c r="F4565" s="15" t="s">
        <v>716</v>
      </c>
      <c r="G4565" s="15" t="s">
        <v>112</v>
      </c>
      <c r="H4565" s="15" t="s">
        <v>1234</v>
      </c>
    </row>
    <row r="4566" customFormat="false" ht="26.25" hidden="false" customHeight="true" outlineLevel="0" collapsed="false">
      <c r="A4566" s="15" t="s">
        <v>189</v>
      </c>
      <c r="B4566" s="15" t="s">
        <v>190</v>
      </c>
      <c r="C4566" s="15" t="s">
        <v>1235</v>
      </c>
      <c r="D4566" s="15" t="s">
        <v>1236</v>
      </c>
      <c r="E4566" s="15"/>
      <c r="F4566" s="15" t="s">
        <v>716</v>
      </c>
      <c r="G4566" s="15" t="s">
        <v>112</v>
      </c>
      <c r="H4566" s="15"/>
    </row>
    <row r="4567" customFormat="false" ht="15" hidden="false" customHeight="true" outlineLevel="0" collapsed="false">
      <c r="A4567" s="15" t="s">
        <v>159</v>
      </c>
      <c r="B4567" s="15" t="s">
        <v>160</v>
      </c>
      <c r="C4567" s="15" t="s">
        <v>61</v>
      </c>
      <c r="D4567" s="15" t="s">
        <v>109</v>
      </c>
      <c r="E4567" s="15"/>
      <c r="F4567" s="15" t="s">
        <v>716</v>
      </c>
      <c r="G4567" s="15" t="s">
        <v>112</v>
      </c>
      <c r="H4567" s="15" t="s">
        <v>1234</v>
      </c>
    </row>
    <row r="4568" customFormat="false" ht="26.25" hidden="false" customHeight="true" outlineLevel="0" collapsed="false">
      <c r="A4568" s="15" t="s">
        <v>159</v>
      </c>
      <c r="B4568" s="15" t="s">
        <v>160</v>
      </c>
      <c r="C4568" s="15" t="s">
        <v>1235</v>
      </c>
      <c r="D4568" s="15" t="s">
        <v>1236</v>
      </c>
      <c r="E4568" s="15"/>
      <c r="F4568" s="15" t="s">
        <v>716</v>
      </c>
      <c r="G4568" s="15" t="s">
        <v>112</v>
      </c>
      <c r="H4568" s="15"/>
    </row>
    <row r="4569" customFormat="false" ht="26.25" hidden="false" customHeight="true" outlineLevel="0" collapsed="false">
      <c r="A4569" s="15" t="s">
        <v>192</v>
      </c>
      <c r="B4569" s="15" t="s">
        <v>193</v>
      </c>
      <c r="C4569" s="15" t="s">
        <v>61</v>
      </c>
      <c r="D4569" s="15" t="s">
        <v>109</v>
      </c>
      <c r="E4569" s="15"/>
      <c r="F4569" s="15" t="s">
        <v>716</v>
      </c>
      <c r="G4569" s="15" t="s">
        <v>112</v>
      </c>
      <c r="H4569" s="15" t="s">
        <v>1234</v>
      </c>
    </row>
    <row r="4570" customFormat="false" ht="26.25" hidden="false" customHeight="true" outlineLevel="0" collapsed="false">
      <c r="A4570" s="15" t="s">
        <v>192</v>
      </c>
      <c r="B4570" s="15" t="s">
        <v>193</v>
      </c>
      <c r="C4570" s="15" t="s">
        <v>1235</v>
      </c>
      <c r="D4570" s="15" t="s">
        <v>1236</v>
      </c>
      <c r="E4570" s="15"/>
      <c r="F4570" s="15" t="s">
        <v>716</v>
      </c>
      <c r="G4570" s="15" t="s">
        <v>112</v>
      </c>
      <c r="H4570" s="15"/>
    </row>
    <row r="4571" customFormat="false" ht="15" hidden="false" customHeight="true" outlineLevel="0" collapsed="false">
      <c r="A4571" s="15" t="s">
        <v>254</v>
      </c>
      <c r="B4571" s="15" t="s">
        <v>257</v>
      </c>
      <c r="C4571" s="15" t="s">
        <v>61</v>
      </c>
      <c r="D4571" s="15" t="s">
        <v>256</v>
      </c>
      <c r="E4571" s="15"/>
      <c r="F4571" s="15" t="s">
        <v>824</v>
      </c>
      <c r="G4571" s="15" t="s">
        <v>112</v>
      </c>
      <c r="H4571" s="15"/>
    </row>
    <row r="4572" customFormat="false" ht="39" hidden="false" customHeight="true" outlineLevel="0" collapsed="false">
      <c r="A4572" s="15" t="s">
        <v>254</v>
      </c>
      <c r="B4572" s="15" t="s">
        <v>257</v>
      </c>
      <c r="C4572" s="15" t="s">
        <v>1235</v>
      </c>
      <c r="D4572" s="15" t="s">
        <v>1237</v>
      </c>
      <c r="E4572" s="15"/>
      <c r="F4572" s="15" t="s">
        <v>824</v>
      </c>
      <c r="G4572" s="15" t="s">
        <v>112</v>
      </c>
      <c r="H4572" s="15"/>
    </row>
    <row r="4573" customFormat="false" ht="15" hidden="false" customHeight="true" outlineLevel="0" collapsed="false">
      <c r="A4573" s="15" t="s">
        <v>278</v>
      </c>
      <c r="B4573" s="15" t="s">
        <v>279</v>
      </c>
      <c r="C4573" s="15" t="s">
        <v>61</v>
      </c>
      <c r="D4573" s="15" t="s">
        <v>256</v>
      </c>
      <c r="E4573" s="15"/>
      <c r="F4573" s="15" t="s">
        <v>824</v>
      </c>
      <c r="G4573" s="15" t="s">
        <v>112</v>
      </c>
      <c r="H4573" s="15"/>
    </row>
    <row r="4574" customFormat="false" ht="39" hidden="false" customHeight="true" outlineLevel="0" collapsed="false">
      <c r="A4574" s="15" t="s">
        <v>278</v>
      </c>
      <c r="B4574" s="15" t="s">
        <v>279</v>
      </c>
      <c r="C4574" s="15" t="s">
        <v>1235</v>
      </c>
      <c r="D4574" s="15" t="s">
        <v>1237</v>
      </c>
      <c r="E4574" s="15"/>
      <c r="F4574" s="15" t="s">
        <v>824</v>
      </c>
      <c r="G4574" s="15" t="s">
        <v>112</v>
      </c>
      <c r="H4574" s="15"/>
    </row>
    <row r="4575" customFormat="false" ht="15" hidden="false" customHeight="true" outlineLevel="0" collapsed="false">
      <c r="A4575" s="15" t="s">
        <v>261</v>
      </c>
      <c r="B4575" s="15" t="s">
        <v>262</v>
      </c>
      <c r="C4575" s="15" t="s">
        <v>61</v>
      </c>
      <c r="D4575" s="15" t="s">
        <v>256</v>
      </c>
      <c r="E4575" s="15"/>
      <c r="F4575" s="15" t="s">
        <v>824</v>
      </c>
      <c r="G4575" s="15" t="s">
        <v>112</v>
      </c>
      <c r="H4575" s="15"/>
    </row>
    <row r="4576" customFormat="false" ht="39" hidden="false" customHeight="true" outlineLevel="0" collapsed="false">
      <c r="A4576" s="15" t="s">
        <v>261</v>
      </c>
      <c r="B4576" s="15" t="s">
        <v>262</v>
      </c>
      <c r="C4576" s="15" t="s">
        <v>1235</v>
      </c>
      <c r="D4576" s="15" t="s">
        <v>1237</v>
      </c>
      <c r="E4576" s="15"/>
      <c r="F4576" s="15" t="s">
        <v>824</v>
      </c>
      <c r="G4576" s="15" t="s">
        <v>112</v>
      </c>
      <c r="H4576" s="15"/>
    </row>
    <row r="4577" customFormat="false" ht="15" hidden="false" customHeight="true" outlineLevel="0" collapsed="false">
      <c r="A4577" s="15" t="s">
        <v>291</v>
      </c>
      <c r="B4577" s="15" t="s">
        <v>292</v>
      </c>
      <c r="C4577" s="15" t="s">
        <v>61</v>
      </c>
      <c r="D4577" s="15" t="s">
        <v>256</v>
      </c>
      <c r="E4577" s="15"/>
      <c r="F4577" s="15" t="s">
        <v>824</v>
      </c>
      <c r="G4577" s="15" t="s">
        <v>112</v>
      </c>
      <c r="H4577" s="15"/>
    </row>
    <row r="4578" customFormat="false" ht="39" hidden="false" customHeight="true" outlineLevel="0" collapsed="false">
      <c r="A4578" s="15" t="s">
        <v>291</v>
      </c>
      <c r="B4578" s="15" t="s">
        <v>292</v>
      </c>
      <c r="C4578" s="15" t="s">
        <v>1235</v>
      </c>
      <c r="D4578" s="15" t="s">
        <v>1237</v>
      </c>
      <c r="E4578" s="15"/>
      <c r="F4578" s="15" t="s">
        <v>824</v>
      </c>
      <c r="G4578" s="15" t="s">
        <v>112</v>
      </c>
      <c r="H4578" s="15"/>
    </row>
    <row r="4579" customFormat="false" ht="15" hidden="false" customHeight="true" outlineLevel="0" collapsed="false">
      <c r="A4579" s="15" t="s">
        <v>264</v>
      </c>
      <c r="B4579" s="15" t="s">
        <v>265</v>
      </c>
      <c r="C4579" s="15" t="s">
        <v>61</v>
      </c>
      <c r="D4579" s="15" t="s">
        <v>256</v>
      </c>
      <c r="E4579" s="15"/>
      <c r="F4579" s="15" t="s">
        <v>824</v>
      </c>
      <c r="G4579" s="15" t="s">
        <v>112</v>
      </c>
      <c r="H4579" s="15"/>
    </row>
    <row r="4580" customFormat="false" ht="39" hidden="false" customHeight="true" outlineLevel="0" collapsed="false">
      <c r="A4580" s="15" t="s">
        <v>264</v>
      </c>
      <c r="B4580" s="15" t="s">
        <v>265</v>
      </c>
      <c r="C4580" s="15" t="s">
        <v>1235</v>
      </c>
      <c r="D4580" s="15" t="s">
        <v>1237</v>
      </c>
      <c r="E4580" s="15"/>
      <c r="F4580" s="15" t="s">
        <v>824</v>
      </c>
      <c r="G4580" s="15" t="s">
        <v>112</v>
      </c>
      <c r="H4580" s="15"/>
    </row>
    <row r="4581" customFormat="false" ht="15" hidden="false" customHeight="true" outlineLevel="0" collapsed="false">
      <c r="A4581" s="15" t="s">
        <v>282</v>
      </c>
      <c r="B4581" s="15" t="s">
        <v>283</v>
      </c>
      <c r="C4581" s="15" t="s">
        <v>61</v>
      </c>
      <c r="D4581" s="15" t="s">
        <v>256</v>
      </c>
      <c r="E4581" s="15"/>
      <c r="F4581" s="15" t="s">
        <v>824</v>
      </c>
      <c r="G4581" s="15" t="s">
        <v>112</v>
      </c>
      <c r="H4581" s="15"/>
    </row>
    <row r="4582" customFormat="false" ht="39" hidden="false" customHeight="true" outlineLevel="0" collapsed="false">
      <c r="A4582" s="15" t="s">
        <v>282</v>
      </c>
      <c r="B4582" s="15" t="s">
        <v>283</v>
      </c>
      <c r="C4582" s="15" t="s">
        <v>1235</v>
      </c>
      <c r="D4582" s="15" t="s">
        <v>1237</v>
      </c>
      <c r="E4582" s="15"/>
      <c r="F4582" s="15" t="s">
        <v>824</v>
      </c>
      <c r="G4582" s="15" t="s">
        <v>112</v>
      </c>
      <c r="H4582" s="15"/>
    </row>
    <row r="4583" customFormat="false" ht="26.25" hidden="false" customHeight="true" outlineLevel="0" collapsed="false">
      <c r="A4583" s="15" t="s">
        <v>268</v>
      </c>
      <c r="B4583" s="15" t="s">
        <v>269</v>
      </c>
      <c r="C4583" s="15" t="s">
        <v>61</v>
      </c>
      <c r="D4583" s="15" t="s">
        <v>256</v>
      </c>
      <c r="E4583" s="15"/>
      <c r="F4583" s="15" t="s">
        <v>824</v>
      </c>
      <c r="G4583" s="15" t="s">
        <v>112</v>
      </c>
      <c r="H4583" s="15"/>
    </row>
    <row r="4584" customFormat="false" ht="39" hidden="false" customHeight="true" outlineLevel="0" collapsed="false">
      <c r="A4584" s="15" t="s">
        <v>268</v>
      </c>
      <c r="B4584" s="15" t="s">
        <v>269</v>
      </c>
      <c r="C4584" s="15" t="s">
        <v>1235</v>
      </c>
      <c r="D4584" s="15" t="s">
        <v>1237</v>
      </c>
      <c r="E4584" s="15"/>
      <c r="F4584" s="15" t="s">
        <v>824</v>
      </c>
      <c r="G4584" s="15" t="s">
        <v>112</v>
      </c>
      <c r="H4584" s="15"/>
    </row>
    <row r="4585" customFormat="false" ht="26.25" hidden="false" customHeight="true" outlineLevel="0" collapsed="false">
      <c r="A4585" s="15" t="s">
        <v>296</v>
      </c>
      <c r="B4585" s="15" t="s">
        <v>297</v>
      </c>
      <c r="C4585" s="15" t="s">
        <v>61</v>
      </c>
      <c r="D4585" s="15" t="s">
        <v>256</v>
      </c>
      <c r="E4585" s="15"/>
      <c r="F4585" s="15" t="s">
        <v>824</v>
      </c>
      <c r="G4585" s="15" t="s">
        <v>112</v>
      </c>
      <c r="H4585" s="15"/>
    </row>
    <row r="4586" customFormat="false" ht="39" hidden="false" customHeight="true" outlineLevel="0" collapsed="false">
      <c r="A4586" s="15" t="s">
        <v>296</v>
      </c>
      <c r="B4586" s="15" t="s">
        <v>297</v>
      </c>
      <c r="C4586" s="15" t="s">
        <v>1235</v>
      </c>
      <c r="D4586" s="15" t="s">
        <v>1237</v>
      </c>
      <c r="E4586" s="15"/>
      <c r="F4586" s="15" t="s">
        <v>824</v>
      </c>
      <c r="G4586" s="15" t="s">
        <v>112</v>
      </c>
      <c r="H4586" s="15"/>
    </row>
    <row r="4587" customFormat="false" ht="15" hidden="false" customHeight="true" outlineLevel="0" collapsed="false">
      <c r="A4587" s="15" t="s">
        <v>275</v>
      </c>
      <c r="B4587" s="15" t="s">
        <v>276</v>
      </c>
      <c r="C4587" s="15" t="s">
        <v>61</v>
      </c>
      <c r="D4587" s="15" t="s">
        <v>256</v>
      </c>
      <c r="E4587" s="15"/>
      <c r="F4587" s="15" t="s">
        <v>824</v>
      </c>
      <c r="G4587" s="15" t="s">
        <v>112</v>
      </c>
      <c r="H4587" s="15"/>
    </row>
    <row r="4588" customFormat="false" ht="39" hidden="false" customHeight="true" outlineLevel="0" collapsed="false">
      <c r="A4588" s="15" t="s">
        <v>275</v>
      </c>
      <c r="B4588" s="15" t="s">
        <v>276</v>
      </c>
      <c r="C4588" s="15" t="s">
        <v>1235</v>
      </c>
      <c r="D4588" s="15" t="s">
        <v>1237</v>
      </c>
      <c r="E4588" s="15"/>
      <c r="F4588" s="15" t="s">
        <v>824</v>
      </c>
      <c r="G4588" s="15" t="s">
        <v>112</v>
      </c>
      <c r="H4588" s="15"/>
    </row>
    <row r="4589" customFormat="false" ht="26.25" hidden="false" customHeight="true" outlineLevel="0" collapsed="false">
      <c r="A4589" s="15" t="s">
        <v>289</v>
      </c>
      <c r="B4589" s="15" t="s">
        <v>249</v>
      </c>
      <c r="C4589" s="15" t="s">
        <v>61</v>
      </c>
      <c r="D4589" s="15" t="s">
        <v>256</v>
      </c>
      <c r="E4589" s="15"/>
      <c r="F4589" s="15" t="s">
        <v>824</v>
      </c>
      <c r="G4589" s="15" t="s">
        <v>112</v>
      </c>
      <c r="H4589" s="15"/>
    </row>
    <row r="4590" customFormat="false" ht="39" hidden="false" customHeight="true" outlineLevel="0" collapsed="false">
      <c r="A4590" s="15" t="s">
        <v>289</v>
      </c>
      <c r="B4590" s="15" t="s">
        <v>249</v>
      </c>
      <c r="C4590" s="15" t="s">
        <v>1235</v>
      </c>
      <c r="D4590" s="15" t="s">
        <v>1237</v>
      </c>
      <c r="E4590" s="15"/>
      <c r="F4590" s="15" t="s">
        <v>824</v>
      </c>
      <c r="G4590" s="15" t="s">
        <v>112</v>
      </c>
      <c r="H4590" s="15"/>
    </row>
    <row r="4591" customFormat="false" ht="15" hidden="false" customHeight="true" outlineLevel="0" collapsed="false">
      <c r="A4591" s="15" t="s">
        <v>271</v>
      </c>
      <c r="B4591" s="15" t="s">
        <v>272</v>
      </c>
      <c r="C4591" s="15" t="s">
        <v>61</v>
      </c>
      <c r="D4591" s="15" t="s">
        <v>256</v>
      </c>
      <c r="E4591" s="15"/>
      <c r="F4591" s="15" t="s">
        <v>824</v>
      </c>
      <c r="G4591" s="15" t="s">
        <v>112</v>
      </c>
      <c r="H4591" s="15"/>
    </row>
    <row r="4592" customFormat="false" ht="39" hidden="false" customHeight="true" outlineLevel="0" collapsed="false">
      <c r="A4592" s="15" t="s">
        <v>271</v>
      </c>
      <c r="B4592" s="15" t="s">
        <v>272</v>
      </c>
      <c r="C4592" s="15" t="s">
        <v>1235</v>
      </c>
      <c r="D4592" s="15" t="s">
        <v>1237</v>
      </c>
      <c r="E4592" s="15"/>
      <c r="F4592" s="15" t="s">
        <v>824</v>
      </c>
      <c r="G4592" s="15" t="s">
        <v>112</v>
      </c>
      <c r="H4592" s="15"/>
    </row>
    <row r="4593" customFormat="false" ht="15" hidden="false" customHeight="true" outlineLevel="0" collapsed="false">
      <c r="A4593" s="15" t="s">
        <v>285</v>
      </c>
      <c r="B4593" s="15" t="s">
        <v>286</v>
      </c>
      <c r="C4593" s="15" t="s">
        <v>61</v>
      </c>
      <c r="D4593" s="15" t="s">
        <v>256</v>
      </c>
      <c r="E4593" s="15"/>
      <c r="F4593" s="15" t="s">
        <v>824</v>
      </c>
      <c r="G4593" s="15" t="s">
        <v>112</v>
      </c>
      <c r="H4593" s="15"/>
    </row>
    <row r="4594" customFormat="false" ht="39" hidden="false" customHeight="true" outlineLevel="0" collapsed="false">
      <c r="A4594" s="15" t="s">
        <v>285</v>
      </c>
      <c r="B4594" s="15" t="s">
        <v>286</v>
      </c>
      <c r="C4594" s="15" t="s">
        <v>1235</v>
      </c>
      <c r="D4594" s="15" t="s">
        <v>1237</v>
      </c>
      <c r="E4594" s="15"/>
      <c r="F4594" s="15" t="s">
        <v>824</v>
      </c>
      <c r="G4594" s="15" t="s">
        <v>112</v>
      </c>
      <c r="H4594" s="15"/>
    </row>
    <row r="4595" customFormat="false" ht="15" hidden="false" customHeight="true" outlineLevel="0" collapsed="false">
      <c r="A4595" s="15" t="s">
        <v>195</v>
      </c>
      <c r="B4595" s="15" t="s">
        <v>197</v>
      </c>
      <c r="C4595" s="15" t="s">
        <v>61</v>
      </c>
      <c r="D4595" s="15" t="s">
        <v>109</v>
      </c>
      <c r="E4595" s="15"/>
      <c r="F4595" s="15" t="s">
        <v>882</v>
      </c>
      <c r="G4595" s="15" t="s">
        <v>112</v>
      </c>
      <c r="H4595" s="15"/>
    </row>
    <row r="4596" customFormat="false" ht="26.25" hidden="false" customHeight="true" outlineLevel="0" collapsed="false">
      <c r="A4596" s="15" t="s">
        <v>195</v>
      </c>
      <c r="B4596" s="15" t="s">
        <v>197</v>
      </c>
      <c r="C4596" s="15" t="s">
        <v>1235</v>
      </c>
      <c r="D4596" s="15" t="s">
        <v>1238</v>
      </c>
      <c r="E4596" s="15"/>
      <c r="F4596" s="15" t="s">
        <v>882</v>
      </c>
      <c r="G4596" s="15" t="s">
        <v>112</v>
      </c>
      <c r="H4596" s="15"/>
    </row>
    <row r="4597" customFormat="false" ht="26.25" hidden="false" customHeight="true" outlineLevel="0" collapsed="false">
      <c r="A4597" s="15" t="s">
        <v>234</v>
      </c>
      <c r="B4597" s="15" t="s">
        <v>235</v>
      </c>
      <c r="C4597" s="15" t="s">
        <v>61</v>
      </c>
      <c r="D4597" s="15" t="s">
        <v>109</v>
      </c>
      <c r="E4597" s="15"/>
      <c r="F4597" s="15" t="s">
        <v>882</v>
      </c>
      <c r="G4597" s="15" t="s">
        <v>112</v>
      </c>
      <c r="H4597" s="15"/>
    </row>
    <row r="4598" customFormat="false" ht="26.25" hidden="false" customHeight="true" outlineLevel="0" collapsed="false">
      <c r="A4598" s="15" t="s">
        <v>234</v>
      </c>
      <c r="B4598" s="15" t="s">
        <v>235</v>
      </c>
      <c r="C4598" s="15" t="s">
        <v>1235</v>
      </c>
      <c r="D4598" s="15" t="s">
        <v>1238</v>
      </c>
      <c r="E4598" s="15"/>
      <c r="F4598" s="15" t="s">
        <v>882</v>
      </c>
      <c r="G4598" s="15" t="s">
        <v>112</v>
      </c>
      <c r="H4598" s="15"/>
    </row>
    <row r="4599" customFormat="false" ht="15" hidden="false" customHeight="true" outlineLevel="0" collapsed="false">
      <c r="A4599" s="15" t="s">
        <v>204</v>
      </c>
      <c r="B4599" s="15" t="s">
        <v>205</v>
      </c>
      <c r="C4599" s="15" t="s">
        <v>61</v>
      </c>
      <c r="D4599" s="15" t="s">
        <v>109</v>
      </c>
      <c r="E4599" s="15"/>
      <c r="F4599" s="15" t="s">
        <v>882</v>
      </c>
      <c r="G4599" s="15" t="s">
        <v>112</v>
      </c>
      <c r="H4599" s="15"/>
    </row>
    <row r="4600" customFormat="false" ht="26.25" hidden="false" customHeight="true" outlineLevel="0" collapsed="false">
      <c r="A4600" s="15" t="s">
        <v>204</v>
      </c>
      <c r="B4600" s="15" t="s">
        <v>205</v>
      </c>
      <c r="C4600" s="15" t="s">
        <v>1235</v>
      </c>
      <c r="D4600" s="15" t="s">
        <v>1238</v>
      </c>
      <c r="E4600" s="15"/>
      <c r="F4600" s="15" t="s">
        <v>882</v>
      </c>
      <c r="G4600" s="15" t="s">
        <v>112</v>
      </c>
      <c r="H4600" s="15"/>
    </row>
    <row r="4601" customFormat="false" ht="26.25" hidden="false" customHeight="true" outlineLevel="0" collapsed="false">
      <c r="A4601" s="15" t="s">
        <v>238</v>
      </c>
      <c r="B4601" s="15" t="s">
        <v>239</v>
      </c>
      <c r="C4601" s="15" t="s">
        <v>61</v>
      </c>
      <c r="D4601" s="15" t="s">
        <v>109</v>
      </c>
      <c r="E4601" s="15"/>
      <c r="F4601" s="15" t="s">
        <v>882</v>
      </c>
      <c r="G4601" s="15" t="s">
        <v>112</v>
      </c>
      <c r="H4601" s="15"/>
    </row>
    <row r="4602" customFormat="false" ht="26.25" hidden="false" customHeight="true" outlineLevel="0" collapsed="false">
      <c r="A4602" s="15" t="s">
        <v>238</v>
      </c>
      <c r="B4602" s="15" t="s">
        <v>239</v>
      </c>
      <c r="C4602" s="15" t="s">
        <v>1235</v>
      </c>
      <c r="D4602" s="15" t="s">
        <v>1238</v>
      </c>
      <c r="E4602" s="15"/>
      <c r="F4602" s="15" t="s">
        <v>882</v>
      </c>
      <c r="G4602" s="15" t="s">
        <v>112</v>
      </c>
      <c r="H4602" s="15"/>
    </row>
    <row r="4603" customFormat="false" ht="26.25" hidden="false" customHeight="true" outlineLevel="0" collapsed="false">
      <c r="A4603" s="15" t="s">
        <v>207</v>
      </c>
      <c r="B4603" s="15" t="s">
        <v>208</v>
      </c>
      <c r="C4603" s="15" t="s">
        <v>61</v>
      </c>
      <c r="D4603" s="15" t="s">
        <v>109</v>
      </c>
      <c r="E4603" s="15"/>
      <c r="F4603" s="15" t="s">
        <v>882</v>
      </c>
      <c r="G4603" s="15" t="s">
        <v>112</v>
      </c>
      <c r="H4603" s="15"/>
    </row>
    <row r="4604" customFormat="false" ht="26.25" hidden="false" customHeight="true" outlineLevel="0" collapsed="false">
      <c r="A4604" s="15" t="s">
        <v>207</v>
      </c>
      <c r="B4604" s="15" t="s">
        <v>208</v>
      </c>
      <c r="C4604" s="15" t="s">
        <v>1235</v>
      </c>
      <c r="D4604" s="15" t="s">
        <v>1238</v>
      </c>
      <c r="E4604" s="15"/>
      <c r="F4604" s="15" t="s">
        <v>882</v>
      </c>
      <c r="G4604" s="15" t="s">
        <v>112</v>
      </c>
      <c r="H4604" s="15"/>
    </row>
    <row r="4605" customFormat="false" ht="26.25" hidden="false" customHeight="true" outlineLevel="0" collapsed="false">
      <c r="A4605" s="15" t="s">
        <v>245</v>
      </c>
      <c r="B4605" s="15" t="s">
        <v>246</v>
      </c>
      <c r="C4605" s="15" t="s">
        <v>61</v>
      </c>
      <c r="D4605" s="15" t="s">
        <v>109</v>
      </c>
      <c r="E4605" s="15"/>
      <c r="F4605" s="15" t="s">
        <v>882</v>
      </c>
      <c r="G4605" s="15" t="s">
        <v>112</v>
      </c>
      <c r="H4605" s="15"/>
    </row>
    <row r="4606" customFormat="false" ht="26.25" hidden="false" customHeight="true" outlineLevel="0" collapsed="false">
      <c r="A4606" s="15" t="s">
        <v>245</v>
      </c>
      <c r="B4606" s="15" t="s">
        <v>246</v>
      </c>
      <c r="C4606" s="15" t="s">
        <v>1235</v>
      </c>
      <c r="D4606" s="15" t="s">
        <v>1238</v>
      </c>
      <c r="E4606" s="15"/>
      <c r="F4606" s="15" t="s">
        <v>882</v>
      </c>
      <c r="G4606" s="15" t="s">
        <v>112</v>
      </c>
      <c r="H4606" s="15"/>
    </row>
    <row r="4607" customFormat="false" ht="26.25" hidden="false" customHeight="true" outlineLevel="0" collapsed="false">
      <c r="A4607" s="15" t="s">
        <v>215</v>
      </c>
      <c r="B4607" s="15" t="s">
        <v>216</v>
      </c>
      <c r="C4607" s="15" t="s">
        <v>61</v>
      </c>
      <c r="D4607" s="15" t="s">
        <v>109</v>
      </c>
      <c r="E4607" s="15"/>
      <c r="F4607" s="15" t="s">
        <v>882</v>
      </c>
      <c r="G4607" s="15" t="s">
        <v>112</v>
      </c>
      <c r="H4607" s="15"/>
    </row>
    <row r="4608" customFormat="false" ht="26.25" hidden="false" customHeight="true" outlineLevel="0" collapsed="false">
      <c r="A4608" s="15" t="s">
        <v>215</v>
      </c>
      <c r="B4608" s="15" t="s">
        <v>216</v>
      </c>
      <c r="C4608" s="15" t="s">
        <v>1235</v>
      </c>
      <c r="D4608" s="15" t="s">
        <v>1238</v>
      </c>
      <c r="E4608" s="15"/>
      <c r="F4608" s="15" t="s">
        <v>882</v>
      </c>
      <c r="G4608" s="15" t="s">
        <v>112</v>
      </c>
      <c r="H4608" s="15"/>
    </row>
    <row r="4609" customFormat="false" ht="26.25" hidden="false" customHeight="true" outlineLevel="0" collapsed="false">
      <c r="A4609" s="15" t="s">
        <v>241</v>
      </c>
      <c r="B4609" s="15" t="s">
        <v>242</v>
      </c>
      <c r="C4609" s="15" t="s">
        <v>61</v>
      </c>
      <c r="D4609" s="15" t="s">
        <v>109</v>
      </c>
      <c r="E4609" s="15"/>
      <c r="F4609" s="15" t="s">
        <v>882</v>
      </c>
      <c r="G4609" s="15" t="s">
        <v>112</v>
      </c>
      <c r="H4609" s="15"/>
    </row>
    <row r="4610" customFormat="false" ht="26.25" hidden="false" customHeight="true" outlineLevel="0" collapsed="false">
      <c r="A4610" s="15" t="s">
        <v>241</v>
      </c>
      <c r="B4610" s="15" t="s">
        <v>242</v>
      </c>
      <c r="C4610" s="15" t="s">
        <v>1235</v>
      </c>
      <c r="D4610" s="15" t="s">
        <v>1238</v>
      </c>
      <c r="E4610" s="15"/>
      <c r="F4610" s="15" t="s">
        <v>882</v>
      </c>
      <c r="G4610" s="15" t="s">
        <v>112</v>
      </c>
      <c r="H4610" s="15"/>
    </row>
    <row r="4611" customFormat="false" ht="26.25" hidden="false" customHeight="true" outlineLevel="0" collapsed="false">
      <c r="A4611" s="15" t="s">
        <v>221</v>
      </c>
      <c r="B4611" s="15" t="s">
        <v>222</v>
      </c>
      <c r="C4611" s="15" t="s">
        <v>61</v>
      </c>
      <c r="D4611" s="15" t="s">
        <v>109</v>
      </c>
      <c r="E4611" s="15"/>
      <c r="F4611" s="15" t="s">
        <v>882</v>
      </c>
      <c r="G4611" s="15" t="s">
        <v>112</v>
      </c>
      <c r="H4611" s="15"/>
    </row>
    <row r="4612" customFormat="false" ht="26.25" hidden="false" customHeight="true" outlineLevel="0" collapsed="false">
      <c r="A4612" s="15" t="s">
        <v>221</v>
      </c>
      <c r="B4612" s="15" t="s">
        <v>222</v>
      </c>
      <c r="C4612" s="15" t="s">
        <v>1235</v>
      </c>
      <c r="D4612" s="15" t="s">
        <v>1238</v>
      </c>
      <c r="E4612" s="15"/>
      <c r="F4612" s="15" t="s">
        <v>882</v>
      </c>
      <c r="G4612" s="15" t="s">
        <v>112</v>
      </c>
      <c r="H4612" s="15"/>
    </row>
    <row r="4613" customFormat="false" ht="26.25" hidden="false" customHeight="true" outlineLevel="0" collapsed="false">
      <c r="A4613" s="15" t="s">
        <v>248</v>
      </c>
      <c r="B4613" s="15" t="s">
        <v>249</v>
      </c>
      <c r="C4613" s="15" t="s">
        <v>61</v>
      </c>
      <c r="D4613" s="15" t="s">
        <v>109</v>
      </c>
      <c r="E4613" s="15"/>
      <c r="F4613" s="15" t="s">
        <v>882</v>
      </c>
      <c r="G4613" s="15" t="s">
        <v>112</v>
      </c>
      <c r="H4613" s="15"/>
    </row>
    <row r="4614" customFormat="false" ht="26.25" hidden="false" customHeight="true" outlineLevel="0" collapsed="false">
      <c r="A4614" s="15" t="s">
        <v>248</v>
      </c>
      <c r="B4614" s="15" t="s">
        <v>249</v>
      </c>
      <c r="C4614" s="15" t="s">
        <v>1235</v>
      </c>
      <c r="D4614" s="15" t="s">
        <v>1238</v>
      </c>
      <c r="E4614" s="15"/>
      <c r="F4614" s="15" t="s">
        <v>882</v>
      </c>
      <c r="G4614" s="15" t="s">
        <v>112</v>
      </c>
      <c r="H4614" s="15"/>
    </row>
    <row r="4615" customFormat="false" ht="26.25" hidden="false" customHeight="true" outlineLevel="0" collapsed="false">
      <c r="A4615" s="15" t="s">
        <v>230</v>
      </c>
      <c r="B4615" s="15" t="s">
        <v>231</v>
      </c>
      <c r="C4615" s="15" t="s">
        <v>61</v>
      </c>
      <c r="D4615" s="15" t="s">
        <v>109</v>
      </c>
      <c r="E4615" s="15"/>
      <c r="F4615" s="15" t="s">
        <v>882</v>
      </c>
      <c r="G4615" s="15" t="s">
        <v>112</v>
      </c>
      <c r="H4615" s="15"/>
    </row>
    <row r="4616" customFormat="false" ht="26.25" hidden="false" customHeight="true" outlineLevel="0" collapsed="false">
      <c r="A4616" s="15" t="s">
        <v>230</v>
      </c>
      <c r="B4616" s="15" t="s">
        <v>231</v>
      </c>
      <c r="C4616" s="15" t="s">
        <v>1235</v>
      </c>
      <c r="D4616" s="15" t="s">
        <v>1238</v>
      </c>
      <c r="E4616" s="15"/>
      <c r="F4616" s="15" t="s">
        <v>882</v>
      </c>
      <c r="G4616" s="15" t="s">
        <v>112</v>
      </c>
      <c r="H4616" s="15"/>
    </row>
    <row r="4617" customFormat="false" ht="26.25" hidden="false" customHeight="true" outlineLevel="0" collapsed="false">
      <c r="A4617" s="15" t="s">
        <v>251</v>
      </c>
      <c r="B4617" s="15" t="s">
        <v>252</v>
      </c>
      <c r="C4617" s="15" t="s">
        <v>61</v>
      </c>
      <c r="D4617" s="15" t="s">
        <v>109</v>
      </c>
      <c r="E4617" s="15"/>
      <c r="F4617" s="15" t="s">
        <v>882</v>
      </c>
      <c r="G4617" s="15" t="s">
        <v>112</v>
      </c>
      <c r="H4617" s="15"/>
    </row>
    <row r="4618" customFormat="false" ht="26.25" hidden="false" customHeight="true" outlineLevel="0" collapsed="false">
      <c r="A4618" s="15" t="s">
        <v>251</v>
      </c>
      <c r="B4618" s="15" t="s">
        <v>252</v>
      </c>
      <c r="C4618" s="15" t="s">
        <v>1235</v>
      </c>
      <c r="D4618" s="15" t="s">
        <v>1238</v>
      </c>
      <c r="E4618" s="15"/>
      <c r="F4618" s="15" t="s">
        <v>882</v>
      </c>
      <c r="G4618" s="15" t="s">
        <v>112</v>
      </c>
      <c r="H4618" s="15"/>
    </row>
    <row r="4619" customFormat="false" ht="26.25" hidden="false" customHeight="true" outlineLevel="0" collapsed="false">
      <c r="A4619" s="15" t="s">
        <v>299</v>
      </c>
      <c r="B4619" s="15" t="s">
        <v>301</v>
      </c>
      <c r="C4619" s="15" t="s">
        <v>61</v>
      </c>
      <c r="D4619" s="15" t="s">
        <v>109</v>
      </c>
      <c r="E4619" s="15"/>
      <c r="F4619" s="15" t="s">
        <v>1239</v>
      </c>
      <c r="G4619" s="15" t="s">
        <v>112</v>
      </c>
      <c r="H4619" s="15" t="s">
        <v>1240</v>
      </c>
    </row>
    <row r="4620" customFormat="false" ht="39" hidden="false" customHeight="true" outlineLevel="0" collapsed="false">
      <c r="A4620" s="15" t="s">
        <v>299</v>
      </c>
      <c r="B4620" s="15" t="s">
        <v>301</v>
      </c>
      <c r="C4620" s="15" t="s">
        <v>1235</v>
      </c>
      <c r="D4620" s="15" t="s">
        <v>1241</v>
      </c>
      <c r="E4620" s="15"/>
      <c r="F4620" s="15" t="s">
        <v>1239</v>
      </c>
      <c r="G4620" s="15" t="s">
        <v>112</v>
      </c>
      <c r="H4620" s="15"/>
    </row>
    <row r="4621" customFormat="false" ht="26.25" hidden="false" customHeight="true" outlineLevel="0" collapsed="false">
      <c r="A4621" s="15" t="s">
        <v>307</v>
      </c>
      <c r="B4621" s="15" t="s">
        <v>308</v>
      </c>
      <c r="C4621" s="15" t="s">
        <v>61</v>
      </c>
      <c r="D4621" s="15" t="s">
        <v>109</v>
      </c>
      <c r="E4621" s="15"/>
      <c r="F4621" s="15" t="s">
        <v>1239</v>
      </c>
      <c r="G4621" s="15" t="s">
        <v>112</v>
      </c>
      <c r="H4621" s="15" t="s">
        <v>1240</v>
      </c>
    </row>
    <row r="4622" customFormat="false" ht="39" hidden="false" customHeight="true" outlineLevel="0" collapsed="false">
      <c r="A4622" s="15" t="s">
        <v>307</v>
      </c>
      <c r="B4622" s="15" t="s">
        <v>308</v>
      </c>
      <c r="C4622" s="15" t="s">
        <v>1235</v>
      </c>
      <c r="D4622" s="15" t="s">
        <v>1241</v>
      </c>
      <c r="E4622" s="15"/>
      <c r="F4622" s="15" t="s">
        <v>1239</v>
      </c>
      <c r="G4622" s="15" t="s">
        <v>112</v>
      </c>
      <c r="H4622" s="15"/>
    </row>
    <row r="4623" customFormat="false" ht="15" hidden="false" customHeight="true" outlineLevel="0" collapsed="false">
      <c r="A4623" s="15" t="s">
        <v>352</v>
      </c>
      <c r="B4623" s="15" t="s">
        <v>354</v>
      </c>
      <c r="C4623" s="15" t="s">
        <v>61</v>
      </c>
      <c r="D4623" s="15" t="s">
        <v>109</v>
      </c>
      <c r="E4623" s="15"/>
      <c r="F4623" s="15" t="s">
        <v>1242</v>
      </c>
      <c r="G4623" s="15" t="s">
        <v>112</v>
      </c>
      <c r="H4623" s="15" t="s">
        <v>1243</v>
      </c>
    </row>
    <row r="4624" customFormat="false" ht="26.25" hidden="false" customHeight="true" outlineLevel="0" collapsed="false">
      <c r="A4624" s="15" t="s">
        <v>352</v>
      </c>
      <c r="B4624" s="15" t="s">
        <v>354</v>
      </c>
      <c r="C4624" s="15" t="s">
        <v>1235</v>
      </c>
      <c r="D4624" s="15" t="s">
        <v>1244</v>
      </c>
      <c r="E4624" s="15"/>
      <c r="F4624" s="15" t="s">
        <v>1242</v>
      </c>
      <c r="G4624" s="15" t="s">
        <v>112</v>
      </c>
      <c r="H4624" s="15"/>
    </row>
    <row r="4625" customFormat="false" ht="15" hidden="false" customHeight="true" outlineLevel="0" collapsed="false">
      <c r="A4625" s="15" t="s">
        <v>359</v>
      </c>
      <c r="B4625" s="15" t="s">
        <v>360</v>
      </c>
      <c r="C4625" s="15" t="s">
        <v>61</v>
      </c>
      <c r="D4625" s="15" t="s">
        <v>109</v>
      </c>
      <c r="E4625" s="15"/>
      <c r="F4625" s="15" t="s">
        <v>1242</v>
      </c>
      <c r="G4625" s="15" t="s">
        <v>112</v>
      </c>
      <c r="H4625" s="15" t="s">
        <v>1243</v>
      </c>
    </row>
    <row r="4626" customFormat="false" ht="26.25" hidden="false" customHeight="true" outlineLevel="0" collapsed="false">
      <c r="A4626" s="15" t="s">
        <v>359</v>
      </c>
      <c r="B4626" s="15" t="s">
        <v>360</v>
      </c>
      <c r="C4626" s="15" t="s">
        <v>1235</v>
      </c>
      <c r="D4626" s="15" t="s">
        <v>1244</v>
      </c>
      <c r="E4626" s="15"/>
      <c r="F4626" s="15" t="s">
        <v>1242</v>
      </c>
      <c r="G4626" s="15" t="s">
        <v>112</v>
      </c>
      <c r="H4626" s="15"/>
    </row>
    <row r="4627" customFormat="false" ht="15" hidden="false" customHeight="true" outlineLevel="0" collapsed="false">
      <c r="A4627" s="15" t="s">
        <v>362</v>
      </c>
      <c r="B4627" s="15" t="s">
        <v>363</v>
      </c>
      <c r="C4627" s="15" t="s">
        <v>61</v>
      </c>
      <c r="D4627" s="15" t="s">
        <v>109</v>
      </c>
      <c r="E4627" s="15"/>
      <c r="F4627" s="15" t="s">
        <v>1242</v>
      </c>
      <c r="G4627" s="15" t="s">
        <v>112</v>
      </c>
      <c r="H4627" s="15" t="s">
        <v>1243</v>
      </c>
    </row>
    <row r="4628" customFormat="false" ht="26.25" hidden="false" customHeight="true" outlineLevel="0" collapsed="false">
      <c r="A4628" s="15" t="s">
        <v>362</v>
      </c>
      <c r="B4628" s="15" t="s">
        <v>363</v>
      </c>
      <c r="C4628" s="15" t="s">
        <v>1235</v>
      </c>
      <c r="D4628" s="15" t="s">
        <v>1244</v>
      </c>
      <c r="E4628" s="15"/>
      <c r="F4628" s="15" t="s">
        <v>1242</v>
      </c>
      <c r="G4628" s="15" t="s">
        <v>112</v>
      </c>
      <c r="H4628" s="15"/>
    </row>
    <row r="4629" customFormat="false" ht="15" hidden="false" customHeight="true" outlineLevel="0" collapsed="false">
      <c r="A4629" s="15" t="s">
        <v>365</v>
      </c>
      <c r="B4629" s="15" t="s">
        <v>366</v>
      </c>
      <c r="C4629" s="15" t="s">
        <v>61</v>
      </c>
      <c r="D4629" s="15" t="s">
        <v>109</v>
      </c>
      <c r="E4629" s="15"/>
      <c r="F4629" s="15" t="s">
        <v>1242</v>
      </c>
      <c r="G4629" s="15" t="s">
        <v>112</v>
      </c>
      <c r="H4629" s="15" t="s">
        <v>1243</v>
      </c>
    </row>
    <row r="4630" customFormat="false" ht="26.25" hidden="false" customHeight="true" outlineLevel="0" collapsed="false">
      <c r="A4630" s="15" t="s">
        <v>365</v>
      </c>
      <c r="B4630" s="15" t="s">
        <v>366</v>
      </c>
      <c r="C4630" s="15" t="s">
        <v>1235</v>
      </c>
      <c r="D4630" s="15" t="s">
        <v>1244</v>
      </c>
      <c r="E4630" s="15"/>
      <c r="F4630" s="15" t="s">
        <v>1242</v>
      </c>
      <c r="G4630" s="15" t="s">
        <v>112</v>
      </c>
      <c r="H4630" s="15"/>
    </row>
    <row r="4631" customFormat="false" ht="15" hidden="false" customHeight="true" outlineLevel="0" collapsed="false">
      <c r="A4631" s="15" t="s">
        <v>368</v>
      </c>
      <c r="B4631" s="15" t="s">
        <v>369</v>
      </c>
      <c r="C4631" s="15" t="s">
        <v>61</v>
      </c>
      <c r="D4631" s="15" t="s">
        <v>109</v>
      </c>
      <c r="E4631" s="15"/>
      <c r="F4631" s="15" t="s">
        <v>1242</v>
      </c>
      <c r="G4631" s="15" t="s">
        <v>112</v>
      </c>
      <c r="H4631" s="15" t="s">
        <v>1243</v>
      </c>
    </row>
    <row r="4632" customFormat="false" ht="26.25" hidden="false" customHeight="true" outlineLevel="0" collapsed="false">
      <c r="A4632" s="15" t="s">
        <v>368</v>
      </c>
      <c r="B4632" s="15" t="s">
        <v>369</v>
      </c>
      <c r="C4632" s="15" t="s">
        <v>1235</v>
      </c>
      <c r="D4632" s="15" t="s">
        <v>1244</v>
      </c>
      <c r="E4632" s="15"/>
      <c r="F4632" s="15" t="s">
        <v>1242</v>
      </c>
      <c r="G4632" s="15" t="s">
        <v>112</v>
      </c>
      <c r="H4632" s="15"/>
    </row>
    <row r="4633" customFormat="false" ht="15" hidden="false" customHeight="true" outlineLevel="0" collapsed="false">
      <c r="A4633" s="15" t="s">
        <v>371</v>
      </c>
      <c r="B4633" s="15" t="s">
        <v>372</v>
      </c>
      <c r="C4633" s="15" t="s">
        <v>61</v>
      </c>
      <c r="D4633" s="15" t="s">
        <v>109</v>
      </c>
      <c r="E4633" s="15"/>
      <c r="F4633" s="15" t="s">
        <v>1242</v>
      </c>
      <c r="G4633" s="15" t="s">
        <v>112</v>
      </c>
      <c r="H4633" s="15" t="s">
        <v>1243</v>
      </c>
    </row>
    <row r="4634" customFormat="false" ht="26.25" hidden="false" customHeight="true" outlineLevel="0" collapsed="false">
      <c r="A4634" s="15" t="s">
        <v>371</v>
      </c>
      <c r="B4634" s="15" t="s">
        <v>372</v>
      </c>
      <c r="C4634" s="15" t="s">
        <v>1235</v>
      </c>
      <c r="D4634" s="15" t="s">
        <v>1244</v>
      </c>
      <c r="E4634" s="15"/>
      <c r="F4634" s="15" t="s">
        <v>1242</v>
      </c>
      <c r="G4634" s="15" t="s">
        <v>112</v>
      </c>
      <c r="H4634" s="15"/>
    </row>
    <row r="4635" customFormat="false" ht="15" hidden="false" customHeight="true" outlineLevel="0" collapsed="false">
      <c r="A4635" s="15" t="s">
        <v>374</v>
      </c>
      <c r="B4635" s="15" t="s">
        <v>376</v>
      </c>
      <c r="C4635" s="15" t="s">
        <v>61</v>
      </c>
      <c r="D4635" s="15" t="s">
        <v>109</v>
      </c>
      <c r="E4635" s="15"/>
      <c r="F4635" s="15" t="s">
        <v>961</v>
      </c>
      <c r="G4635" s="15" t="s">
        <v>112</v>
      </c>
      <c r="H4635" s="15"/>
    </row>
    <row r="4636" customFormat="false" ht="15" hidden="false" customHeight="true" outlineLevel="0" collapsed="false">
      <c r="A4636" s="15" t="s">
        <v>374</v>
      </c>
      <c r="B4636" s="15" t="s">
        <v>376</v>
      </c>
      <c r="C4636" s="15" t="s">
        <v>1235</v>
      </c>
      <c r="D4636" s="15" t="s">
        <v>1245</v>
      </c>
      <c r="E4636" s="15"/>
      <c r="F4636" s="15" t="s">
        <v>961</v>
      </c>
      <c r="G4636" s="15" t="s">
        <v>112</v>
      </c>
      <c r="H4636" s="15"/>
    </row>
    <row r="4637" customFormat="false" ht="15" hidden="false" customHeight="true" outlineLevel="0" collapsed="false">
      <c r="A4637" s="15" t="s">
        <v>382</v>
      </c>
      <c r="B4637" s="15" t="s">
        <v>383</v>
      </c>
      <c r="C4637" s="15" t="s">
        <v>61</v>
      </c>
      <c r="D4637" s="15" t="s">
        <v>109</v>
      </c>
      <c r="E4637" s="15"/>
      <c r="F4637" s="15" t="s">
        <v>961</v>
      </c>
      <c r="G4637" s="15" t="s">
        <v>112</v>
      </c>
      <c r="H4637" s="15"/>
    </row>
    <row r="4638" customFormat="false" ht="15" hidden="false" customHeight="true" outlineLevel="0" collapsed="false">
      <c r="A4638" s="15" t="s">
        <v>382</v>
      </c>
      <c r="B4638" s="15" t="s">
        <v>383</v>
      </c>
      <c r="C4638" s="15" t="s">
        <v>1235</v>
      </c>
      <c r="D4638" s="15" t="s">
        <v>1245</v>
      </c>
      <c r="E4638" s="15"/>
      <c r="F4638" s="15" t="s">
        <v>961</v>
      </c>
      <c r="G4638" s="15" t="s">
        <v>112</v>
      </c>
      <c r="H4638" s="15"/>
    </row>
    <row r="4639" customFormat="false" ht="15" hidden="false" customHeight="true" outlineLevel="0" collapsed="false">
      <c r="A4639" s="15" t="s">
        <v>385</v>
      </c>
      <c r="B4639" s="15" t="s">
        <v>386</v>
      </c>
      <c r="C4639" s="15" t="s">
        <v>61</v>
      </c>
      <c r="D4639" s="15" t="s">
        <v>109</v>
      </c>
      <c r="E4639" s="15"/>
      <c r="F4639" s="15" t="s">
        <v>961</v>
      </c>
      <c r="G4639" s="15" t="s">
        <v>112</v>
      </c>
      <c r="H4639" s="15"/>
    </row>
    <row r="4640" customFormat="false" ht="15" hidden="false" customHeight="true" outlineLevel="0" collapsed="false">
      <c r="A4640" s="15" t="s">
        <v>385</v>
      </c>
      <c r="B4640" s="15" t="s">
        <v>386</v>
      </c>
      <c r="C4640" s="15" t="s">
        <v>1235</v>
      </c>
      <c r="D4640" s="15" t="s">
        <v>1245</v>
      </c>
      <c r="E4640" s="15"/>
      <c r="F4640" s="15" t="s">
        <v>961</v>
      </c>
      <c r="G4640" s="15" t="s">
        <v>112</v>
      </c>
      <c r="H4640" s="15"/>
    </row>
    <row r="4641" customFormat="false" ht="15" hidden="false" customHeight="true" outlineLevel="0" collapsed="false">
      <c r="A4641" s="15" t="s">
        <v>389</v>
      </c>
      <c r="B4641" s="15" t="s">
        <v>390</v>
      </c>
      <c r="C4641" s="15" t="s">
        <v>61</v>
      </c>
      <c r="D4641" s="15" t="s">
        <v>109</v>
      </c>
      <c r="E4641" s="15"/>
      <c r="F4641" s="15" t="s">
        <v>961</v>
      </c>
      <c r="G4641" s="15" t="s">
        <v>112</v>
      </c>
      <c r="H4641" s="15"/>
    </row>
    <row r="4642" customFormat="false" ht="15" hidden="false" customHeight="true" outlineLevel="0" collapsed="false">
      <c r="A4642" s="15" t="s">
        <v>389</v>
      </c>
      <c r="B4642" s="15" t="s">
        <v>390</v>
      </c>
      <c r="C4642" s="15" t="s">
        <v>1235</v>
      </c>
      <c r="D4642" s="15" t="s">
        <v>1245</v>
      </c>
      <c r="E4642" s="15"/>
      <c r="F4642" s="15" t="s">
        <v>961</v>
      </c>
      <c r="G4642" s="15" t="s">
        <v>112</v>
      </c>
      <c r="H4642" s="15"/>
    </row>
    <row r="4643" customFormat="false" ht="15" hidden="false" customHeight="true" outlineLevel="0" collapsed="false">
      <c r="A4643" s="15" t="s">
        <v>392</v>
      </c>
      <c r="B4643" s="15" t="s">
        <v>393</v>
      </c>
      <c r="C4643" s="15" t="s">
        <v>61</v>
      </c>
      <c r="D4643" s="15" t="s">
        <v>109</v>
      </c>
      <c r="E4643" s="15"/>
      <c r="F4643" s="15" t="s">
        <v>961</v>
      </c>
      <c r="G4643" s="15" t="s">
        <v>112</v>
      </c>
      <c r="H4643" s="15"/>
    </row>
    <row r="4644" customFormat="false" ht="15" hidden="false" customHeight="true" outlineLevel="0" collapsed="false">
      <c r="A4644" s="15" t="s">
        <v>392</v>
      </c>
      <c r="B4644" s="15" t="s">
        <v>393</v>
      </c>
      <c r="C4644" s="15" t="s">
        <v>1235</v>
      </c>
      <c r="D4644" s="15" t="s">
        <v>1245</v>
      </c>
      <c r="E4644" s="15"/>
      <c r="F4644" s="15" t="s">
        <v>961</v>
      </c>
      <c r="G4644" s="15" t="s">
        <v>112</v>
      </c>
      <c r="H4644" s="15"/>
    </row>
    <row r="4645" customFormat="false" ht="15" hidden="false" customHeight="true" outlineLevel="0" collapsed="false">
      <c r="A4645" s="15" t="s">
        <v>395</v>
      </c>
      <c r="B4645" s="15" t="s">
        <v>396</v>
      </c>
      <c r="C4645" s="15" t="s">
        <v>61</v>
      </c>
      <c r="D4645" s="15" t="s">
        <v>109</v>
      </c>
      <c r="E4645" s="15"/>
      <c r="F4645" s="15" t="s">
        <v>961</v>
      </c>
      <c r="G4645" s="15" t="s">
        <v>112</v>
      </c>
      <c r="H4645" s="15"/>
    </row>
    <row r="4646" customFormat="false" ht="15" hidden="false" customHeight="true" outlineLevel="0" collapsed="false">
      <c r="A4646" s="15" t="s">
        <v>395</v>
      </c>
      <c r="B4646" s="15" t="s">
        <v>396</v>
      </c>
      <c r="C4646" s="15" t="s">
        <v>1235</v>
      </c>
      <c r="D4646" s="15" t="s">
        <v>1245</v>
      </c>
      <c r="E4646" s="15"/>
      <c r="F4646" s="15" t="s">
        <v>961</v>
      </c>
      <c r="G4646" s="15" t="s">
        <v>112</v>
      </c>
      <c r="H4646" s="15"/>
    </row>
    <row r="4647" customFormat="false" ht="15" hidden="false" customHeight="true" outlineLevel="0" collapsed="false">
      <c r="A4647" s="15" t="s">
        <v>311</v>
      </c>
      <c r="B4647" s="15" t="s">
        <v>314</v>
      </c>
      <c r="C4647" s="15" t="s">
        <v>61</v>
      </c>
      <c r="D4647" s="15" t="s">
        <v>256</v>
      </c>
      <c r="E4647" s="15"/>
      <c r="F4647" s="15" t="s">
        <v>978</v>
      </c>
      <c r="G4647" s="15" t="s">
        <v>112</v>
      </c>
      <c r="H4647" s="15"/>
    </row>
    <row r="4648" customFormat="false" ht="26.25" hidden="false" customHeight="true" outlineLevel="0" collapsed="false">
      <c r="A4648" s="15" t="s">
        <v>311</v>
      </c>
      <c r="B4648" s="15" t="s">
        <v>314</v>
      </c>
      <c r="C4648" s="15" t="s">
        <v>1235</v>
      </c>
      <c r="D4648" s="15" t="s">
        <v>1246</v>
      </c>
      <c r="E4648" s="15"/>
      <c r="F4648" s="15" t="s">
        <v>978</v>
      </c>
      <c r="G4648" s="15" t="s">
        <v>112</v>
      </c>
      <c r="H4648" s="15"/>
    </row>
    <row r="4649" customFormat="false" ht="15" hidden="false" customHeight="true" outlineLevel="0" collapsed="false">
      <c r="A4649" s="15" t="s">
        <v>320</v>
      </c>
      <c r="B4649" s="15" t="s">
        <v>321</v>
      </c>
      <c r="C4649" s="15" t="s">
        <v>61</v>
      </c>
      <c r="D4649" s="15" t="s">
        <v>256</v>
      </c>
      <c r="E4649" s="15"/>
      <c r="F4649" s="15" t="s">
        <v>978</v>
      </c>
      <c r="G4649" s="15" t="s">
        <v>112</v>
      </c>
      <c r="H4649" s="15"/>
    </row>
    <row r="4650" customFormat="false" ht="26.25" hidden="false" customHeight="true" outlineLevel="0" collapsed="false">
      <c r="A4650" s="15" t="s">
        <v>320</v>
      </c>
      <c r="B4650" s="15" t="s">
        <v>321</v>
      </c>
      <c r="C4650" s="15" t="s">
        <v>1235</v>
      </c>
      <c r="D4650" s="15" t="s">
        <v>1246</v>
      </c>
      <c r="E4650" s="15"/>
      <c r="F4650" s="15" t="s">
        <v>978</v>
      </c>
      <c r="G4650" s="15" t="s">
        <v>112</v>
      </c>
      <c r="H4650" s="15"/>
    </row>
    <row r="4651" customFormat="false" ht="15" hidden="false" customHeight="true" outlineLevel="0" collapsed="false">
      <c r="A4651" s="15" t="s">
        <v>326</v>
      </c>
      <c r="B4651" s="15" t="s">
        <v>328</v>
      </c>
      <c r="C4651" s="15" t="s">
        <v>61</v>
      </c>
      <c r="D4651" s="15" t="s">
        <v>109</v>
      </c>
      <c r="E4651" s="15"/>
      <c r="F4651" s="15" t="s">
        <v>995</v>
      </c>
      <c r="G4651" s="15" t="s">
        <v>112</v>
      </c>
      <c r="H4651" s="15"/>
    </row>
    <row r="4652" customFormat="false" ht="26.25" hidden="false" customHeight="true" outlineLevel="0" collapsed="false">
      <c r="A4652" s="15" t="s">
        <v>326</v>
      </c>
      <c r="B4652" s="15" t="s">
        <v>328</v>
      </c>
      <c r="C4652" s="15" t="s">
        <v>1235</v>
      </c>
      <c r="D4652" s="15" t="s">
        <v>1247</v>
      </c>
      <c r="E4652" s="15"/>
      <c r="F4652" s="15" t="s">
        <v>995</v>
      </c>
      <c r="G4652" s="15" t="s">
        <v>112</v>
      </c>
      <c r="H4652" s="15"/>
    </row>
    <row r="4653" customFormat="false" ht="15" hidden="false" customHeight="true" outlineLevel="0" collapsed="false">
      <c r="A4653" s="15" t="s">
        <v>332</v>
      </c>
      <c r="B4653" s="15" t="s">
        <v>333</v>
      </c>
      <c r="C4653" s="15" t="s">
        <v>61</v>
      </c>
      <c r="D4653" s="15" t="s">
        <v>109</v>
      </c>
      <c r="E4653" s="15"/>
      <c r="F4653" s="15" t="s">
        <v>995</v>
      </c>
      <c r="G4653" s="15" t="s">
        <v>112</v>
      </c>
      <c r="H4653" s="15"/>
    </row>
    <row r="4654" customFormat="false" ht="26.25" hidden="false" customHeight="true" outlineLevel="0" collapsed="false">
      <c r="A4654" s="15" t="s">
        <v>332</v>
      </c>
      <c r="B4654" s="15" t="s">
        <v>333</v>
      </c>
      <c r="C4654" s="15" t="s">
        <v>1235</v>
      </c>
      <c r="D4654" s="15" t="s">
        <v>1247</v>
      </c>
      <c r="E4654" s="15"/>
      <c r="F4654" s="15" t="s">
        <v>995</v>
      </c>
      <c r="G4654" s="15" t="s">
        <v>112</v>
      </c>
      <c r="H4654" s="15"/>
    </row>
    <row r="4655" customFormat="false" ht="15" hidden="false" customHeight="true" outlineLevel="0" collapsed="false">
      <c r="A4655" s="15" t="s">
        <v>335</v>
      </c>
      <c r="B4655" s="15" t="s">
        <v>336</v>
      </c>
      <c r="C4655" s="15" t="s">
        <v>61</v>
      </c>
      <c r="D4655" s="15" t="s">
        <v>109</v>
      </c>
      <c r="E4655" s="15"/>
      <c r="F4655" s="15" t="s">
        <v>995</v>
      </c>
      <c r="G4655" s="15" t="s">
        <v>112</v>
      </c>
      <c r="H4655" s="15"/>
    </row>
    <row r="4656" customFormat="false" ht="26.25" hidden="false" customHeight="true" outlineLevel="0" collapsed="false">
      <c r="A4656" s="15" t="s">
        <v>335</v>
      </c>
      <c r="B4656" s="15" t="s">
        <v>336</v>
      </c>
      <c r="C4656" s="15" t="s">
        <v>1235</v>
      </c>
      <c r="D4656" s="15" t="s">
        <v>1247</v>
      </c>
      <c r="E4656" s="15"/>
      <c r="F4656" s="15" t="s">
        <v>995</v>
      </c>
      <c r="G4656" s="15" t="s">
        <v>112</v>
      </c>
      <c r="H4656" s="15"/>
    </row>
    <row r="4657" customFormat="false" ht="15" hidden="false" customHeight="true" outlineLevel="0" collapsed="false">
      <c r="A4657" s="15" t="s">
        <v>338</v>
      </c>
      <c r="B4657" s="15" t="s">
        <v>339</v>
      </c>
      <c r="C4657" s="15" t="s">
        <v>61</v>
      </c>
      <c r="D4657" s="15" t="s">
        <v>109</v>
      </c>
      <c r="E4657" s="15"/>
      <c r="F4657" s="15" t="s">
        <v>995</v>
      </c>
      <c r="G4657" s="15" t="s">
        <v>112</v>
      </c>
      <c r="H4657" s="15"/>
    </row>
    <row r="4658" customFormat="false" ht="26.25" hidden="false" customHeight="true" outlineLevel="0" collapsed="false">
      <c r="A4658" s="15" t="s">
        <v>338</v>
      </c>
      <c r="B4658" s="15" t="s">
        <v>339</v>
      </c>
      <c r="C4658" s="15" t="s">
        <v>1235</v>
      </c>
      <c r="D4658" s="15" t="s">
        <v>1247</v>
      </c>
      <c r="E4658" s="15"/>
      <c r="F4658" s="15" t="s">
        <v>995</v>
      </c>
      <c r="G4658" s="15" t="s">
        <v>112</v>
      </c>
      <c r="H4658" s="15"/>
    </row>
    <row r="4659" customFormat="false" ht="15" hidden="false" customHeight="true" outlineLevel="0" collapsed="false">
      <c r="A4659" s="15" t="s">
        <v>346</v>
      </c>
      <c r="B4659" s="15" t="s">
        <v>347</v>
      </c>
      <c r="C4659" s="15" t="s">
        <v>61</v>
      </c>
      <c r="D4659" s="15" t="s">
        <v>109</v>
      </c>
      <c r="E4659" s="15"/>
      <c r="F4659" s="15" t="s">
        <v>995</v>
      </c>
      <c r="G4659" s="15" t="s">
        <v>112</v>
      </c>
      <c r="H4659" s="15"/>
    </row>
    <row r="4660" customFormat="false" ht="26.25" hidden="false" customHeight="true" outlineLevel="0" collapsed="false">
      <c r="A4660" s="15" t="s">
        <v>346</v>
      </c>
      <c r="B4660" s="15" t="s">
        <v>347</v>
      </c>
      <c r="C4660" s="15" t="s">
        <v>1235</v>
      </c>
      <c r="D4660" s="15" t="s">
        <v>1247</v>
      </c>
      <c r="E4660" s="15"/>
      <c r="F4660" s="15" t="s">
        <v>995</v>
      </c>
      <c r="G4660" s="15" t="s">
        <v>112</v>
      </c>
      <c r="H4660" s="15"/>
    </row>
    <row r="4661" customFormat="false" ht="26.25" hidden="false" customHeight="true" outlineLevel="0" collapsed="false">
      <c r="A4661" s="15" t="s">
        <v>341</v>
      </c>
      <c r="B4661" s="15" t="s">
        <v>342</v>
      </c>
      <c r="C4661" s="15" t="s">
        <v>61</v>
      </c>
      <c r="D4661" s="15" t="s">
        <v>109</v>
      </c>
      <c r="E4661" s="15"/>
      <c r="F4661" s="15" t="s">
        <v>995</v>
      </c>
      <c r="G4661" s="15" t="s">
        <v>112</v>
      </c>
      <c r="H4661" s="15"/>
    </row>
    <row r="4662" customFormat="false" ht="26.25" hidden="false" customHeight="true" outlineLevel="0" collapsed="false">
      <c r="A4662" s="15" t="s">
        <v>341</v>
      </c>
      <c r="B4662" s="15" t="s">
        <v>342</v>
      </c>
      <c r="C4662" s="15" t="s">
        <v>1235</v>
      </c>
      <c r="D4662" s="15" t="s">
        <v>1247</v>
      </c>
      <c r="E4662" s="15"/>
      <c r="F4662" s="15" t="s">
        <v>995</v>
      </c>
      <c r="G4662" s="15" t="s">
        <v>112</v>
      </c>
      <c r="H4662" s="15"/>
    </row>
    <row r="4663" customFormat="false" ht="26.25" hidden="false" customHeight="true" outlineLevel="0" collapsed="false">
      <c r="A4663" s="15" t="s">
        <v>349</v>
      </c>
      <c r="B4663" s="15" t="s">
        <v>350</v>
      </c>
      <c r="C4663" s="15" t="s">
        <v>61</v>
      </c>
      <c r="D4663" s="15" t="s">
        <v>109</v>
      </c>
      <c r="E4663" s="15"/>
      <c r="F4663" s="15" t="s">
        <v>995</v>
      </c>
      <c r="G4663" s="15" t="s">
        <v>112</v>
      </c>
      <c r="H4663" s="15"/>
    </row>
    <row r="4664" customFormat="false" ht="26.25" hidden="false" customHeight="true" outlineLevel="0" collapsed="false">
      <c r="A4664" s="15" t="s">
        <v>349</v>
      </c>
      <c r="B4664" s="15" t="s">
        <v>350</v>
      </c>
      <c r="C4664" s="15" t="s">
        <v>1235</v>
      </c>
      <c r="D4664" s="15" t="s">
        <v>1247</v>
      </c>
      <c r="E4664" s="15"/>
      <c r="F4664" s="15" t="s">
        <v>995</v>
      </c>
      <c r="G4664" s="15" t="s">
        <v>112</v>
      </c>
      <c r="H4664" s="15"/>
    </row>
    <row r="4665" customFormat="false" ht="15" hidden="false" customHeight="true" outlineLevel="0" collapsed="false">
      <c r="A4665" s="15" t="s">
        <v>398</v>
      </c>
      <c r="B4665" s="15" t="s">
        <v>400</v>
      </c>
      <c r="C4665" s="15" t="s">
        <v>61</v>
      </c>
      <c r="D4665" s="15" t="s">
        <v>109</v>
      </c>
      <c r="E4665" s="15"/>
      <c r="F4665" s="15" t="s">
        <v>1242</v>
      </c>
      <c r="G4665" s="15" t="s">
        <v>112</v>
      </c>
      <c r="H4665" s="15" t="s">
        <v>1243</v>
      </c>
    </row>
    <row r="4666" customFormat="false" ht="26.25" hidden="false" customHeight="true" outlineLevel="0" collapsed="false">
      <c r="A4666" s="15" t="s">
        <v>398</v>
      </c>
      <c r="B4666" s="15" t="s">
        <v>400</v>
      </c>
      <c r="C4666" s="15" t="s">
        <v>1235</v>
      </c>
      <c r="D4666" s="15" t="s">
        <v>1248</v>
      </c>
      <c r="E4666" s="15"/>
      <c r="F4666" s="15" t="s">
        <v>1242</v>
      </c>
      <c r="G4666" s="15" t="s">
        <v>112</v>
      </c>
      <c r="H4666" s="15"/>
    </row>
    <row r="4667" customFormat="false" ht="15" hidden="false" customHeight="true" outlineLevel="0" collapsed="false">
      <c r="A4667" s="15" t="s">
        <v>403</v>
      </c>
      <c r="B4667" s="15" t="s">
        <v>404</v>
      </c>
      <c r="C4667" s="15" t="s">
        <v>61</v>
      </c>
      <c r="D4667" s="15" t="s">
        <v>109</v>
      </c>
      <c r="E4667" s="15"/>
      <c r="F4667" s="15" t="s">
        <v>1242</v>
      </c>
      <c r="G4667" s="15" t="s">
        <v>112</v>
      </c>
      <c r="H4667" s="15" t="s">
        <v>1243</v>
      </c>
    </row>
    <row r="4668" customFormat="false" ht="26.25" hidden="false" customHeight="true" outlineLevel="0" collapsed="false">
      <c r="A4668" s="15" t="s">
        <v>403</v>
      </c>
      <c r="B4668" s="15" t="s">
        <v>404</v>
      </c>
      <c r="C4668" s="15" t="s">
        <v>1235</v>
      </c>
      <c r="D4668" s="15" t="s">
        <v>1248</v>
      </c>
      <c r="E4668" s="15"/>
      <c r="F4668" s="15" t="s">
        <v>1242</v>
      </c>
      <c r="G4668" s="15" t="s">
        <v>112</v>
      </c>
      <c r="H4668" s="15"/>
    </row>
    <row r="4669" customFormat="false" ht="15" hidden="false" customHeight="true" outlineLevel="0" collapsed="false">
      <c r="A4669" s="15" t="s">
        <v>406</v>
      </c>
      <c r="B4669" s="15" t="s">
        <v>407</v>
      </c>
      <c r="C4669" s="15" t="s">
        <v>61</v>
      </c>
      <c r="D4669" s="15" t="s">
        <v>109</v>
      </c>
      <c r="E4669" s="15"/>
      <c r="F4669" s="15" t="s">
        <v>1242</v>
      </c>
      <c r="G4669" s="15" t="s">
        <v>112</v>
      </c>
      <c r="H4669" s="15" t="s">
        <v>1243</v>
      </c>
    </row>
    <row r="4670" customFormat="false" ht="26.25" hidden="false" customHeight="true" outlineLevel="0" collapsed="false">
      <c r="A4670" s="15" t="s">
        <v>406</v>
      </c>
      <c r="B4670" s="15" t="s">
        <v>407</v>
      </c>
      <c r="C4670" s="15" t="s">
        <v>1235</v>
      </c>
      <c r="D4670" s="15" t="s">
        <v>1248</v>
      </c>
      <c r="E4670" s="15"/>
      <c r="F4670" s="15" t="s">
        <v>1242</v>
      </c>
      <c r="G4670" s="15" t="s">
        <v>112</v>
      </c>
      <c r="H4670" s="15"/>
    </row>
    <row r="4671" customFormat="false" ht="15" hidden="false" customHeight="true" outlineLevel="0" collapsed="false">
      <c r="A4671" s="15" t="s">
        <v>409</v>
      </c>
      <c r="B4671" s="15" t="s">
        <v>410</v>
      </c>
      <c r="C4671" s="15" t="s">
        <v>61</v>
      </c>
      <c r="D4671" s="15" t="s">
        <v>109</v>
      </c>
      <c r="E4671" s="15"/>
      <c r="F4671" s="15" t="s">
        <v>1242</v>
      </c>
      <c r="G4671" s="15" t="s">
        <v>112</v>
      </c>
      <c r="H4671" s="15" t="s">
        <v>1243</v>
      </c>
    </row>
    <row r="4672" customFormat="false" ht="26.25" hidden="false" customHeight="true" outlineLevel="0" collapsed="false">
      <c r="A4672" s="15" t="s">
        <v>409</v>
      </c>
      <c r="B4672" s="15" t="s">
        <v>410</v>
      </c>
      <c r="C4672" s="15" t="s">
        <v>1235</v>
      </c>
      <c r="D4672" s="15" t="s">
        <v>1248</v>
      </c>
      <c r="E4672" s="15"/>
      <c r="F4672" s="15" t="s">
        <v>1242</v>
      </c>
      <c r="G4672" s="15" t="s">
        <v>112</v>
      </c>
      <c r="H4672" s="15"/>
    </row>
    <row r="4673" customFormat="false" ht="15" hidden="false" customHeight="true" outlineLevel="0" collapsed="false">
      <c r="A4673" s="15" t="s">
        <v>412</v>
      </c>
      <c r="B4673" s="15" t="s">
        <v>413</v>
      </c>
      <c r="C4673" s="15" t="s">
        <v>61</v>
      </c>
      <c r="D4673" s="15" t="s">
        <v>109</v>
      </c>
      <c r="E4673" s="15"/>
      <c r="F4673" s="15" t="s">
        <v>1242</v>
      </c>
      <c r="G4673" s="15" t="s">
        <v>112</v>
      </c>
      <c r="H4673" s="15" t="s">
        <v>1243</v>
      </c>
    </row>
    <row r="4674" customFormat="false" ht="26.25" hidden="false" customHeight="true" outlineLevel="0" collapsed="false">
      <c r="A4674" s="15" t="s">
        <v>412</v>
      </c>
      <c r="B4674" s="15" t="s">
        <v>413</v>
      </c>
      <c r="C4674" s="15" t="s">
        <v>1235</v>
      </c>
      <c r="D4674" s="15" t="s">
        <v>1248</v>
      </c>
      <c r="E4674" s="15"/>
      <c r="F4674" s="15" t="s">
        <v>1242</v>
      </c>
      <c r="G4674" s="15" t="s">
        <v>112</v>
      </c>
      <c r="H4674" s="15"/>
    </row>
    <row r="4675" customFormat="false" ht="15" hidden="false" customHeight="true" outlineLevel="0" collapsed="false">
      <c r="A4675" s="15" t="s">
        <v>415</v>
      </c>
      <c r="B4675" s="15" t="s">
        <v>347</v>
      </c>
      <c r="C4675" s="15" t="s">
        <v>61</v>
      </c>
      <c r="D4675" s="15" t="s">
        <v>109</v>
      </c>
      <c r="E4675" s="15"/>
      <c r="F4675" s="15" t="s">
        <v>1242</v>
      </c>
      <c r="G4675" s="15" t="s">
        <v>112</v>
      </c>
      <c r="H4675" s="15" t="s">
        <v>1243</v>
      </c>
    </row>
    <row r="4676" customFormat="false" ht="26.25" hidden="false" customHeight="true" outlineLevel="0" collapsed="false">
      <c r="A4676" s="15" t="s">
        <v>415</v>
      </c>
      <c r="B4676" s="15" t="s">
        <v>347</v>
      </c>
      <c r="C4676" s="15" t="s">
        <v>1235</v>
      </c>
      <c r="D4676" s="15" t="s">
        <v>1248</v>
      </c>
      <c r="E4676" s="15"/>
      <c r="F4676" s="15" t="s">
        <v>1242</v>
      </c>
      <c r="G4676" s="15" t="s">
        <v>112</v>
      </c>
      <c r="H4676" s="15"/>
    </row>
    <row r="4677" customFormat="false" ht="15" hidden="false" customHeight="true" outlineLevel="0" collapsed="false">
      <c r="A4677" s="15" t="s">
        <v>417</v>
      </c>
      <c r="B4677" s="15" t="s">
        <v>418</v>
      </c>
      <c r="C4677" s="15" t="s">
        <v>61</v>
      </c>
      <c r="D4677" s="15" t="s">
        <v>109</v>
      </c>
      <c r="E4677" s="15"/>
      <c r="F4677" s="15" t="s">
        <v>1242</v>
      </c>
      <c r="G4677" s="15" t="s">
        <v>112</v>
      </c>
      <c r="H4677" s="15" t="s">
        <v>1243</v>
      </c>
    </row>
    <row r="4678" customFormat="false" ht="26.25" hidden="false" customHeight="true" outlineLevel="0" collapsed="false">
      <c r="A4678" s="15" t="s">
        <v>417</v>
      </c>
      <c r="B4678" s="15" t="s">
        <v>418</v>
      </c>
      <c r="C4678" s="15" t="s">
        <v>1235</v>
      </c>
      <c r="D4678" s="15" t="s">
        <v>1248</v>
      </c>
      <c r="E4678" s="15"/>
      <c r="F4678" s="15" t="s">
        <v>1242</v>
      </c>
      <c r="G4678" s="15" t="s">
        <v>112</v>
      </c>
      <c r="H4678" s="15"/>
    </row>
    <row r="4679" customFormat="false" ht="26.25" hidden="false" customHeight="true" outlineLevel="0" collapsed="false">
      <c r="A4679" s="15" t="s">
        <v>420</v>
      </c>
      <c r="B4679" s="15" t="s">
        <v>421</v>
      </c>
      <c r="C4679" s="15" t="s">
        <v>61</v>
      </c>
      <c r="D4679" s="15" t="s">
        <v>109</v>
      </c>
      <c r="E4679" s="15"/>
      <c r="F4679" s="15" t="s">
        <v>1242</v>
      </c>
      <c r="G4679" s="15" t="s">
        <v>112</v>
      </c>
      <c r="H4679" s="15" t="s">
        <v>1243</v>
      </c>
    </row>
    <row r="4680" customFormat="false" ht="26.25" hidden="false" customHeight="true" outlineLevel="0" collapsed="false">
      <c r="A4680" s="15" t="s">
        <v>420</v>
      </c>
      <c r="B4680" s="15" t="s">
        <v>421</v>
      </c>
      <c r="C4680" s="15" t="s">
        <v>1235</v>
      </c>
      <c r="D4680" s="15" t="s">
        <v>1248</v>
      </c>
      <c r="E4680" s="15"/>
      <c r="F4680" s="15" t="s">
        <v>1242</v>
      </c>
      <c r="G4680" s="15" t="s">
        <v>112</v>
      </c>
      <c r="H4680" s="15"/>
    </row>
    <row r="4681" customFormat="false" ht="15" hidden="false" customHeight="true" outlineLevel="0" collapsed="false">
      <c r="A4681" s="15" t="s">
        <v>423</v>
      </c>
      <c r="B4681" s="15" t="s">
        <v>426</v>
      </c>
      <c r="C4681" s="15" t="s">
        <v>61</v>
      </c>
      <c r="D4681" s="15" t="s">
        <v>425</v>
      </c>
      <c r="E4681" s="15"/>
      <c r="F4681" s="15" t="s">
        <v>1242</v>
      </c>
      <c r="G4681" s="15" t="s">
        <v>112</v>
      </c>
      <c r="H4681" s="15" t="s">
        <v>1243</v>
      </c>
    </row>
    <row r="4682" customFormat="false" ht="39" hidden="false" customHeight="true" outlineLevel="0" collapsed="false">
      <c r="A4682" s="15" t="s">
        <v>423</v>
      </c>
      <c r="B4682" s="15" t="s">
        <v>426</v>
      </c>
      <c r="C4682" s="15" t="s">
        <v>1235</v>
      </c>
      <c r="D4682" s="15" t="s">
        <v>1249</v>
      </c>
      <c r="E4682" s="15"/>
      <c r="F4682" s="15" t="s">
        <v>1242</v>
      </c>
      <c r="G4682" s="15" t="s">
        <v>112</v>
      </c>
      <c r="H4682" s="15"/>
    </row>
    <row r="4683" customFormat="false" ht="15" hidden="false" customHeight="true" outlineLevel="0" collapsed="false">
      <c r="A4683" s="15" t="s">
        <v>432</v>
      </c>
      <c r="B4683" s="15" t="s">
        <v>433</v>
      </c>
      <c r="C4683" s="15" t="s">
        <v>61</v>
      </c>
      <c r="D4683" s="15" t="s">
        <v>425</v>
      </c>
      <c r="E4683" s="15"/>
      <c r="F4683" s="15" t="s">
        <v>1242</v>
      </c>
      <c r="G4683" s="15" t="s">
        <v>112</v>
      </c>
      <c r="H4683" s="15" t="s">
        <v>1243</v>
      </c>
    </row>
    <row r="4684" customFormat="false" ht="39" hidden="false" customHeight="true" outlineLevel="0" collapsed="false">
      <c r="A4684" s="15" t="s">
        <v>432</v>
      </c>
      <c r="B4684" s="15" t="s">
        <v>433</v>
      </c>
      <c r="C4684" s="15" t="s">
        <v>1235</v>
      </c>
      <c r="D4684" s="15" t="s">
        <v>1249</v>
      </c>
      <c r="E4684" s="15"/>
      <c r="F4684" s="15" t="s">
        <v>1242</v>
      </c>
      <c r="G4684" s="15" t="s">
        <v>112</v>
      </c>
      <c r="H4684" s="15"/>
    </row>
    <row r="4685" customFormat="false" ht="15" hidden="false" customHeight="true" outlineLevel="0" collapsed="false">
      <c r="A4685" s="15" t="s">
        <v>435</v>
      </c>
      <c r="B4685" s="15" t="s">
        <v>436</v>
      </c>
      <c r="C4685" s="15" t="s">
        <v>61</v>
      </c>
      <c r="D4685" s="15" t="s">
        <v>425</v>
      </c>
      <c r="E4685" s="15"/>
      <c r="F4685" s="15" t="s">
        <v>1242</v>
      </c>
      <c r="G4685" s="15" t="s">
        <v>112</v>
      </c>
      <c r="H4685" s="15" t="s">
        <v>1243</v>
      </c>
    </row>
    <row r="4686" customFormat="false" ht="39" hidden="false" customHeight="true" outlineLevel="0" collapsed="false">
      <c r="A4686" s="15" t="s">
        <v>435</v>
      </c>
      <c r="B4686" s="15" t="s">
        <v>436</v>
      </c>
      <c r="C4686" s="15" t="s">
        <v>1235</v>
      </c>
      <c r="D4686" s="15" t="s">
        <v>1249</v>
      </c>
      <c r="E4686" s="15"/>
      <c r="F4686" s="15" t="s">
        <v>1242</v>
      </c>
      <c r="G4686" s="15" t="s">
        <v>112</v>
      </c>
      <c r="H4686" s="15"/>
    </row>
    <row r="4687" customFormat="false" ht="15" hidden="false" customHeight="true" outlineLevel="0" collapsed="false">
      <c r="A4687" s="15" t="s">
        <v>439</v>
      </c>
      <c r="B4687" s="15" t="s">
        <v>440</v>
      </c>
      <c r="C4687" s="15" t="s">
        <v>61</v>
      </c>
      <c r="D4687" s="15" t="s">
        <v>425</v>
      </c>
      <c r="E4687" s="15"/>
      <c r="F4687" s="15" t="s">
        <v>1242</v>
      </c>
      <c r="G4687" s="15" t="s">
        <v>112</v>
      </c>
      <c r="H4687" s="15" t="s">
        <v>1243</v>
      </c>
    </row>
    <row r="4688" customFormat="false" ht="39" hidden="false" customHeight="true" outlineLevel="0" collapsed="false">
      <c r="A4688" s="15" t="s">
        <v>439</v>
      </c>
      <c r="B4688" s="15" t="s">
        <v>440</v>
      </c>
      <c r="C4688" s="15" t="s">
        <v>1235</v>
      </c>
      <c r="D4688" s="15" t="s">
        <v>1249</v>
      </c>
      <c r="E4688" s="15"/>
      <c r="F4688" s="15" t="s">
        <v>1242</v>
      </c>
      <c r="G4688" s="15" t="s">
        <v>112</v>
      </c>
      <c r="H4688" s="15"/>
    </row>
    <row r="4689" customFormat="false" ht="15" hidden="false" customHeight="true" outlineLevel="0" collapsed="false">
      <c r="A4689" s="15" t="s">
        <v>443</v>
      </c>
      <c r="B4689" s="15" t="s">
        <v>446</v>
      </c>
      <c r="C4689" s="15" t="s">
        <v>61</v>
      </c>
      <c r="D4689" s="15" t="s">
        <v>445</v>
      </c>
      <c r="E4689" s="15"/>
      <c r="F4689" s="15" t="s">
        <v>1105</v>
      </c>
      <c r="G4689" s="15" t="s">
        <v>112</v>
      </c>
      <c r="H4689" s="15" t="s">
        <v>1243</v>
      </c>
    </row>
    <row r="4690" customFormat="false" ht="26.25" hidden="false" customHeight="true" outlineLevel="0" collapsed="false">
      <c r="A4690" s="15" t="s">
        <v>443</v>
      </c>
      <c r="B4690" s="15" t="s">
        <v>446</v>
      </c>
      <c r="C4690" s="15" t="s">
        <v>1235</v>
      </c>
      <c r="D4690" s="15" t="s">
        <v>1250</v>
      </c>
      <c r="E4690" s="15"/>
      <c r="F4690" s="15" t="s">
        <v>1105</v>
      </c>
      <c r="G4690" s="15" t="s">
        <v>112</v>
      </c>
      <c r="H4690" s="15"/>
    </row>
    <row r="4691" customFormat="false" ht="15" hidden="false" customHeight="true" outlineLevel="0" collapsed="false">
      <c r="A4691" s="15" t="s">
        <v>449</v>
      </c>
      <c r="B4691" s="15" t="s">
        <v>450</v>
      </c>
      <c r="C4691" s="15" t="s">
        <v>61</v>
      </c>
      <c r="D4691" s="15" t="s">
        <v>445</v>
      </c>
      <c r="E4691" s="15"/>
      <c r="F4691" s="15" t="s">
        <v>1105</v>
      </c>
      <c r="G4691" s="15" t="s">
        <v>112</v>
      </c>
      <c r="H4691" s="15" t="s">
        <v>1243</v>
      </c>
    </row>
    <row r="4692" customFormat="false" ht="26.25" hidden="false" customHeight="true" outlineLevel="0" collapsed="false">
      <c r="A4692" s="15" t="s">
        <v>449</v>
      </c>
      <c r="B4692" s="15" t="s">
        <v>450</v>
      </c>
      <c r="C4692" s="15" t="s">
        <v>1235</v>
      </c>
      <c r="D4692" s="15" t="s">
        <v>1250</v>
      </c>
      <c r="E4692" s="15"/>
      <c r="F4692" s="15" t="s">
        <v>1105</v>
      </c>
      <c r="G4692" s="15" t="s">
        <v>112</v>
      </c>
      <c r="H4692" s="15"/>
    </row>
    <row r="4693" customFormat="false" ht="15" hidden="false" customHeight="true" outlineLevel="0" collapsed="false">
      <c r="A4693" s="15" t="s">
        <v>452</v>
      </c>
      <c r="B4693" s="15" t="s">
        <v>453</v>
      </c>
      <c r="C4693" s="15" t="s">
        <v>61</v>
      </c>
      <c r="D4693" s="15" t="s">
        <v>445</v>
      </c>
      <c r="E4693" s="15"/>
      <c r="F4693" s="15" t="s">
        <v>1105</v>
      </c>
      <c r="G4693" s="15" t="s">
        <v>112</v>
      </c>
      <c r="H4693" s="15" t="s">
        <v>1243</v>
      </c>
    </row>
    <row r="4694" customFormat="false" ht="26.25" hidden="false" customHeight="true" outlineLevel="0" collapsed="false">
      <c r="A4694" s="15" t="s">
        <v>452</v>
      </c>
      <c r="B4694" s="15" t="s">
        <v>453</v>
      </c>
      <c r="C4694" s="15" t="s">
        <v>1235</v>
      </c>
      <c r="D4694" s="15" t="s">
        <v>1250</v>
      </c>
      <c r="E4694" s="15"/>
      <c r="F4694" s="15" t="s">
        <v>1105</v>
      </c>
      <c r="G4694" s="15" t="s">
        <v>112</v>
      </c>
      <c r="H4694" s="15"/>
    </row>
    <row r="4695" customFormat="false" ht="15" hidden="false" customHeight="true" outlineLevel="0" collapsed="false">
      <c r="A4695" s="15" t="s">
        <v>455</v>
      </c>
      <c r="B4695" s="15" t="s">
        <v>456</v>
      </c>
      <c r="C4695" s="15" t="s">
        <v>61</v>
      </c>
      <c r="D4695" s="15" t="s">
        <v>445</v>
      </c>
      <c r="E4695" s="15"/>
      <c r="F4695" s="15" t="s">
        <v>1105</v>
      </c>
      <c r="G4695" s="15" t="s">
        <v>112</v>
      </c>
      <c r="H4695" s="15" t="s">
        <v>1243</v>
      </c>
    </row>
    <row r="4696" customFormat="false" ht="26.25" hidden="false" customHeight="true" outlineLevel="0" collapsed="false">
      <c r="A4696" s="15" t="s">
        <v>455</v>
      </c>
      <c r="B4696" s="15" t="s">
        <v>456</v>
      </c>
      <c r="C4696" s="15" t="s">
        <v>1235</v>
      </c>
      <c r="D4696" s="15" t="s">
        <v>1250</v>
      </c>
      <c r="E4696" s="15"/>
      <c r="F4696" s="15" t="s">
        <v>1105</v>
      </c>
      <c r="G4696" s="15" t="s">
        <v>112</v>
      </c>
      <c r="H4696" s="15"/>
    </row>
    <row r="4697" customFormat="false" ht="26.25" hidden="false" customHeight="true" outlineLevel="0" collapsed="false">
      <c r="A4697" s="15" t="s">
        <v>211</v>
      </c>
      <c r="B4697" s="15" t="s">
        <v>212</v>
      </c>
      <c r="C4697" s="15" t="s">
        <v>61</v>
      </c>
      <c r="D4697" s="15" t="s">
        <v>109</v>
      </c>
      <c r="E4697" s="15"/>
      <c r="F4697" s="15" t="s">
        <v>882</v>
      </c>
      <c r="G4697" s="15" t="s">
        <v>112</v>
      </c>
      <c r="H4697" s="15"/>
    </row>
    <row r="4698" customFormat="false" ht="26.25" hidden="false" customHeight="true" outlineLevel="0" collapsed="false">
      <c r="A4698" s="15" t="s">
        <v>211</v>
      </c>
      <c r="B4698" s="15" t="s">
        <v>212</v>
      </c>
      <c r="C4698" s="15" t="s">
        <v>1235</v>
      </c>
      <c r="D4698" s="15" t="s">
        <v>1238</v>
      </c>
      <c r="E4698" s="15"/>
      <c r="F4698" s="15" t="s">
        <v>882</v>
      </c>
      <c r="G4698" s="15" t="s">
        <v>112</v>
      </c>
      <c r="H4698" s="15"/>
    </row>
    <row r="4699" customFormat="false" ht="26.25" hidden="false" customHeight="true" outlineLevel="0" collapsed="false">
      <c r="A4699" s="15" t="s">
        <v>218</v>
      </c>
      <c r="B4699" s="15" t="s">
        <v>219</v>
      </c>
      <c r="C4699" s="15" t="s">
        <v>61</v>
      </c>
      <c r="D4699" s="15" t="s">
        <v>109</v>
      </c>
      <c r="E4699" s="15"/>
      <c r="F4699" s="15" t="s">
        <v>882</v>
      </c>
      <c r="G4699" s="15" t="s">
        <v>112</v>
      </c>
      <c r="H4699" s="15"/>
    </row>
    <row r="4700" customFormat="false" ht="26.25" hidden="false" customHeight="true" outlineLevel="0" collapsed="false">
      <c r="A4700" s="15" t="s">
        <v>218</v>
      </c>
      <c r="B4700" s="15" t="s">
        <v>219</v>
      </c>
      <c r="C4700" s="15" t="s">
        <v>1235</v>
      </c>
      <c r="D4700" s="15" t="s">
        <v>1238</v>
      </c>
      <c r="E4700" s="15"/>
      <c r="F4700" s="15" t="s">
        <v>882</v>
      </c>
      <c r="G4700" s="15" t="s">
        <v>112</v>
      </c>
      <c r="H4700" s="15"/>
    </row>
    <row r="4701" customFormat="false" ht="26.25" hidden="false" customHeight="true" outlineLevel="0" collapsed="false">
      <c r="A4701" s="15" t="s">
        <v>224</v>
      </c>
      <c r="B4701" s="15" t="s">
        <v>225</v>
      </c>
      <c r="C4701" s="15" t="s">
        <v>61</v>
      </c>
      <c r="D4701" s="15" t="s">
        <v>109</v>
      </c>
      <c r="E4701" s="15"/>
      <c r="F4701" s="15" t="s">
        <v>882</v>
      </c>
      <c r="G4701" s="15" t="s">
        <v>112</v>
      </c>
      <c r="H4701" s="15"/>
    </row>
    <row r="4702" customFormat="false" ht="26.25" hidden="false" customHeight="true" outlineLevel="0" collapsed="false">
      <c r="A4702" s="15" t="s">
        <v>224</v>
      </c>
      <c r="B4702" s="15" t="s">
        <v>225</v>
      </c>
      <c r="C4702" s="15" t="s">
        <v>1235</v>
      </c>
      <c r="D4702" s="15" t="s">
        <v>1238</v>
      </c>
      <c r="E4702" s="15"/>
      <c r="F4702" s="15" t="s">
        <v>882</v>
      </c>
      <c r="G4702" s="15" t="s">
        <v>112</v>
      </c>
      <c r="H4702" s="15"/>
    </row>
    <row r="4703" customFormat="false" ht="26.25" hidden="false" customHeight="true" outlineLevel="0" collapsed="false">
      <c r="A4703" s="15" t="s">
        <v>227</v>
      </c>
      <c r="B4703" s="15" t="s">
        <v>228</v>
      </c>
      <c r="C4703" s="15" t="s">
        <v>61</v>
      </c>
      <c r="D4703" s="15" t="s">
        <v>109</v>
      </c>
      <c r="E4703" s="15"/>
      <c r="F4703" s="15" t="s">
        <v>882</v>
      </c>
      <c r="G4703" s="15" t="s">
        <v>112</v>
      </c>
      <c r="H4703" s="15"/>
    </row>
    <row r="4704" customFormat="false" ht="26.25" hidden="false" customHeight="true" outlineLevel="0" collapsed="false">
      <c r="A4704" s="15" t="s">
        <v>227</v>
      </c>
      <c r="B4704" s="15" t="s">
        <v>228</v>
      </c>
      <c r="C4704" s="15" t="s">
        <v>1235</v>
      </c>
      <c r="D4704" s="15" t="s">
        <v>1238</v>
      </c>
      <c r="E4704" s="15"/>
      <c r="F4704" s="15" t="s">
        <v>882</v>
      </c>
      <c r="G4704" s="15" t="s">
        <v>112</v>
      </c>
      <c r="H4704" s="15"/>
    </row>
  </sheetData>
  <autoFilter ref="A1:H4704"/>
  <dataValidations count="1">
    <dataValidation allowBlank="true" errorStyle="stop" operator="between" showDropDown="false" showErrorMessage="false" showInputMessage="false" sqref="G2:G2000" type="list">
      <formula1>"pending,corroborated,verified,conflicting,rejected"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4"/>
    <col collapsed="false" customWidth="true" hidden="false" outlineLevel="0" max="3" min="3" style="1" width="13"/>
    <col collapsed="false" customWidth="true" hidden="false" outlineLevel="0" max="4" min="4" style="1" width="60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55"/>
  </cols>
  <sheetData>
    <row r="1" customFormat="false" ht="31.5" hidden="false" customHeight="true" outlineLevel="0" collapsed="false">
      <c r="A1" s="10" t="s">
        <v>618</v>
      </c>
      <c r="B1" s="10" t="s">
        <v>1251</v>
      </c>
      <c r="C1" s="10" t="s">
        <v>1252</v>
      </c>
      <c r="D1" s="10" t="s">
        <v>1253</v>
      </c>
      <c r="E1" s="10" t="s">
        <v>627</v>
      </c>
      <c r="F1" s="10" t="s">
        <v>1254</v>
      </c>
      <c r="G1" s="10" t="s">
        <v>1255</v>
      </c>
    </row>
    <row r="2" customFormat="false" ht="39" hidden="false" customHeight="true" outlineLevel="0" collapsed="false">
      <c r="A2" s="15" t="s">
        <v>1256</v>
      </c>
      <c r="B2" s="15" t="s">
        <v>1257</v>
      </c>
      <c r="C2" s="15" t="s">
        <v>1258</v>
      </c>
      <c r="D2" s="15" t="s">
        <v>1259</v>
      </c>
      <c r="E2" s="15" t="s">
        <v>633</v>
      </c>
      <c r="F2" s="15"/>
      <c r="G2" s="15" t="s">
        <v>1260</v>
      </c>
    </row>
    <row r="3" customFormat="false" ht="26.25" hidden="false" customHeight="true" outlineLevel="0" collapsed="false">
      <c r="A3" s="15" t="s">
        <v>1261</v>
      </c>
      <c r="B3" s="15" t="s">
        <v>1262</v>
      </c>
      <c r="C3" s="15" t="s">
        <v>1258</v>
      </c>
      <c r="D3" s="15" t="s">
        <v>1263</v>
      </c>
      <c r="E3" s="15" t="s">
        <v>633</v>
      </c>
      <c r="F3" s="15"/>
      <c r="G3" s="15" t="s">
        <v>1264</v>
      </c>
    </row>
    <row r="4" customFormat="false" ht="26.25" hidden="false" customHeight="true" outlineLevel="0" collapsed="false">
      <c r="A4" s="15" t="s">
        <v>1265</v>
      </c>
      <c r="B4" s="15" t="s">
        <v>1266</v>
      </c>
      <c r="C4" s="15" t="s">
        <v>1258</v>
      </c>
      <c r="D4" s="15" t="s">
        <v>1267</v>
      </c>
      <c r="E4" s="15" t="s">
        <v>633</v>
      </c>
      <c r="F4" s="15"/>
      <c r="G4" s="15" t="s">
        <v>1268</v>
      </c>
    </row>
    <row r="5" customFormat="false" ht="26.25" hidden="false" customHeight="true" outlineLevel="0" collapsed="false">
      <c r="A5" s="15" t="s">
        <v>1269</v>
      </c>
      <c r="B5" s="15" t="s">
        <v>1270</v>
      </c>
      <c r="C5" s="15" t="s">
        <v>1258</v>
      </c>
      <c r="D5" s="15" t="s">
        <v>1271</v>
      </c>
      <c r="E5" s="15" t="s">
        <v>633</v>
      </c>
      <c r="F5" s="15"/>
      <c r="G5" s="15" t="s">
        <v>1272</v>
      </c>
    </row>
    <row r="6" customFormat="false" ht="26.25" hidden="false" customHeight="true" outlineLevel="0" collapsed="false">
      <c r="A6" s="15" t="s">
        <v>1273</v>
      </c>
      <c r="B6" s="15" t="s">
        <v>1274</v>
      </c>
      <c r="C6" s="15" t="s">
        <v>1258</v>
      </c>
      <c r="D6" s="15" t="s">
        <v>1275</v>
      </c>
      <c r="E6" s="15" t="s">
        <v>633</v>
      </c>
      <c r="F6" s="15"/>
      <c r="G6" s="15" t="s">
        <v>1276</v>
      </c>
    </row>
    <row r="7" customFormat="false" ht="39" hidden="false" customHeight="true" outlineLevel="0" collapsed="false">
      <c r="A7" s="15" t="s">
        <v>1277</v>
      </c>
      <c r="B7" s="15" t="s">
        <v>1278</v>
      </c>
      <c r="C7" s="15" t="s">
        <v>1258</v>
      </c>
      <c r="D7" s="15" t="s">
        <v>1279</v>
      </c>
      <c r="E7" s="15" t="s">
        <v>633</v>
      </c>
      <c r="F7" s="15"/>
      <c r="G7" s="15" t="s">
        <v>1280</v>
      </c>
    </row>
    <row r="8" customFormat="false" ht="26.25" hidden="false" customHeight="true" outlineLevel="0" collapsed="false">
      <c r="A8" s="22" t="s">
        <v>1281</v>
      </c>
      <c r="B8" s="22" t="s">
        <v>1282</v>
      </c>
      <c r="C8" s="22" t="s">
        <v>1283</v>
      </c>
      <c r="D8" s="22" t="s">
        <v>1284</v>
      </c>
      <c r="E8" s="22"/>
      <c r="F8" s="22" t="s">
        <v>1285</v>
      </c>
      <c r="G8" s="22" t="s">
        <v>1286</v>
      </c>
    </row>
    <row r="9" customFormat="false" ht="26.25" hidden="false" customHeight="true" outlineLevel="0" collapsed="false">
      <c r="A9" s="22" t="s">
        <v>716</v>
      </c>
      <c r="B9" s="22" t="s">
        <v>1287</v>
      </c>
      <c r="C9" s="22" t="s">
        <v>1283</v>
      </c>
      <c r="D9" s="22" t="s">
        <v>1288</v>
      </c>
      <c r="E9" s="22" t="s">
        <v>633</v>
      </c>
      <c r="F9" s="22" t="s">
        <v>1289</v>
      </c>
      <c r="G9" s="22" t="s">
        <v>1290</v>
      </c>
    </row>
    <row r="10" customFormat="false" ht="26.25" hidden="false" customHeight="true" outlineLevel="0" collapsed="false">
      <c r="A10" s="22" t="s">
        <v>1291</v>
      </c>
      <c r="B10" s="22" t="s">
        <v>1292</v>
      </c>
      <c r="C10" s="22" t="s">
        <v>1283</v>
      </c>
      <c r="D10" s="22" t="s">
        <v>1293</v>
      </c>
      <c r="E10" s="22" t="s">
        <v>633</v>
      </c>
      <c r="F10" s="22" t="s">
        <v>1294</v>
      </c>
      <c r="G10" s="22" t="s">
        <v>1295</v>
      </c>
    </row>
    <row r="11" customFormat="false" ht="26.25" hidden="false" customHeight="true" outlineLevel="0" collapsed="false">
      <c r="A11" s="22" t="s">
        <v>735</v>
      </c>
      <c r="B11" s="22" t="s">
        <v>1296</v>
      </c>
      <c r="C11" s="22" t="s">
        <v>1283</v>
      </c>
      <c r="D11" s="22" t="s">
        <v>1297</v>
      </c>
      <c r="E11" s="22" t="s">
        <v>633</v>
      </c>
      <c r="F11" s="22" t="s">
        <v>1298</v>
      </c>
      <c r="G11" s="22" t="s">
        <v>1299</v>
      </c>
    </row>
    <row r="12" customFormat="false" ht="39" hidden="false" customHeight="true" outlineLevel="0" collapsed="false">
      <c r="A12" s="15" t="s">
        <v>778</v>
      </c>
      <c r="B12" s="15" t="s">
        <v>1300</v>
      </c>
      <c r="C12" s="15" t="s">
        <v>1301</v>
      </c>
      <c r="D12" s="15" t="s">
        <v>1302</v>
      </c>
      <c r="E12" s="15" t="s">
        <v>633</v>
      </c>
      <c r="F12" s="15" t="s">
        <v>1303</v>
      </c>
      <c r="G12" s="15" t="s">
        <v>1304</v>
      </c>
    </row>
    <row r="13" customFormat="false" ht="26.25" hidden="false" customHeight="true" outlineLevel="0" collapsed="false">
      <c r="A13" s="15" t="s">
        <v>1305</v>
      </c>
      <c r="B13" s="15" t="s">
        <v>1306</v>
      </c>
      <c r="C13" s="15" t="s">
        <v>1307</v>
      </c>
      <c r="D13" s="15"/>
      <c r="E13" s="15" t="s">
        <v>633</v>
      </c>
      <c r="F13" s="15" t="s">
        <v>1308</v>
      </c>
      <c r="G13" s="15" t="s">
        <v>1309</v>
      </c>
    </row>
    <row r="14" customFormat="false" ht="39" hidden="false" customHeight="true" outlineLevel="0" collapsed="false">
      <c r="A14" s="15" t="s">
        <v>770</v>
      </c>
      <c r="B14" s="15" t="s">
        <v>1310</v>
      </c>
      <c r="C14" s="15" t="s">
        <v>1311</v>
      </c>
      <c r="D14" s="15" t="s">
        <v>1312</v>
      </c>
      <c r="E14" s="15" t="s">
        <v>633</v>
      </c>
      <c r="F14" s="15" t="s">
        <v>1313</v>
      </c>
      <c r="G14" s="15" t="s">
        <v>1314</v>
      </c>
    </row>
    <row r="15" customFormat="false" ht="39" hidden="false" customHeight="true" outlineLevel="0" collapsed="false">
      <c r="A15" s="22" t="s">
        <v>825</v>
      </c>
      <c r="B15" s="22" t="s">
        <v>1315</v>
      </c>
      <c r="C15" s="22" t="s">
        <v>1283</v>
      </c>
      <c r="D15" s="22" t="s">
        <v>1316</v>
      </c>
      <c r="E15" s="22" t="s">
        <v>633</v>
      </c>
      <c r="F15" s="22" t="s">
        <v>1317</v>
      </c>
      <c r="G15" s="22" t="s">
        <v>1318</v>
      </c>
    </row>
    <row r="16" customFormat="false" ht="39" hidden="false" customHeight="true" outlineLevel="0" collapsed="false">
      <c r="A16" s="22" t="s">
        <v>824</v>
      </c>
      <c r="B16" s="22" t="s">
        <v>1319</v>
      </c>
      <c r="C16" s="22" t="s">
        <v>1283</v>
      </c>
      <c r="D16" s="22" t="s">
        <v>1320</v>
      </c>
      <c r="E16" s="22" t="s">
        <v>633</v>
      </c>
      <c r="F16" s="22" t="s">
        <v>1321</v>
      </c>
      <c r="G16" s="22" t="s">
        <v>1322</v>
      </c>
    </row>
    <row r="17" customFormat="false" ht="39" hidden="false" customHeight="true" outlineLevel="0" collapsed="false">
      <c r="A17" s="22" t="s">
        <v>832</v>
      </c>
      <c r="B17" s="22" t="s">
        <v>1323</v>
      </c>
      <c r="C17" s="22" t="s">
        <v>1283</v>
      </c>
      <c r="D17" s="22" t="s">
        <v>1324</v>
      </c>
      <c r="E17" s="22" t="s">
        <v>633</v>
      </c>
      <c r="F17" s="22" t="s">
        <v>1325</v>
      </c>
      <c r="G17" s="22" t="s">
        <v>1326</v>
      </c>
    </row>
    <row r="18" customFormat="false" ht="26.25" hidden="false" customHeight="true" outlineLevel="0" collapsed="false">
      <c r="A18" s="15" t="s">
        <v>828</v>
      </c>
      <c r="B18" s="15" t="s">
        <v>1327</v>
      </c>
      <c r="C18" s="15" t="s">
        <v>1328</v>
      </c>
      <c r="D18" s="15" t="s">
        <v>1329</v>
      </c>
      <c r="E18" s="15" t="s">
        <v>633</v>
      </c>
      <c r="F18" s="15" t="s">
        <v>1330</v>
      </c>
      <c r="G18" s="15" t="s">
        <v>1331</v>
      </c>
    </row>
    <row r="19" customFormat="false" ht="39" hidden="false" customHeight="true" outlineLevel="0" collapsed="false">
      <c r="A19" s="22" t="s">
        <v>869</v>
      </c>
      <c r="B19" s="22" t="s">
        <v>1332</v>
      </c>
      <c r="C19" s="22" t="s">
        <v>1283</v>
      </c>
      <c r="D19" s="22" t="s">
        <v>1333</v>
      </c>
      <c r="E19" s="22" t="s">
        <v>633</v>
      </c>
      <c r="F19" s="22" t="s">
        <v>1334</v>
      </c>
      <c r="G19" s="22" t="s">
        <v>1335</v>
      </c>
    </row>
    <row r="20" customFormat="false" ht="39" hidden="false" customHeight="true" outlineLevel="0" collapsed="false">
      <c r="A20" s="22" t="s">
        <v>876</v>
      </c>
      <c r="B20" s="22" t="s">
        <v>1336</v>
      </c>
      <c r="C20" s="22" t="s">
        <v>1283</v>
      </c>
      <c r="D20" s="22" t="s">
        <v>1337</v>
      </c>
      <c r="E20" s="22" t="s">
        <v>633</v>
      </c>
      <c r="F20" s="22" t="s">
        <v>1338</v>
      </c>
      <c r="G20" s="22" t="s">
        <v>1339</v>
      </c>
    </row>
    <row r="21" customFormat="false" ht="39" hidden="false" customHeight="true" outlineLevel="0" collapsed="false">
      <c r="A21" s="22" t="s">
        <v>882</v>
      </c>
      <c r="B21" s="22" t="s">
        <v>1340</v>
      </c>
      <c r="C21" s="22" t="s">
        <v>1283</v>
      </c>
      <c r="D21" s="22" t="s">
        <v>1341</v>
      </c>
      <c r="E21" s="22" t="s">
        <v>633</v>
      </c>
      <c r="F21" s="22" t="s">
        <v>1342</v>
      </c>
      <c r="G21" s="22" t="s">
        <v>1343</v>
      </c>
    </row>
    <row r="22" customFormat="false" ht="39" hidden="false" customHeight="true" outlineLevel="0" collapsed="false">
      <c r="A22" s="22" t="s">
        <v>883</v>
      </c>
      <c r="B22" s="22" t="s">
        <v>1344</v>
      </c>
      <c r="C22" s="22" t="s">
        <v>1283</v>
      </c>
      <c r="D22" s="22" t="s">
        <v>1324</v>
      </c>
      <c r="E22" s="22" t="s">
        <v>633</v>
      </c>
      <c r="F22" s="22" t="s">
        <v>1345</v>
      </c>
      <c r="G22" s="22" t="s">
        <v>1346</v>
      </c>
    </row>
    <row r="23" customFormat="false" ht="26.25" hidden="false" customHeight="true" outlineLevel="0" collapsed="false">
      <c r="A23" s="22" t="s">
        <v>879</v>
      </c>
      <c r="B23" s="22" t="s">
        <v>1347</v>
      </c>
      <c r="C23" s="22" t="s">
        <v>1283</v>
      </c>
      <c r="D23" s="22" t="s">
        <v>1348</v>
      </c>
      <c r="E23" s="22" t="s">
        <v>633</v>
      </c>
      <c r="F23" s="22" t="s">
        <v>1349</v>
      </c>
      <c r="G23" s="22" t="s">
        <v>1350</v>
      </c>
    </row>
    <row r="24" customFormat="false" ht="26.25" hidden="false" customHeight="true" outlineLevel="0" collapsed="false">
      <c r="A24" s="15" t="s">
        <v>889</v>
      </c>
      <c r="B24" s="15" t="s">
        <v>1351</v>
      </c>
      <c r="C24" s="15" t="s">
        <v>1258</v>
      </c>
      <c r="D24" s="15" t="s">
        <v>1352</v>
      </c>
      <c r="E24" s="15" t="s">
        <v>633</v>
      </c>
      <c r="F24" s="15" t="s">
        <v>1298</v>
      </c>
      <c r="G24" s="15" t="s">
        <v>1353</v>
      </c>
    </row>
    <row r="25" customFormat="false" ht="39" hidden="false" customHeight="true" outlineLevel="0" collapsed="false">
      <c r="A25" s="22" t="s">
        <v>897</v>
      </c>
      <c r="B25" s="22" t="s">
        <v>1354</v>
      </c>
      <c r="C25" s="22" t="s">
        <v>1283</v>
      </c>
      <c r="D25" s="22" t="s">
        <v>1355</v>
      </c>
      <c r="E25" s="22" t="s">
        <v>633</v>
      </c>
      <c r="F25" s="22" t="s">
        <v>1356</v>
      </c>
      <c r="G25" s="22" t="s">
        <v>1357</v>
      </c>
    </row>
    <row r="26" customFormat="false" ht="26.25" hidden="false" customHeight="true" outlineLevel="0" collapsed="false">
      <c r="A26" s="22" t="s">
        <v>1358</v>
      </c>
      <c r="B26" s="22" t="s">
        <v>1359</v>
      </c>
      <c r="C26" s="22" t="s">
        <v>1283</v>
      </c>
      <c r="D26" s="22" t="s">
        <v>1360</v>
      </c>
      <c r="E26" s="22" t="s">
        <v>633</v>
      </c>
      <c r="F26" s="22" t="s">
        <v>1298</v>
      </c>
      <c r="G26" s="22" t="s">
        <v>1361</v>
      </c>
    </row>
    <row r="27" customFormat="false" ht="39" hidden="false" customHeight="true" outlineLevel="0" collapsed="false">
      <c r="A27" s="22" t="s">
        <v>901</v>
      </c>
      <c r="B27" s="22" t="s">
        <v>1362</v>
      </c>
      <c r="C27" s="22" t="s">
        <v>1283</v>
      </c>
      <c r="D27" s="22" t="s">
        <v>1363</v>
      </c>
      <c r="E27" s="22" t="s">
        <v>633</v>
      </c>
      <c r="F27" s="22" t="s">
        <v>1364</v>
      </c>
      <c r="G27" s="22" t="s">
        <v>1365</v>
      </c>
    </row>
    <row r="28" customFormat="false" ht="39" hidden="false" customHeight="true" outlineLevel="0" collapsed="false">
      <c r="A28" s="15" t="s">
        <v>1366</v>
      </c>
      <c r="B28" s="15" t="s">
        <v>1367</v>
      </c>
      <c r="C28" s="15" t="s">
        <v>1368</v>
      </c>
      <c r="D28" s="15" t="s">
        <v>1369</v>
      </c>
      <c r="E28" s="15" t="s">
        <v>633</v>
      </c>
      <c r="F28" s="15" t="s">
        <v>1370</v>
      </c>
      <c r="G28" s="15" t="s">
        <v>1371</v>
      </c>
    </row>
    <row r="29" customFormat="false" ht="26.25" hidden="false" customHeight="true" outlineLevel="0" collapsed="false">
      <c r="A29" s="22" t="s">
        <v>1372</v>
      </c>
      <c r="B29" s="22" t="s">
        <v>1373</v>
      </c>
      <c r="C29" s="22" t="s">
        <v>1283</v>
      </c>
      <c r="D29" s="22" t="s">
        <v>1374</v>
      </c>
      <c r="E29" s="22" t="s">
        <v>633</v>
      </c>
      <c r="F29" s="22" t="s">
        <v>1375</v>
      </c>
      <c r="G29" s="22" t="s">
        <v>1376</v>
      </c>
    </row>
    <row r="30" customFormat="false" ht="26.25" hidden="false" customHeight="true" outlineLevel="0" collapsed="false">
      <c r="A30" s="15" t="s">
        <v>1102</v>
      </c>
      <c r="B30" s="15" t="s">
        <v>1377</v>
      </c>
      <c r="C30" s="15" t="s">
        <v>1328</v>
      </c>
      <c r="D30" s="15" t="s">
        <v>1378</v>
      </c>
      <c r="E30" s="15" t="s">
        <v>689</v>
      </c>
      <c r="F30" s="15" t="s">
        <v>1379</v>
      </c>
      <c r="G30" s="15" t="s">
        <v>1380</v>
      </c>
    </row>
    <row r="31" customFormat="false" ht="26.25" hidden="false" customHeight="true" outlineLevel="0" collapsed="false">
      <c r="A31" s="22" t="s">
        <v>961</v>
      </c>
      <c r="B31" s="22" t="s">
        <v>1381</v>
      </c>
      <c r="C31" s="22" t="s">
        <v>1283</v>
      </c>
      <c r="D31" s="22" t="s">
        <v>1378</v>
      </c>
      <c r="E31" s="22" t="s">
        <v>689</v>
      </c>
      <c r="F31" s="22" t="s">
        <v>1382</v>
      </c>
      <c r="G31" s="22" t="s">
        <v>1383</v>
      </c>
    </row>
    <row r="32" customFormat="false" ht="26.25" hidden="false" customHeight="true" outlineLevel="0" collapsed="false">
      <c r="A32" s="22" t="s">
        <v>934</v>
      </c>
      <c r="B32" s="22" t="s">
        <v>1384</v>
      </c>
      <c r="C32" s="22" t="s">
        <v>1283</v>
      </c>
      <c r="D32" s="22" t="s">
        <v>1378</v>
      </c>
      <c r="E32" s="22" t="s">
        <v>689</v>
      </c>
      <c r="F32" s="22" t="s">
        <v>1385</v>
      </c>
      <c r="G32" s="22" t="s">
        <v>1386</v>
      </c>
    </row>
    <row r="33" customFormat="false" ht="26.25" hidden="false" customHeight="true" outlineLevel="0" collapsed="false">
      <c r="A33" s="22" t="s">
        <v>978</v>
      </c>
      <c r="B33" s="22" t="s">
        <v>1387</v>
      </c>
      <c r="C33" s="22" t="s">
        <v>1283</v>
      </c>
      <c r="D33" s="22" t="s">
        <v>1378</v>
      </c>
      <c r="E33" s="22" t="s">
        <v>689</v>
      </c>
      <c r="F33" s="22" t="s">
        <v>1388</v>
      </c>
      <c r="G33" s="22" t="s">
        <v>1389</v>
      </c>
    </row>
    <row r="34" customFormat="false" ht="39" hidden="false" customHeight="true" outlineLevel="0" collapsed="false">
      <c r="A34" s="22" t="s">
        <v>995</v>
      </c>
      <c r="B34" s="22" t="s">
        <v>1390</v>
      </c>
      <c r="C34" s="22" t="s">
        <v>1283</v>
      </c>
      <c r="D34" s="22" t="s">
        <v>1378</v>
      </c>
      <c r="E34" s="22" t="s">
        <v>689</v>
      </c>
      <c r="F34" s="22" t="s">
        <v>1391</v>
      </c>
      <c r="G34" s="22" t="s">
        <v>1392</v>
      </c>
    </row>
    <row r="35" customFormat="false" ht="26.25" hidden="false" customHeight="true" outlineLevel="0" collapsed="false">
      <c r="A35" s="22" t="s">
        <v>1039</v>
      </c>
      <c r="B35" s="22" t="s">
        <v>1393</v>
      </c>
      <c r="C35" s="22" t="s">
        <v>1283</v>
      </c>
      <c r="D35" s="22" t="s">
        <v>1378</v>
      </c>
      <c r="E35" s="22" t="s">
        <v>689</v>
      </c>
      <c r="F35" s="22" t="s">
        <v>1394</v>
      </c>
      <c r="G35" s="22" t="s">
        <v>1395</v>
      </c>
    </row>
    <row r="36" customFormat="false" ht="39" hidden="false" customHeight="true" outlineLevel="0" collapsed="false">
      <c r="A36" s="22" t="s">
        <v>1396</v>
      </c>
      <c r="B36" s="22" t="s">
        <v>1397</v>
      </c>
      <c r="C36" s="22" t="s">
        <v>1283</v>
      </c>
      <c r="D36" s="22" t="s">
        <v>1378</v>
      </c>
      <c r="E36" s="22" t="s">
        <v>689</v>
      </c>
      <c r="F36" s="22" t="s">
        <v>1398</v>
      </c>
      <c r="G36" s="22" t="s">
        <v>1399</v>
      </c>
    </row>
    <row r="37" customFormat="false" ht="39" hidden="false" customHeight="true" outlineLevel="0" collapsed="false">
      <c r="A37" s="15" t="s">
        <v>1069</v>
      </c>
      <c r="B37" s="15" t="s">
        <v>1400</v>
      </c>
      <c r="C37" s="15" t="s">
        <v>1401</v>
      </c>
      <c r="D37" s="15" t="s">
        <v>1378</v>
      </c>
      <c r="E37" s="15" t="s">
        <v>689</v>
      </c>
      <c r="F37" s="15" t="s">
        <v>1402</v>
      </c>
      <c r="G37" s="15" t="s">
        <v>1403</v>
      </c>
    </row>
    <row r="38" customFormat="false" ht="26.25" hidden="false" customHeight="true" outlineLevel="0" collapsed="false">
      <c r="A38" s="15" t="s">
        <v>1404</v>
      </c>
      <c r="B38" s="15" t="s">
        <v>1405</v>
      </c>
      <c r="C38" s="15" t="s">
        <v>1258</v>
      </c>
      <c r="D38" s="15" t="s">
        <v>1406</v>
      </c>
      <c r="E38" s="15" t="s">
        <v>689</v>
      </c>
      <c r="F38" s="15" t="s">
        <v>1298</v>
      </c>
      <c r="G38" s="15" t="s">
        <v>1407</v>
      </c>
    </row>
    <row r="39" customFormat="false" ht="26.25" hidden="false" customHeight="true" outlineLevel="0" collapsed="false">
      <c r="A39" s="22" t="s">
        <v>971</v>
      </c>
      <c r="B39" s="22" t="s">
        <v>1408</v>
      </c>
      <c r="C39" s="22" t="s">
        <v>1283</v>
      </c>
      <c r="D39" s="22" t="s">
        <v>1409</v>
      </c>
      <c r="E39" s="22" t="s">
        <v>689</v>
      </c>
      <c r="F39" s="22" t="s">
        <v>1410</v>
      </c>
      <c r="G39" s="22" t="s">
        <v>1411</v>
      </c>
    </row>
    <row r="40" customFormat="false" ht="39" hidden="false" customHeight="true" outlineLevel="0" collapsed="false">
      <c r="A40" s="22" t="s">
        <v>1412</v>
      </c>
      <c r="B40" s="22" t="s">
        <v>1413</v>
      </c>
      <c r="C40" s="22" t="s">
        <v>1283</v>
      </c>
      <c r="D40" s="22" t="s">
        <v>1409</v>
      </c>
      <c r="E40" s="22" t="s">
        <v>689</v>
      </c>
      <c r="F40" s="22" t="s">
        <v>1414</v>
      </c>
      <c r="G40" s="22" t="s">
        <v>1415</v>
      </c>
    </row>
    <row r="41" customFormat="false" ht="26.25" hidden="false" customHeight="true" outlineLevel="0" collapsed="false">
      <c r="A41" s="15" t="s">
        <v>1416</v>
      </c>
      <c r="B41" s="15" t="s">
        <v>1417</v>
      </c>
      <c r="C41" s="15" t="s">
        <v>1311</v>
      </c>
      <c r="D41" s="15" t="s">
        <v>1312</v>
      </c>
      <c r="E41" s="15" t="s">
        <v>689</v>
      </c>
      <c r="F41" s="15" t="s">
        <v>1313</v>
      </c>
      <c r="G41" s="15" t="s">
        <v>1418</v>
      </c>
    </row>
    <row r="42" customFormat="false" ht="26.25" hidden="false" customHeight="true" outlineLevel="0" collapsed="false">
      <c r="A42" s="15" t="s">
        <v>1242</v>
      </c>
      <c r="B42" s="15" t="s">
        <v>1419</v>
      </c>
      <c r="C42" s="15" t="s">
        <v>1258</v>
      </c>
      <c r="D42" s="15" t="s">
        <v>1420</v>
      </c>
      <c r="E42" s="15" t="s">
        <v>689</v>
      </c>
      <c r="F42" s="15" t="s">
        <v>1298</v>
      </c>
      <c r="G42" s="15" t="s">
        <v>1421</v>
      </c>
    </row>
    <row r="43" customFormat="false" ht="15" hidden="false" customHeight="true" outlineLevel="0" collapsed="false">
      <c r="A43" s="15" t="s">
        <v>1239</v>
      </c>
      <c r="B43" s="15" t="s">
        <v>1422</v>
      </c>
      <c r="C43" s="15" t="s">
        <v>1258</v>
      </c>
      <c r="D43" s="15" t="s">
        <v>1423</v>
      </c>
      <c r="E43" s="15" t="s">
        <v>689</v>
      </c>
      <c r="F43" s="15" t="s">
        <v>1298</v>
      </c>
      <c r="G43" s="15" t="s">
        <v>1424</v>
      </c>
    </row>
    <row r="44" customFormat="false" ht="26.25" hidden="false" customHeight="true" outlineLevel="0" collapsed="false">
      <c r="A44" s="15" t="s">
        <v>1105</v>
      </c>
      <c r="B44" s="15" t="s">
        <v>1425</v>
      </c>
      <c r="C44" s="15" t="s">
        <v>1258</v>
      </c>
      <c r="D44" s="15" t="s">
        <v>1426</v>
      </c>
      <c r="E44" s="15" t="s">
        <v>689</v>
      </c>
      <c r="F44" s="15" t="s">
        <v>1298</v>
      </c>
      <c r="G44" s="15" t="s">
        <v>1427</v>
      </c>
    </row>
    <row r="45" customFormat="false" ht="51.75" hidden="false" customHeight="true" outlineLevel="0" collapsed="false">
      <c r="A45" s="15" t="s">
        <v>1162</v>
      </c>
      <c r="B45" s="15" t="s">
        <v>1428</v>
      </c>
      <c r="C45" s="15" t="s">
        <v>1429</v>
      </c>
      <c r="D45" s="15" t="s">
        <v>1430</v>
      </c>
      <c r="E45" s="15" t="s">
        <v>689</v>
      </c>
      <c r="F45" s="15" t="s">
        <v>1431</v>
      </c>
      <c r="G45" s="15" t="s">
        <v>1432</v>
      </c>
    </row>
    <row r="46" customFormat="false" ht="39" hidden="false" customHeight="true" outlineLevel="0" collapsed="false">
      <c r="A46" s="15" t="s">
        <v>1202</v>
      </c>
      <c r="B46" s="15" t="s">
        <v>1433</v>
      </c>
      <c r="C46" s="15" t="s">
        <v>1429</v>
      </c>
      <c r="D46" s="15" t="s">
        <v>1430</v>
      </c>
      <c r="E46" s="15" t="s">
        <v>689</v>
      </c>
      <c r="F46" s="15" t="s">
        <v>1434</v>
      </c>
      <c r="G46" s="15" t="s">
        <v>1435</v>
      </c>
    </row>
    <row r="47" customFormat="false" ht="26.25" hidden="false" customHeight="true" outlineLevel="0" collapsed="false">
      <c r="A47" s="15" t="s">
        <v>1194</v>
      </c>
      <c r="B47" s="15" t="s">
        <v>1436</v>
      </c>
      <c r="C47" s="15" t="s">
        <v>1429</v>
      </c>
      <c r="D47" s="15" t="s">
        <v>1430</v>
      </c>
      <c r="E47" s="15" t="s">
        <v>689</v>
      </c>
      <c r="F47" s="15" t="s">
        <v>1437</v>
      </c>
      <c r="G47" s="15" t="s">
        <v>1438</v>
      </c>
    </row>
    <row r="48" customFormat="false" ht="39" hidden="false" customHeight="true" outlineLevel="0" collapsed="false">
      <c r="A48" s="15" t="s">
        <v>1185</v>
      </c>
      <c r="B48" s="15" t="s">
        <v>1439</v>
      </c>
      <c r="C48" s="15" t="s">
        <v>1429</v>
      </c>
      <c r="D48" s="15" t="s">
        <v>1430</v>
      </c>
      <c r="E48" s="15" t="s">
        <v>689</v>
      </c>
      <c r="F48" s="15" t="s">
        <v>1440</v>
      </c>
      <c r="G48" s="15" t="s">
        <v>1441</v>
      </c>
    </row>
    <row r="49" customFormat="false" ht="39" hidden="false" customHeight="true" outlineLevel="0" collapsed="false">
      <c r="A49" s="15" t="s">
        <v>1207</v>
      </c>
      <c r="B49" s="15" t="s">
        <v>1442</v>
      </c>
      <c r="C49" s="15" t="s">
        <v>1429</v>
      </c>
      <c r="D49" s="15" t="s">
        <v>1430</v>
      </c>
      <c r="E49" s="15" t="s">
        <v>689</v>
      </c>
      <c r="F49" s="15" t="s">
        <v>1443</v>
      </c>
      <c r="G49" s="15" t="s">
        <v>1444</v>
      </c>
    </row>
    <row r="50" customFormat="false" ht="26.25" hidden="false" customHeight="true" outlineLevel="0" collapsed="false">
      <c r="A50" s="22" t="s">
        <v>1445</v>
      </c>
      <c r="B50" s="22" t="s">
        <v>1446</v>
      </c>
      <c r="C50" s="22" t="s">
        <v>1283</v>
      </c>
      <c r="D50" s="22" t="s">
        <v>1320</v>
      </c>
      <c r="E50" s="22" t="s">
        <v>689</v>
      </c>
      <c r="F50" s="22" t="s">
        <v>1298</v>
      </c>
      <c r="G50" s="22" t="s">
        <v>1447</v>
      </c>
    </row>
    <row r="51" customFormat="false" ht="39" hidden="false" customHeight="true" outlineLevel="0" collapsed="false">
      <c r="A51" s="15" t="s">
        <v>1211</v>
      </c>
      <c r="B51" s="15" t="s">
        <v>1448</v>
      </c>
      <c r="C51" s="15" t="s">
        <v>1449</v>
      </c>
      <c r="D51" s="15" t="s">
        <v>1450</v>
      </c>
      <c r="E51" s="15" t="s">
        <v>689</v>
      </c>
      <c r="F51" s="15" t="s">
        <v>1298</v>
      </c>
      <c r="G51" s="15" t="s">
        <v>1451</v>
      </c>
    </row>
    <row r="52" customFormat="false" ht="39" hidden="false" customHeight="true" outlineLevel="0" collapsed="false">
      <c r="A52" s="15" t="s">
        <v>1452</v>
      </c>
      <c r="B52" s="15" t="s">
        <v>1453</v>
      </c>
      <c r="C52" s="15" t="s">
        <v>1258</v>
      </c>
      <c r="D52" s="15" t="s">
        <v>1454</v>
      </c>
      <c r="E52" s="15" t="s">
        <v>689</v>
      </c>
      <c r="F52" s="15" t="s">
        <v>1313</v>
      </c>
      <c r="G52" s="15" t="s">
        <v>1455</v>
      </c>
    </row>
    <row r="53" customFormat="false" ht="26.25" hidden="false" customHeight="true" outlineLevel="0" collapsed="false">
      <c r="A53" s="22" t="s">
        <v>1456</v>
      </c>
      <c r="B53" s="22" t="s">
        <v>1457</v>
      </c>
      <c r="C53" s="22" t="s">
        <v>1283</v>
      </c>
      <c r="D53" s="22" t="s">
        <v>1458</v>
      </c>
      <c r="E53" s="22" t="s">
        <v>689</v>
      </c>
      <c r="F53" s="22" t="s">
        <v>1459</v>
      </c>
      <c r="G53" s="22" t="s">
        <v>1460</v>
      </c>
    </row>
    <row r="54" customFormat="false" ht="26.25" hidden="false" customHeight="true" outlineLevel="0" collapsed="false">
      <c r="A54" s="15" t="s">
        <v>1461</v>
      </c>
      <c r="B54" s="15" t="s">
        <v>1462</v>
      </c>
      <c r="C54" s="15" t="s">
        <v>1328</v>
      </c>
      <c r="D54" s="15" t="s">
        <v>1458</v>
      </c>
      <c r="E54" s="15" t="s">
        <v>689</v>
      </c>
      <c r="F54" s="15" t="s">
        <v>1463</v>
      </c>
      <c r="G54" s="15" t="s">
        <v>1464</v>
      </c>
    </row>
    <row r="55" customFormat="false" ht="26.25" hidden="false" customHeight="true" outlineLevel="0" collapsed="false">
      <c r="A55" s="22" t="s">
        <v>1465</v>
      </c>
      <c r="B55" s="22" t="s">
        <v>1466</v>
      </c>
      <c r="C55" s="22" t="s">
        <v>1283</v>
      </c>
      <c r="D55" s="22" t="s">
        <v>1458</v>
      </c>
      <c r="E55" s="22" t="s">
        <v>689</v>
      </c>
      <c r="F55" s="22" t="s">
        <v>1467</v>
      </c>
      <c r="G55" s="22" t="s">
        <v>1468</v>
      </c>
    </row>
    <row r="56" customFormat="false" ht="39" hidden="false" customHeight="true" outlineLevel="0" collapsed="false">
      <c r="A56" s="15" t="s">
        <v>1469</v>
      </c>
      <c r="B56" s="15" t="s">
        <v>1470</v>
      </c>
      <c r="C56" s="15" t="s">
        <v>1258</v>
      </c>
      <c r="D56" s="15" t="s">
        <v>1471</v>
      </c>
      <c r="E56" s="15" t="s">
        <v>689</v>
      </c>
      <c r="F56" s="15" t="s">
        <v>1298</v>
      </c>
      <c r="G56" s="15" t="s">
        <v>1472</v>
      </c>
    </row>
    <row r="57" customFormat="false" ht="39" hidden="false" customHeight="true" outlineLevel="0" collapsed="false">
      <c r="A57" s="22" t="s">
        <v>1473</v>
      </c>
      <c r="B57" s="22" t="s">
        <v>1474</v>
      </c>
      <c r="C57" s="22" t="s">
        <v>1283</v>
      </c>
      <c r="D57" s="22" t="s">
        <v>1475</v>
      </c>
      <c r="E57" s="22" t="s">
        <v>689</v>
      </c>
      <c r="F57" s="22" t="s">
        <v>1476</v>
      </c>
      <c r="G57" s="22" t="s">
        <v>1477</v>
      </c>
    </row>
    <row r="58" customFormat="false" ht="51.75" hidden="false" customHeight="true" outlineLevel="0" collapsed="false">
      <c r="A58" s="22" t="s">
        <v>1478</v>
      </c>
      <c r="B58" s="22" t="s">
        <v>1479</v>
      </c>
      <c r="C58" s="22" t="s">
        <v>1283</v>
      </c>
      <c r="D58" s="22" t="s">
        <v>1475</v>
      </c>
      <c r="E58" s="22" t="s">
        <v>689</v>
      </c>
      <c r="F58" s="22" t="s">
        <v>1480</v>
      </c>
      <c r="G58" s="22" t="s">
        <v>1481</v>
      </c>
    </row>
    <row r="59" customFormat="false" ht="39" hidden="false" customHeight="true" outlineLevel="0" collapsed="false">
      <c r="A59" s="15" t="s">
        <v>1482</v>
      </c>
      <c r="B59" s="15" t="s">
        <v>1483</v>
      </c>
      <c r="C59" s="15" t="s">
        <v>1258</v>
      </c>
      <c r="D59" s="15" t="s">
        <v>1484</v>
      </c>
      <c r="E59" s="15" t="s">
        <v>1485</v>
      </c>
      <c r="F59" s="15" t="s">
        <v>1298</v>
      </c>
      <c r="G59" s="15" t="s">
        <v>1486</v>
      </c>
    </row>
    <row r="60" customFormat="false" ht="39" hidden="false" customHeight="true" outlineLevel="0" collapsed="false">
      <c r="A60" s="15" t="s">
        <v>1487</v>
      </c>
      <c r="B60" s="15" t="s">
        <v>1488</v>
      </c>
      <c r="C60" s="15" t="s">
        <v>1258</v>
      </c>
      <c r="D60" s="15" t="s">
        <v>1489</v>
      </c>
      <c r="E60" s="15" t="s">
        <v>689</v>
      </c>
      <c r="F60" s="15" t="s">
        <v>1298</v>
      </c>
      <c r="G60" s="15" t="s">
        <v>1490</v>
      </c>
    </row>
    <row r="61" customFormat="false" ht="26.25" hidden="false" customHeight="true" outlineLevel="0" collapsed="false">
      <c r="A61" s="15" t="s">
        <v>1491</v>
      </c>
      <c r="B61" s="15" t="s">
        <v>1492</v>
      </c>
      <c r="C61" s="15" t="s">
        <v>1493</v>
      </c>
      <c r="D61" s="15"/>
      <c r="E61" s="15"/>
      <c r="F61" s="15"/>
      <c r="G61" s="15" t="s">
        <v>1494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40"/>
    <col collapsed="false" customWidth="true" hidden="false" outlineLevel="0" max="5" min="5" style="1" width="26"/>
    <col collapsed="false" customWidth="true" hidden="false" outlineLevel="0" max="6" min="6" style="1" width="55"/>
    <col collapsed="false" customWidth="true" hidden="false" outlineLevel="0" max="7" min="7" style="1" width="9"/>
  </cols>
  <sheetData>
    <row r="1" customFormat="false" ht="31.5" hidden="false" customHeight="true" outlineLevel="0" collapsed="false">
      <c r="A1" s="10" t="s">
        <v>1495</v>
      </c>
      <c r="B1" s="10" t="s">
        <v>1496</v>
      </c>
      <c r="C1" s="10" t="s">
        <v>1497</v>
      </c>
      <c r="D1" s="10" t="s">
        <v>1498</v>
      </c>
      <c r="E1" s="10" t="s">
        <v>1499</v>
      </c>
      <c r="F1" s="10" t="s">
        <v>1500</v>
      </c>
      <c r="G1" s="10" t="s">
        <v>1501</v>
      </c>
    </row>
    <row r="2" customFormat="false" ht="26.25" hidden="false" customHeight="true" outlineLevel="0" collapsed="false">
      <c r="A2" s="15" t="s">
        <v>1502</v>
      </c>
      <c r="B2" s="15" t="s">
        <v>1503</v>
      </c>
      <c r="C2" s="15" t="s">
        <v>1504</v>
      </c>
      <c r="D2" s="15" t="s">
        <v>1505</v>
      </c>
      <c r="E2" s="15" t="s">
        <v>1506</v>
      </c>
      <c r="F2" s="15" t="s">
        <v>1507</v>
      </c>
      <c r="G2" s="15" t="s">
        <v>1508</v>
      </c>
    </row>
    <row r="3" customFormat="false" ht="26.25" hidden="false" customHeight="true" outlineLevel="0" collapsed="false">
      <c r="A3" s="15" t="s">
        <v>1509</v>
      </c>
      <c r="B3" s="15" t="s">
        <v>1510</v>
      </c>
      <c r="C3" s="15" t="s">
        <v>1511</v>
      </c>
      <c r="D3" s="15" t="s">
        <v>1512</v>
      </c>
      <c r="E3" s="15" t="s">
        <v>1513</v>
      </c>
      <c r="F3" s="15" t="s">
        <v>1514</v>
      </c>
      <c r="G3" s="15" t="s">
        <v>1508</v>
      </c>
    </row>
    <row r="4" customFormat="false" ht="39" hidden="false" customHeight="true" outlineLevel="0" collapsed="false">
      <c r="A4" s="15" t="s">
        <v>1515</v>
      </c>
      <c r="B4" s="15" t="s">
        <v>1516</v>
      </c>
      <c r="C4" s="15" t="s">
        <v>1517</v>
      </c>
      <c r="D4" s="15" t="s">
        <v>1518</v>
      </c>
      <c r="E4" s="15" t="s">
        <v>1519</v>
      </c>
      <c r="F4" s="15" t="s">
        <v>1520</v>
      </c>
      <c r="G4" s="15" t="s">
        <v>1508</v>
      </c>
    </row>
    <row r="5" customFormat="false" ht="26.25" hidden="false" customHeight="true" outlineLevel="0" collapsed="false">
      <c r="A5" s="15" t="s">
        <v>1521</v>
      </c>
      <c r="B5" s="15" t="s">
        <v>1522</v>
      </c>
      <c r="C5" s="15" t="s">
        <v>1523</v>
      </c>
      <c r="D5" s="15" t="s">
        <v>1524</v>
      </c>
      <c r="E5" s="15"/>
      <c r="F5" s="15" t="s">
        <v>1525</v>
      </c>
      <c r="G5" s="15" t="s">
        <v>1508</v>
      </c>
    </row>
    <row r="6" customFormat="false" ht="51.75" hidden="false" customHeight="true" outlineLevel="0" collapsed="false">
      <c r="A6" s="15" t="s">
        <v>1526</v>
      </c>
      <c r="B6" s="15" t="s">
        <v>1527</v>
      </c>
      <c r="C6" s="15" t="s">
        <v>1528</v>
      </c>
      <c r="D6" s="15" t="s">
        <v>1529</v>
      </c>
      <c r="E6" s="15"/>
      <c r="F6" s="15" t="s">
        <v>1530</v>
      </c>
      <c r="G6" s="15" t="s">
        <v>1508</v>
      </c>
    </row>
    <row r="7" customFormat="false" ht="39" hidden="false" customHeight="true" outlineLevel="0" collapsed="false">
      <c r="A7" s="15" t="s">
        <v>1531</v>
      </c>
      <c r="B7" s="15" t="s">
        <v>1532</v>
      </c>
      <c r="C7" s="15" t="s">
        <v>1533</v>
      </c>
      <c r="D7" s="15" t="s">
        <v>1534</v>
      </c>
      <c r="E7" s="15" t="s">
        <v>1535</v>
      </c>
      <c r="F7" s="15" t="s">
        <v>1536</v>
      </c>
      <c r="G7" s="15" t="s">
        <v>1508</v>
      </c>
    </row>
    <row r="8" customFormat="false" ht="26.25" hidden="false" customHeight="true" outlineLevel="0" collapsed="false">
      <c r="A8" s="15" t="s">
        <v>1537</v>
      </c>
      <c r="B8" s="15" t="s">
        <v>1522</v>
      </c>
      <c r="C8" s="15" t="s">
        <v>1538</v>
      </c>
      <c r="D8" s="15" t="s">
        <v>1539</v>
      </c>
      <c r="E8" s="15"/>
      <c r="F8" s="15" t="s">
        <v>1540</v>
      </c>
      <c r="G8" s="15" t="s">
        <v>1541</v>
      </c>
    </row>
    <row r="9" customFormat="false" ht="64.5" hidden="false" customHeight="true" outlineLevel="0" collapsed="false">
      <c r="A9" s="15" t="s">
        <v>1542</v>
      </c>
      <c r="B9" s="15" t="s">
        <v>1543</v>
      </c>
      <c r="C9" s="15" t="s">
        <v>1544</v>
      </c>
      <c r="D9" s="15" t="s">
        <v>1545</v>
      </c>
      <c r="E9" s="15" t="s">
        <v>1546</v>
      </c>
      <c r="F9" s="15" t="s">
        <v>1547</v>
      </c>
      <c r="G9" s="15" t="s">
        <v>1541</v>
      </c>
    </row>
    <row r="10" customFormat="false" ht="26.25" hidden="false" customHeight="true" outlineLevel="0" collapsed="false">
      <c r="A10" s="15" t="s">
        <v>1548</v>
      </c>
      <c r="B10" s="15" t="s">
        <v>1522</v>
      </c>
      <c r="C10" s="15" t="s">
        <v>1549</v>
      </c>
      <c r="D10" s="15" t="s">
        <v>1550</v>
      </c>
      <c r="E10" s="15" t="s">
        <v>1551</v>
      </c>
      <c r="F10" s="15" t="s">
        <v>1552</v>
      </c>
      <c r="G10" s="15" t="s">
        <v>1508</v>
      </c>
    </row>
    <row r="11" customFormat="false" ht="26.25" hidden="false" customHeight="true" outlineLevel="0" collapsed="false">
      <c r="A11" s="15" t="s">
        <v>1553</v>
      </c>
      <c r="B11" s="15" t="s">
        <v>1522</v>
      </c>
      <c r="C11" s="15" t="s">
        <v>1554</v>
      </c>
      <c r="D11" s="15" t="s">
        <v>1555</v>
      </c>
      <c r="E11" s="15" t="s">
        <v>1556</v>
      </c>
      <c r="F11" s="15" t="s">
        <v>1557</v>
      </c>
      <c r="G11" s="15" t="s">
        <v>1508</v>
      </c>
    </row>
    <row r="12" customFormat="false" ht="26.25" hidden="false" customHeight="true" outlineLevel="0" collapsed="false">
      <c r="A12" s="15" t="s">
        <v>1558</v>
      </c>
      <c r="B12" s="15" t="s">
        <v>1559</v>
      </c>
      <c r="C12" s="15" t="s">
        <v>1560</v>
      </c>
      <c r="D12" s="15" t="s">
        <v>1561</v>
      </c>
      <c r="E12" s="15" t="s">
        <v>1562</v>
      </c>
      <c r="F12" s="15" t="s">
        <v>1563</v>
      </c>
      <c r="G12" s="15" t="s">
        <v>1541</v>
      </c>
    </row>
    <row r="13" customFormat="false" ht="51.75" hidden="false" customHeight="true" outlineLevel="0" collapsed="false">
      <c r="A13" s="15" t="s">
        <v>1564</v>
      </c>
      <c r="B13" s="15" t="s">
        <v>1565</v>
      </c>
      <c r="C13" s="15" t="s">
        <v>1528</v>
      </c>
      <c r="D13" s="15" t="s">
        <v>1566</v>
      </c>
      <c r="E13" s="15"/>
      <c r="F13" s="15"/>
      <c r="G13" s="15" t="s">
        <v>1508</v>
      </c>
    </row>
    <row r="14" customFormat="false" ht="51.75" hidden="false" customHeight="true" outlineLevel="0" collapsed="false">
      <c r="A14" s="15" t="s">
        <v>1567</v>
      </c>
      <c r="B14" s="15" t="s">
        <v>1568</v>
      </c>
      <c r="C14" s="15" t="s">
        <v>1569</v>
      </c>
      <c r="D14" s="15" t="s">
        <v>1570</v>
      </c>
      <c r="E14" s="15" t="s">
        <v>1571</v>
      </c>
      <c r="F14" s="15" t="s">
        <v>1002</v>
      </c>
      <c r="G14" s="15" t="s">
        <v>1541</v>
      </c>
    </row>
    <row r="15" customFormat="false" ht="51.75" hidden="false" customHeight="true" outlineLevel="0" collapsed="false">
      <c r="A15" s="15" t="s">
        <v>1572</v>
      </c>
      <c r="B15" s="15" t="s">
        <v>1573</v>
      </c>
      <c r="C15" s="15" t="s">
        <v>1574</v>
      </c>
      <c r="D15" s="15" t="s">
        <v>1575</v>
      </c>
      <c r="E15" s="15" t="s">
        <v>1576</v>
      </c>
      <c r="F15" s="15" t="s">
        <v>1577</v>
      </c>
      <c r="G15" s="15" t="s">
        <v>1541</v>
      </c>
    </row>
    <row r="16" customFormat="false" ht="26.25" hidden="false" customHeight="true" outlineLevel="0" collapsed="false">
      <c r="A16" s="15" t="s">
        <v>1578</v>
      </c>
      <c r="B16" s="15" t="s">
        <v>1579</v>
      </c>
      <c r="C16" s="15" t="s">
        <v>1580</v>
      </c>
      <c r="D16" s="15" t="s">
        <v>1581</v>
      </c>
      <c r="E16" s="15" t="s">
        <v>1582</v>
      </c>
      <c r="F16" s="15" t="s">
        <v>1583</v>
      </c>
      <c r="G16" s="15" t="s">
        <v>1508</v>
      </c>
    </row>
    <row r="17" customFormat="false" ht="51.75" hidden="false" customHeight="true" outlineLevel="0" collapsed="false">
      <c r="A17" s="15" t="s">
        <v>1584</v>
      </c>
      <c r="B17" s="15" t="s">
        <v>1579</v>
      </c>
      <c r="C17" s="15" t="s">
        <v>1585</v>
      </c>
      <c r="D17" s="15" t="s">
        <v>1586</v>
      </c>
      <c r="E17" s="15" t="s">
        <v>1587</v>
      </c>
      <c r="F17" s="15" t="s">
        <v>1588</v>
      </c>
      <c r="G17" s="15" t="s">
        <v>1541</v>
      </c>
    </row>
    <row r="18" customFormat="false" ht="26.25" hidden="false" customHeight="true" outlineLevel="0" collapsed="false">
      <c r="A18" s="15" t="s">
        <v>1589</v>
      </c>
      <c r="B18" s="15" t="s">
        <v>196</v>
      </c>
      <c r="C18" s="15" t="s">
        <v>1590</v>
      </c>
      <c r="D18" s="15" t="s">
        <v>1591</v>
      </c>
      <c r="E18" s="15"/>
      <c r="F18" s="15" t="s">
        <v>1592</v>
      </c>
      <c r="G18" s="15" t="s">
        <v>1508</v>
      </c>
    </row>
    <row r="19" customFormat="false" ht="39" hidden="false" customHeight="true" outlineLevel="0" collapsed="false">
      <c r="A19" s="15" t="s">
        <v>1593</v>
      </c>
      <c r="B19" s="15" t="s">
        <v>1594</v>
      </c>
      <c r="C19" s="15" t="s">
        <v>1595</v>
      </c>
      <c r="D19" s="15" t="s">
        <v>1596</v>
      </c>
      <c r="E19" s="15" t="s">
        <v>1597</v>
      </c>
      <c r="F19" s="15" t="s">
        <v>1598</v>
      </c>
      <c r="G19" s="15" t="s">
        <v>1508</v>
      </c>
    </row>
    <row r="20" customFormat="false" ht="51.75" hidden="false" customHeight="true" outlineLevel="0" collapsed="false">
      <c r="A20" s="15" t="s">
        <v>1599</v>
      </c>
      <c r="B20" s="15" t="s">
        <v>1600</v>
      </c>
      <c r="C20" s="15" t="s">
        <v>1601</v>
      </c>
      <c r="D20" s="15" t="s">
        <v>1602</v>
      </c>
      <c r="E20" s="15" t="s">
        <v>1603</v>
      </c>
      <c r="F20" s="15" t="s">
        <v>1604</v>
      </c>
      <c r="G20" s="15" t="s">
        <v>1508</v>
      </c>
    </row>
    <row r="21" customFormat="false" ht="39" hidden="false" customHeight="true" outlineLevel="0" collapsed="false">
      <c r="A21" s="15" t="s">
        <v>1605</v>
      </c>
      <c r="B21" s="15" t="s">
        <v>1606</v>
      </c>
      <c r="C21" s="15" t="s">
        <v>1595</v>
      </c>
      <c r="D21" s="15" t="s">
        <v>1607</v>
      </c>
      <c r="E21" s="15" t="s">
        <v>1608</v>
      </c>
      <c r="F21" s="15" t="s">
        <v>1609</v>
      </c>
      <c r="G21" s="15" t="s">
        <v>1508</v>
      </c>
    </row>
    <row r="22" customFormat="false" ht="51.75" hidden="false" customHeight="true" outlineLevel="0" collapsed="false">
      <c r="A22" s="15" t="s">
        <v>1610</v>
      </c>
      <c r="B22" s="15" t="s">
        <v>1611</v>
      </c>
      <c r="C22" s="15" t="s">
        <v>1612</v>
      </c>
      <c r="D22" s="15" t="s">
        <v>1613</v>
      </c>
      <c r="E22" s="15" t="s">
        <v>1614</v>
      </c>
      <c r="F22" s="15" t="s">
        <v>1615</v>
      </c>
      <c r="G22" s="15" t="s">
        <v>1508</v>
      </c>
    </row>
    <row r="23" customFormat="false" ht="51.75" hidden="false" customHeight="true" outlineLevel="0" collapsed="false">
      <c r="A23" s="15" t="s">
        <v>1616</v>
      </c>
      <c r="B23" s="15" t="s">
        <v>196</v>
      </c>
      <c r="C23" s="15" t="s">
        <v>1617</v>
      </c>
      <c r="D23" s="15" t="s">
        <v>1618</v>
      </c>
      <c r="E23" s="15" t="s">
        <v>1619</v>
      </c>
      <c r="F23" s="15" t="s">
        <v>1620</v>
      </c>
      <c r="G23" s="15" t="s">
        <v>1508</v>
      </c>
    </row>
    <row r="24" customFormat="false" ht="51.75" hidden="false" customHeight="true" outlineLevel="0" collapsed="false">
      <c r="A24" s="15" t="s">
        <v>1621</v>
      </c>
      <c r="B24" s="15" t="s">
        <v>1622</v>
      </c>
      <c r="C24" s="15" t="s">
        <v>1623</v>
      </c>
      <c r="D24" s="15" t="s">
        <v>1624</v>
      </c>
      <c r="E24" s="15" t="s">
        <v>1625</v>
      </c>
      <c r="F24" s="15" t="s">
        <v>1626</v>
      </c>
      <c r="G24" s="15" t="s">
        <v>1508</v>
      </c>
    </row>
    <row r="25" customFormat="false" ht="26.25" hidden="false" customHeight="true" outlineLevel="0" collapsed="false">
      <c r="A25" s="15" t="s">
        <v>1627</v>
      </c>
      <c r="B25" s="15" t="s">
        <v>196</v>
      </c>
      <c r="C25" s="15" t="s">
        <v>1628</v>
      </c>
      <c r="D25" s="15" t="s">
        <v>1629</v>
      </c>
      <c r="E25" s="15"/>
      <c r="F25" s="15" t="s">
        <v>1630</v>
      </c>
      <c r="G25" s="15" t="s">
        <v>1508</v>
      </c>
    </row>
    <row r="26" customFormat="false" ht="51.75" hidden="false" customHeight="true" outlineLevel="0" collapsed="false">
      <c r="A26" s="15" t="s">
        <v>1631</v>
      </c>
      <c r="B26" s="15" t="s">
        <v>1632</v>
      </c>
      <c r="C26" s="15" t="s">
        <v>1633</v>
      </c>
      <c r="D26" s="15" t="s">
        <v>1634</v>
      </c>
      <c r="E26" s="15" t="s">
        <v>1635</v>
      </c>
      <c r="F26" s="15" t="s">
        <v>1636</v>
      </c>
      <c r="G26" s="15" t="s">
        <v>1541</v>
      </c>
    </row>
    <row r="27" customFormat="false" ht="26.25" hidden="false" customHeight="true" outlineLevel="0" collapsed="false">
      <c r="A27" s="15" t="s">
        <v>1637</v>
      </c>
      <c r="B27" s="15" t="s">
        <v>300</v>
      </c>
      <c r="C27" s="15" t="s">
        <v>1638</v>
      </c>
      <c r="D27" s="15" t="s">
        <v>1639</v>
      </c>
      <c r="E27" s="15"/>
      <c r="F27" s="15" t="s">
        <v>1640</v>
      </c>
      <c r="G27" s="15" t="s">
        <v>1541</v>
      </c>
    </row>
    <row r="28" customFormat="false" ht="26.25" hidden="false" customHeight="true" outlineLevel="0" collapsed="false">
      <c r="A28" s="15" t="s">
        <v>1641</v>
      </c>
      <c r="B28" s="15" t="s">
        <v>300</v>
      </c>
      <c r="C28" s="15" t="s">
        <v>1642</v>
      </c>
      <c r="D28" s="15" t="s">
        <v>1643</v>
      </c>
      <c r="E28" s="15" t="s">
        <v>1644</v>
      </c>
      <c r="F28" s="15" t="s">
        <v>1645</v>
      </c>
      <c r="G28" s="15" t="s">
        <v>1541</v>
      </c>
    </row>
    <row r="29" customFormat="false" ht="39" hidden="false" customHeight="true" outlineLevel="0" collapsed="false">
      <c r="A29" s="15" t="s">
        <v>1646</v>
      </c>
      <c r="B29" s="15" t="s">
        <v>300</v>
      </c>
      <c r="C29" s="15" t="s">
        <v>1647</v>
      </c>
      <c r="D29" s="15" t="s">
        <v>1648</v>
      </c>
      <c r="E29" s="15" t="s">
        <v>1649</v>
      </c>
      <c r="F29" s="15" t="s">
        <v>1650</v>
      </c>
      <c r="G29" s="15" t="s">
        <v>1541</v>
      </c>
    </row>
    <row r="30" customFormat="false" ht="26.25" hidden="false" customHeight="true" outlineLevel="0" collapsed="false">
      <c r="A30" s="15" t="s">
        <v>1651</v>
      </c>
      <c r="B30" s="15" t="s">
        <v>1652</v>
      </c>
      <c r="C30" s="15" t="s">
        <v>1653</v>
      </c>
      <c r="D30" s="15" t="s">
        <v>1654</v>
      </c>
      <c r="E30" s="15" t="s">
        <v>1655</v>
      </c>
      <c r="F30" s="15" t="s">
        <v>1656</v>
      </c>
      <c r="G30" s="15" t="s">
        <v>1508</v>
      </c>
    </row>
    <row r="31" customFormat="false" ht="39" hidden="false" customHeight="true" outlineLevel="0" collapsed="false">
      <c r="A31" s="15" t="s">
        <v>1657</v>
      </c>
      <c r="B31" s="15" t="s">
        <v>1522</v>
      </c>
      <c r="C31" s="15" t="s">
        <v>1658</v>
      </c>
      <c r="D31" s="15" t="s">
        <v>1659</v>
      </c>
      <c r="E31" s="15"/>
      <c r="F31" s="15" t="s">
        <v>1660</v>
      </c>
      <c r="G31" s="15" t="s">
        <v>1541</v>
      </c>
    </row>
    <row r="32" customFormat="false" ht="15" hidden="false" customHeight="true" outlineLevel="0" collapsed="false">
      <c r="A32" s="15" t="s">
        <v>1661</v>
      </c>
      <c r="B32" s="15" t="s">
        <v>444</v>
      </c>
      <c r="C32" s="15" t="s">
        <v>1662</v>
      </c>
      <c r="D32" s="15" t="s">
        <v>1663</v>
      </c>
      <c r="E32" s="15"/>
      <c r="F32" s="15" t="s">
        <v>1664</v>
      </c>
      <c r="G32" s="15" t="s">
        <v>1508</v>
      </c>
    </row>
    <row r="33" customFormat="false" ht="26.25" hidden="false" customHeight="true" outlineLevel="0" collapsed="false">
      <c r="A33" s="15" t="s">
        <v>1665</v>
      </c>
      <c r="B33" s="15" t="s">
        <v>444</v>
      </c>
      <c r="C33" s="15" t="s">
        <v>1666</v>
      </c>
      <c r="D33" s="15" t="s">
        <v>1667</v>
      </c>
      <c r="E33" s="15" t="s">
        <v>1668</v>
      </c>
      <c r="F33" s="15" t="s">
        <v>1669</v>
      </c>
      <c r="G33" s="15" t="s">
        <v>1508</v>
      </c>
    </row>
    <row r="34" customFormat="false" ht="26.25" hidden="false" customHeight="true" outlineLevel="0" collapsed="false">
      <c r="A34" s="15" t="s">
        <v>1670</v>
      </c>
      <c r="B34" s="15" t="s">
        <v>1671</v>
      </c>
      <c r="C34" s="15" t="s">
        <v>1672</v>
      </c>
      <c r="D34" s="15" t="s">
        <v>1673</v>
      </c>
      <c r="E34" s="15" t="s">
        <v>1674</v>
      </c>
      <c r="F34" s="15" t="s">
        <v>1675</v>
      </c>
      <c r="G34" s="15" t="s">
        <v>1508</v>
      </c>
    </row>
    <row r="35" customFormat="false" ht="26.25" hidden="false" customHeight="true" outlineLevel="0" collapsed="false">
      <c r="A35" s="15" t="s">
        <v>1676</v>
      </c>
      <c r="B35" s="15" t="s">
        <v>327</v>
      </c>
      <c r="C35" s="15" t="s">
        <v>698</v>
      </c>
      <c r="D35" s="15" t="s">
        <v>1677</v>
      </c>
      <c r="E35" s="15"/>
      <c r="F35" s="15" t="s">
        <v>1678</v>
      </c>
      <c r="G35" s="15" t="s">
        <v>1508</v>
      </c>
    </row>
    <row r="36" customFormat="false" ht="26.25" hidden="false" customHeight="true" outlineLevel="0" collapsed="false">
      <c r="A36" s="15" t="s">
        <v>1679</v>
      </c>
      <c r="B36" s="15" t="s">
        <v>327</v>
      </c>
      <c r="C36" s="15" t="s">
        <v>1680</v>
      </c>
      <c r="D36" s="15" t="s">
        <v>1681</v>
      </c>
      <c r="E36" s="15" t="s">
        <v>1682</v>
      </c>
      <c r="F36" s="15" t="s">
        <v>1683</v>
      </c>
      <c r="G36" s="15" t="s">
        <v>1508</v>
      </c>
    </row>
    <row r="37" customFormat="false" ht="15" hidden="false" customHeight="true" outlineLevel="0" collapsed="false">
      <c r="A37" s="15" t="s">
        <v>1684</v>
      </c>
      <c r="B37" s="15" t="s">
        <v>399</v>
      </c>
      <c r="C37" s="15" t="s">
        <v>1685</v>
      </c>
      <c r="D37" s="15" t="s">
        <v>1686</v>
      </c>
      <c r="E37" s="15"/>
      <c r="F37" s="15" t="s">
        <v>1609</v>
      </c>
      <c r="G37" s="15" t="s">
        <v>1508</v>
      </c>
    </row>
    <row r="38" customFormat="false" ht="39" hidden="false" customHeight="true" outlineLevel="0" collapsed="false">
      <c r="A38" s="15" t="s">
        <v>1687</v>
      </c>
      <c r="B38" s="15" t="s">
        <v>1688</v>
      </c>
      <c r="C38" s="15" t="s">
        <v>1689</v>
      </c>
      <c r="D38" s="15" t="s">
        <v>1690</v>
      </c>
      <c r="E38" s="15" t="s">
        <v>1691</v>
      </c>
      <c r="F38" s="15" t="s">
        <v>1692</v>
      </c>
      <c r="G38" s="15" t="s">
        <v>1541</v>
      </c>
    </row>
    <row r="39" customFormat="false" ht="26.25" hidden="false" customHeight="true" outlineLevel="0" collapsed="false">
      <c r="A39" s="15" t="s">
        <v>1693</v>
      </c>
      <c r="B39" s="15" t="s">
        <v>1694</v>
      </c>
      <c r="C39" s="15" t="s">
        <v>1695</v>
      </c>
      <c r="D39" s="15" t="s">
        <v>1696</v>
      </c>
      <c r="E39" s="15" t="s">
        <v>1697</v>
      </c>
      <c r="F39" s="15" t="s">
        <v>1698</v>
      </c>
      <c r="G39" s="15" t="s">
        <v>1508</v>
      </c>
    </row>
    <row r="40" customFormat="false" ht="51.75" hidden="false" customHeight="true" outlineLevel="0" collapsed="false">
      <c r="A40" s="15" t="s">
        <v>1699</v>
      </c>
      <c r="B40" s="15" t="s">
        <v>1700</v>
      </c>
      <c r="C40" s="15" t="s">
        <v>518</v>
      </c>
      <c r="D40" s="15" t="s">
        <v>1701</v>
      </c>
      <c r="E40" s="15" t="s">
        <v>1702</v>
      </c>
      <c r="F40" s="15" t="s">
        <v>1703</v>
      </c>
      <c r="G40" s="15" t="s">
        <v>1541</v>
      </c>
    </row>
    <row r="41" customFormat="false" ht="77.25" hidden="false" customHeight="true" outlineLevel="0" collapsed="false">
      <c r="A41" s="15" t="s">
        <v>1704</v>
      </c>
      <c r="B41" s="15" t="s">
        <v>1705</v>
      </c>
      <c r="C41" s="15" t="s">
        <v>1706</v>
      </c>
      <c r="D41" s="15" t="s">
        <v>1707</v>
      </c>
      <c r="E41" s="15" t="s">
        <v>1708</v>
      </c>
      <c r="F41" s="15" t="s">
        <v>1709</v>
      </c>
      <c r="G41" s="15" t="s">
        <v>1508</v>
      </c>
    </row>
    <row r="42" customFormat="false" ht="39" hidden="false" customHeight="true" outlineLevel="0" collapsed="false">
      <c r="A42" s="15" t="s">
        <v>1710</v>
      </c>
      <c r="B42" s="15" t="s">
        <v>108</v>
      </c>
      <c r="C42" s="15" t="s">
        <v>1711</v>
      </c>
      <c r="D42" s="15" t="s">
        <v>1712</v>
      </c>
      <c r="E42" s="15" t="s">
        <v>1713</v>
      </c>
      <c r="F42" s="15" t="s">
        <v>1714</v>
      </c>
      <c r="G42" s="15" t="s">
        <v>1541</v>
      </c>
    </row>
    <row r="43" customFormat="false" ht="26.25" hidden="false" customHeight="true" outlineLevel="0" collapsed="false">
      <c r="A43" s="15" t="s">
        <v>1715</v>
      </c>
      <c r="B43" s="15" t="s">
        <v>1716</v>
      </c>
      <c r="C43" s="15" t="s">
        <v>1717</v>
      </c>
      <c r="D43" s="15" t="s">
        <v>1718</v>
      </c>
      <c r="E43" s="15"/>
      <c r="F43" s="15" t="s">
        <v>1609</v>
      </c>
      <c r="G43" s="15" t="s">
        <v>1508</v>
      </c>
    </row>
    <row r="44" customFormat="false" ht="39" hidden="false" customHeight="true" outlineLevel="0" collapsed="false">
      <c r="A44" s="15" t="s">
        <v>1719</v>
      </c>
      <c r="B44" s="15" t="s">
        <v>1720</v>
      </c>
      <c r="C44" s="15" t="s">
        <v>1721</v>
      </c>
      <c r="D44" s="15" t="s">
        <v>1722</v>
      </c>
      <c r="E44" s="15" t="s">
        <v>1723</v>
      </c>
      <c r="F44" s="15" t="s">
        <v>1724</v>
      </c>
      <c r="G44" s="15" t="s">
        <v>1541</v>
      </c>
    </row>
    <row r="45" customFormat="false" ht="26.25" hidden="false" customHeight="true" outlineLevel="0" collapsed="false">
      <c r="A45" s="15" t="s">
        <v>1725</v>
      </c>
      <c r="B45" s="15" t="s">
        <v>1726</v>
      </c>
      <c r="C45" s="15" t="s">
        <v>1727</v>
      </c>
      <c r="D45" s="15" t="s">
        <v>1728</v>
      </c>
      <c r="E45" s="15" t="s">
        <v>1729</v>
      </c>
      <c r="F45" s="15" t="s">
        <v>1730</v>
      </c>
      <c r="G45" s="15" t="s">
        <v>1541</v>
      </c>
    </row>
    <row r="46" customFormat="false" ht="39" hidden="false" customHeight="true" outlineLevel="0" collapsed="false">
      <c r="A46" s="15" t="s">
        <v>1731</v>
      </c>
      <c r="B46" s="15" t="s">
        <v>1732</v>
      </c>
      <c r="C46" s="15" t="s">
        <v>1672</v>
      </c>
      <c r="D46" s="15" t="s">
        <v>1733</v>
      </c>
      <c r="E46" s="15" t="s">
        <v>1734</v>
      </c>
      <c r="F46" s="15" t="s">
        <v>1735</v>
      </c>
      <c r="G46" s="15" t="s">
        <v>1508</v>
      </c>
    </row>
    <row r="47" customFormat="false" ht="90" hidden="false" customHeight="true" outlineLevel="0" collapsed="false">
      <c r="A47" s="15" t="s">
        <v>1736</v>
      </c>
      <c r="B47" s="15" t="s">
        <v>1737</v>
      </c>
      <c r="C47" s="15" t="s">
        <v>1738</v>
      </c>
      <c r="D47" s="15" t="s">
        <v>1739</v>
      </c>
      <c r="E47" s="15"/>
      <c r="F47" s="15" t="s">
        <v>1740</v>
      </c>
      <c r="G47" s="15" t="s">
        <v>1541</v>
      </c>
    </row>
    <row r="48" customFormat="false" ht="51.75" hidden="false" customHeight="true" outlineLevel="0" collapsed="false">
      <c r="A48" s="15" t="s">
        <v>1741</v>
      </c>
      <c r="B48" s="15" t="s">
        <v>1742</v>
      </c>
      <c r="C48" s="15" t="s">
        <v>1743</v>
      </c>
      <c r="D48" s="15" t="s">
        <v>1744</v>
      </c>
      <c r="E48" s="15" t="s">
        <v>1745</v>
      </c>
      <c r="F48" s="15" t="s">
        <v>1746</v>
      </c>
      <c r="G48" s="15" t="s">
        <v>1541</v>
      </c>
    </row>
    <row r="49" customFormat="false" ht="39" hidden="false" customHeight="true" outlineLevel="0" collapsed="false">
      <c r="A49" s="15" t="s">
        <v>1747</v>
      </c>
      <c r="B49" s="15" t="s">
        <v>1748</v>
      </c>
      <c r="C49" s="15" t="s">
        <v>1749</v>
      </c>
      <c r="D49" s="15" t="s">
        <v>1750</v>
      </c>
      <c r="E49" s="15" t="s">
        <v>1751</v>
      </c>
      <c r="F49" s="15" t="s">
        <v>1752</v>
      </c>
      <c r="G49" s="15" t="s">
        <v>1541</v>
      </c>
    </row>
    <row r="50" customFormat="false" ht="64.5" hidden="false" customHeight="true" outlineLevel="0" collapsed="false">
      <c r="A50" s="15" t="s">
        <v>1753</v>
      </c>
      <c r="B50" s="15" t="s">
        <v>1754</v>
      </c>
      <c r="C50" s="15" t="s">
        <v>1755</v>
      </c>
      <c r="D50" s="15" t="s">
        <v>1756</v>
      </c>
      <c r="E50" s="15" t="s">
        <v>1757</v>
      </c>
      <c r="F50" s="15" t="s">
        <v>1758</v>
      </c>
      <c r="G50" s="15" t="s">
        <v>1508</v>
      </c>
    </row>
    <row r="51" customFormat="false" ht="64.5" hidden="false" customHeight="true" outlineLevel="0" collapsed="false">
      <c r="A51" s="15" t="s">
        <v>1759</v>
      </c>
      <c r="B51" s="15" t="s">
        <v>1760</v>
      </c>
      <c r="C51" s="15" t="s">
        <v>1761</v>
      </c>
      <c r="D51" s="15" t="s">
        <v>1762</v>
      </c>
      <c r="E51" s="15" t="s">
        <v>1763</v>
      </c>
      <c r="F51" s="15" t="s">
        <v>1764</v>
      </c>
      <c r="G51" s="15" t="s">
        <v>1541</v>
      </c>
    </row>
    <row r="52" customFormat="false" ht="26.25" hidden="false" customHeight="true" outlineLevel="0" collapsed="false">
      <c r="A52" s="15" t="s">
        <v>1765</v>
      </c>
      <c r="B52" s="15" t="s">
        <v>1766</v>
      </c>
      <c r="C52" s="15" t="s">
        <v>1767</v>
      </c>
      <c r="D52" s="15" t="s">
        <v>1768</v>
      </c>
      <c r="E52" s="15" t="s">
        <v>1769</v>
      </c>
      <c r="F52" s="15" t="s">
        <v>1770</v>
      </c>
      <c r="G52" s="15" t="s">
        <v>1541</v>
      </c>
    </row>
    <row r="53" customFormat="false" ht="51.75" hidden="false" customHeight="true" outlineLevel="0" collapsed="false">
      <c r="A53" s="15" t="s">
        <v>1771</v>
      </c>
      <c r="B53" s="15" t="s">
        <v>1772</v>
      </c>
      <c r="C53" s="15" t="s">
        <v>1773</v>
      </c>
      <c r="D53" s="15" t="s">
        <v>1774</v>
      </c>
      <c r="E53" s="15" t="s">
        <v>1775</v>
      </c>
      <c r="F53" s="15" t="s">
        <v>1776</v>
      </c>
      <c r="G53" s="15" t="s">
        <v>1541</v>
      </c>
    </row>
    <row r="54" customFormat="false" ht="26.25" hidden="false" customHeight="true" outlineLevel="0" collapsed="false">
      <c r="A54" s="15" t="s">
        <v>1777</v>
      </c>
      <c r="B54" s="15" t="s">
        <v>1772</v>
      </c>
      <c r="C54" s="15" t="s">
        <v>1778</v>
      </c>
      <c r="D54" s="15" t="s">
        <v>1779</v>
      </c>
      <c r="E54" s="15" t="s">
        <v>1780</v>
      </c>
      <c r="F54" s="15" t="s">
        <v>1781</v>
      </c>
      <c r="G54" s="15" t="s">
        <v>1541</v>
      </c>
    </row>
    <row r="55" customFormat="false" ht="15" hidden="false" customHeight="true" outlineLevel="0" collapsed="false">
      <c r="A55" s="15" t="s">
        <v>1782</v>
      </c>
      <c r="B55" s="15" t="s">
        <v>399</v>
      </c>
      <c r="C55" s="15" t="s">
        <v>1783</v>
      </c>
      <c r="D55" s="15" t="s">
        <v>1784</v>
      </c>
      <c r="E55" s="15"/>
      <c r="F55" s="15" t="s">
        <v>1785</v>
      </c>
      <c r="G55" s="15" t="s">
        <v>1541</v>
      </c>
    </row>
    <row r="56" customFormat="false" ht="26.25" hidden="false" customHeight="true" outlineLevel="0" collapsed="false">
      <c r="A56" s="15" t="s">
        <v>1786</v>
      </c>
      <c r="B56" s="15" t="s">
        <v>1787</v>
      </c>
      <c r="C56" s="15" t="s">
        <v>1788</v>
      </c>
      <c r="D56" s="15" t="s">
        <v>1789</v>
      </c>
      <c r="E56" s="15"/>
      <c r="F56" s="15" t="s">
        <v>1790</v>
      </c>
      <c r="G56" s="15" t="s">
        <v>1541</v>
      </c>
    </row>
    <row r="57" customFormat="false" ht="26.25" hidden="false" customHeight="true" outlineLevel="0" collapsed="false">
      <c r="A57" s="15" t="s">
        <v>1791</v>
      </c>
      <c r="B57" s="15" t="s">
        <v>399</v>
      </c>
      <c r="C57" s="15" t="s">
        <v>1792</v>
      </c>
      <c r="D57" s="15" t="s">
        <v>1793</v>
      </c>
      <c r="E57" s="15" t="s">
        <v>1794</v>
      </c>
      <c r="F57" s="15" t="s">
        <v>1795</v>
      </c>
      <c r="G57" s="15" t="s">
        <v>1508</v>
      </c>
    </row>
    <row r="58" customFormat="false" ht="15" hidden="false" customHeight="true" outlineLevel="0" collapsed="false">
      <c r="A58" s="15" t="s">
        <v>1796</v>
      </c>
      <c r="B58" s="15" t="s">
        <v>399</v>
      </c>
      <c r="C58" s="15" t="s">
        <v>1797</v>
      </c>
      <c r="D58" s="15" t="s">
        <v>1798</v>
      </c>
      <c r="E58" s="15" t="s">
        <v>1799</v>
      </c>
      <c r="F58" s="15" t="s">
        <v>1800</v>
      </c>
      <c r="G58" s="15" t="s">
        <v>1541</v>
      </c>
    </row>
    <row r="59" customFormat="false" ht="26.25" hidden="false" customHeight="true" outlineLevel="0" collapsed="false">
      <c r="A59" s="15" t="s">
        <v>1801</v>
      </c>
      <c r="B59" s="15" t="s">
        <v>1766</v>
      </c>
      <c r="C59" s="15" t="s">
        <v>1623</v>
      </c>
      <c r="D59" s="15" t="s">
        <v>1802</v>
      </c>
      <c r="E59" s="15"/>
      <c r="F59" s="15" t="s">
        <v>1609</v>
      </c>
      <c r="G59" s="15" t="s">
        <v>1508</v>
      </c>
    </row>
    <row r="60" customFormat="false" ht="26.25" hidden="false" customHeight="true" outlineLevel="0" collapsed="false">
      <c r="A60" s="15" t="s">
        <v>1803</v>
      </c>
      <c r="B60" s="15" t="s">
        <v>1766</v>
      </c>
      <c r="C60" s="15" t="s">
        <v>1804</v>
      </c>
      <c r="D60" s="15" t="s">
        <v>1805</v>
      </c>
      <c r="E60" s="15" t="s">
        <v>1806</v>
      </c>
      <c r="F60" s="15" t="s">
        <v>1807</v>
      </c>
      <c r="G60" s="15" t="s">
        <v>1508</v>
      </c>
    </row>
    <row r="61" customFormat="false" ht="51.75" hidden="false" customHeight="true" outlineLevel="0" collapsed="false">
      <c r="A61" s="15" t="s">
        <v>1808</v>
      </c>
      <c r="B61" s="15" t="s">
        <v>424</v>
      </c>
      <c r="C61" s="15" t="s">
        <v>1809</v>
      </c>
      <c r="D61" s="15" t="s">
        <v>1810</v>
      </c>
      <c r="E61" s="15" t="s">
        <v>1811</v>
      </c>
      <c r="F61" s="15" t="s">
        <v>1812</v>
      </c>
      <c r="G61" s="15" t="s">
        <v>1541</v>
      </c>
    </row>
    <row r="62" customFormat="false" ht="26.25" hidden="false" customHeight="true" outlineLevel="0" collapsed="false">
      <c r="A62" s="15" t="s">
        <v>1813</v>
      </c>
      <c r="B62" s="15" t="s">
        <v>424</v>
      </c>
      <c r="C62" s="15" t="s">
        <v>1814</v>
      </c>
      <c r="D62" s="15" t="s">
        <v>1815</v>
      </c>
      <c r="E62" s="15" t="s">
        <v>1816</v>
      </c>
      <c r="F62" s="15" t="s">
        <v>1817</v>
      </c>
      <c r="G62" s="15" t="s">
        <v>1541</v>
      </c>
    </row>
    <row r="63" customFormat="false" ht="39" hidden="false" customHeight="true" outlineLevel="0" collapsed="false">
      <c r="A63" s="15" t="s">
        <v>1818</v>
      </c>
      <c r="B63" s="15" t="s">
        <v>1522</v>
      </c>
      <c r="C63" s="15" t="s">
        <v>1819</v>
      </c>
      <c r="D63" s="15" t="s">
        <v>1820</v>
      </c>
      <c r="E63" s="15" t="s">
        <v>1821</v>
      </c>
      <c r="F63" s="15" t="s">
        <v>1822</v>
      </c>
      <c r="G63" s="15" t="s">
        <v>1508</v>
      </c>
    </row>
    <row r="64" customFormat="false" ht="26.25" hidden="false" customHeight="true" outlineLevel="0" collapsed="false">
      <c r="A64" s="15" t="s">
        <v>1823</v>
      </c>
      <c r="B64" s="15" t="s">
        <v>1824</v>
      </c>
      <c r="C64" s="15" t="s">
        <v>1825</v>
      </c>
      <c r="D64" s="15" t="s">
        <v>1826</v>
      </c>
      <c r="E64" s="15" t="s">
        <v>1827</v>
      </c>
      <c r="F64" s="15" t="s">
        <v>1828</v>
      </c>
      <c r="G64" s="15" t="s">
        <v>1541</v>
      </c>
    </row>
    <row r="65" customFormat="false" ht="26.25" hidden="false" customHeight="true" outlineLevel="0" collapsed="false">
      <c r="A65" s="15" t="s">
        <v>1829</v>
      </c>
      <c r="B65" s="15" t="s">
        <v>255</v>
      </c>
      <c r="C65" s="15" t="s">
        <v>1830</v>
      </c>
      <c r="D65" s="15" t="s">
        <v>1831</v>
      </c>
      <c r="E65" s="15" t="s">
        <v>1832</v>
      </c>
      <c r="F65" s="15" t="s">
        <v>1833</v>
      </c>
      <c r="G65" s="15" t="s">
        <v>1541</v>
      </c>
    </row>
    <row r="66" customFormat="false" ht="26.25" hidden="false" customHeight="true" outlineLevel="0" collapsed="false">
      <c r="A66" s="15" t="s">
        <v>1834</v>
      </c>
      <c r="B66" s="15" t="s">
        <v>255</v>
      </c>
      <c r="C66" s="15" t="s">
        <v>1835</v>
      </c>
      <c r="D66" s="15" t="s">
        <v>1836</v>
      </c>
      <c r="E66" s="15" t="s">
        <v>1837</v>
      </c>
      <c r="F66" s="15" t="s">
        <v>1838</v>
      </c>
      <c r="G66" s="15" t="s">
        <v>1541</v>
      </c>
    </row>
    <row r="67" customFormat="false" ht="15" hidden="false" customHeight="true" outlineLevel="0" collapsed="false">
      <c r="A67" s="15" t="s">
        <v>1839</v>
      </c>
      <c r="B67" s="15" t="s">
        <v>255</v>
      </c>
      <c r="C67" s="15" t="s">
        <v>1788</v>
      </c>
      <c r="D67" s="15" t="s">
        <v>1840</v>
      </c>
      <c r="E67" s="15"/>
      <c r="F67" s="15" t="s">
        <v>1841</v>
      </c>
      <c r="G67" s="15" t="s">
        <v>1508</v>
      </c>
    </row>
    <row r="68" customFormat="false" ht="15" hidden="false" customHeight="true" outlineLevel="0" collapsed="false">
      <c r="A68" s="15" t="s">
        <v>1842</v>
      </c>
      <c r="B68" s="15" t="s">
        <v>255</v>
      </c>
      <c r="C68" s="15" t="s">
        <v>1843</v>
      </c>
      <c r="D68" s="15" t="s">
        <v>1844</v>
      </c>
      <c r="E68" s="15"/>
      <c r="F68" s="15" t="s">
        <v>1845</v>
      </c>
      <c r="G68" s="15" t="s">
        <v>1508</v>
      </c>
    </row>
    <row r="69" customFormat="false" ht="26.25" hidden="false" customHeight="true" outlineLevel="0" collapsed="false">
      <c r="A69" s="15" t="s">
        <v>1846</v>
      </c>
      <c r="B69" s="15" t="s">
        <v>255</v>
      </c>
      <c r="C69" s="15" t="s">
        <v>1847</v>
      </c>
      <c r="D69" s="15" t="s">
        <v>1848</v>
      </c>
      <c r="E69" s="15" t="s">
        <v>1849</v>
      </c>
      <c r="F69" s="15" t="s">
        <v>1850</v>
      </c>
      <c r="G69" s="15" t="s">
        <v>1541</v>
      </c>
    </row>
    <row r="70" customFormat="false" ht="26.25" hidden="false" customHeight="true" outlineLevel="0" collapsed="false">
      <c r="A70" s="15" t="s">
        <v>1851</v>
      </c>
      <c r="B70" s="15" t="s">
        <v>1522</v>
      </c>
      <c r="C70" s="15" t="s">
        <v>1852</v>
      </c>
      <c r="D70" s="15" t="s">
        <v>1853</v>
      </c>
      <c r="E70" s="15" t="s">
        <v>1854</v>
      </c>
      <c r="F70" s="15" t="s">
        <v>1855</v>
      </c>
      <c r="G70" s="15" t="s">
        <v>1541</v>
      </c>
    </row>
    <row r="71" customFormat="false" ht="15" hidden="false" customHeight="true" outlineLevel="0" collapsed="false">
      <c r="A71" s="15" t="s">
        <v>1856</v>
      </c>
      <c r="B71" s="15" t="s">
        <v>1522</v>
      </c>
      <c r="C71" s="15" t="s">
        <v>1585</v>
      </c>
      <c r="D71" s="15" t="s">
        <v>1857</v>
      </c>
      <c r="E71" s="15"/>
      <c r="F71" s="15" t="s">
        <v>1858</v>
      </c>
      <c r="G71" s="15" t="s">
        <v>1508</v>
      </c>
    </row>
    <row r="72" customFormat="false" ht="26.25" hidden="false" customHeight="true" outlineLevel="0" collapsed="false">
      <c r="A72" s="15" t="s">
        <v>1859</v>
      </c>
      <c r="B72" s="15" t="s">
        <v>1522</v>
      </c>
      <c r="C72" s="15" t="s">
        <v>1860</v>
      </c>
      <c r="D72" s="15" t="s">
        <v>1861</v>
      </c>
      <c r="E72" s="15"/>
      <c r="F72" s="15" t="s">
        <v>1862</v>
      </c>
      <c r="G72" s="15" t="s">
        <v>1541</v>
      </c>
    </row>
    <row r="73" customFormat="false" ht="26.25" hidden="false" customHeight="true" outlineLevel="0" collapsed="false">
      <c r="A73" s="15" t="s">
        <v>1863</v>
      </c>
      <c r="B73" s="15" t="s">
        <v>1522</v>
      </c>
      <c r="C73" s="15" t="s">
        <v>1864</v>
      </c>
      <c r="D73" s="15" t="s">
        <v>1865</v>
      </c>
      <c r="E73" s="15"/>
      <c r="F73" s="15" t="s">
        <v>1866</v>
      </c>
      <c r="G73" s="15" t="s">
        <v>1541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60"/>
  </cols>
  <sheetData>
    <row r="1" customFormat="false" ht="31.5" hidden="false" customHeight="true" outlineLevel="0" collapsed="false">
      <c r="A1" s="10" t="s">
        <v>1867</v>
      </c>
      <c r="B1" s="10" t="s">
        <v>713</v>
      </c>
      <c r="C1" s="10" t="s">
        <v>1868</v>
      </c>
    </row>
    <row r="2" customFormat="false" ht="15" hidden="false" customHeight="true" outlineLevel="0" collapsed="false">
      <c r="A2" s="15" t="s">
        <v>739</v>
      </c>
      <c r="B2" s="15" t="s">
        <v>738</v>
      </c>
      <c r="C2" s="15" t="s">
        <v>1869</v>
      </c>
    </row>
    <row r="3" customFormat="false" ht="15" hidden="false" customHeight="true" outlineLevel="0" collapsed="false">
      <c r="A3" s="15" t="s">
        <v>719</v>
      </c>
      <c r="B3" s="15" t="s">
        <v>720</v>
      </c>
      <c r="C3" s="15" t="s">
        <v>1870</v>
      </c>
    </row>
    <row r="4" customFormat="false" ht="15" hidden="false" customHeight="true" outlineLevel="0" collapsed="false">
      <c r="A4" s="15" t="s">
        <v>984</v>
      </c>
      <c r="B4" s="15" t="s">
        <v>1871</v>
      </c>
      <c r="C4" s="15" t="s">
        <v>1872</v>
      </c>
    </row>
    <row r="5" customFormat="false" ht="15" hidden="false" customHeight="true" outlineLevel="0" collapsed="false">
      <c r="A5" s="15" t="s">
        <v>98</v>
      </c>
      <c r="B5" s="15" t="s">
        <v>1873</v>
      </c>
      <c r="C5" s="15" t="s">
        <v>1874</v>
      </c>
    </row>
    <row r="6" customFormat="false" ht="15" hidden="false" customHeight="true" outlineLevel="0" collapsed="false">
      <c r="A6" s="15" t="s">
        <v>833</v>
      </c>
      <c r="B6" s="15" t="s">
        <v>1873</v>
      </c>
      <c r="C6" s="15" t="s">
        <v>1875</v>
      </c>
    </row>
    <row r="7" customFormat="false" ht="15" hidden="false" customHeight="true" outlineLevel="0" collapsed="false">
      <c r="A7" s="15" t="s">
        <v>722</v>
      </c>
      <c r="B7" s="15" t="s">
        <v>723</v>
      </c>
      <c r="C7" s="15" t="s">
        <v>1876</v>
      </c>
    </row>
    <row r="8" customFormat="false" ht="15" hidden="false" customHeight="true" outlineLevel="0" collapsed="false">
      <c r="A8" s="15" t="s">
        <v>724</v>
      </c>
      <c r="B8" s="15" t="s">
        <v>723</v>
      </c>
      <c r="C8" s="15" t="s">
        <v>1877</v>
      </c>
    </row>
    <row r="9" customFormat="false" ht="15" hidden="false" customHeight="true" outlineLevel="0" collapsed="false">
      <c r="A9" s="15" t="s">
        <v>84</v>
      </c>
      <c r="B9" s="15" t="s">
        <v>725</v>
      </c>
      <c r="C9" s="15" t="s">
        <v>1878</v>
      </c>
    </row>
    <row r="10" customFormat="false" ht="15" hidden="false" customHeight="true" outlineLevel="0" collapsed="false">
      <c r="A10" s="15" t="s">
        <v>86</v>
      </c>
      <c r="B10" s="15" t="s">
        <v>721</v>
      </c>
      <c r="C10" s="15" t="s">
        <v>1879</v>
      </c>
    </row>
    <row r="11" customFormat="false" ht="15" hidden="false" customHeight="true" outlineLevel="0" collapsed="false">
      <c r="A11" s="15" t="s">
        <v>749</v>
      </c>
      <c r="B11" s="15" t="s">
        <v>1873</v>
      </c>
      <c r="C11" s="15" t="s">
        <v>1880</v>
      </c>
    </row>
    <row r="12" customFormat="false" ht="15" hidden="false" customHeight="true" outlineLevel="0" collapsed="false">
      <c r="A12" s="15" t="s">
        <v>1881</v>
      </c>
      <c r="B12" s="15" t="s">
        <v>1882</v>
      </c>
      <c r="C12" s="15" t="s">
        <v>1883</v>
      </c>
    </row>
    <row r="13" customFormat="false" ht="15" hidden="false" customHeight="true" outlineLevel="0" collapsed="false">
      <c r="A13" s="15" t="s">
        <v>90</v>
      </c>
      <c r="B13" s="15" t="s">
        <v>1873</v>
      </c>
      <c r="C13" s="15" t="s">
        <v>1884</v>
      </c>
    </row>
    <row r="14" customFormat="false" ht="15" hidden="false" customHeight="true" outlineLevel="0" collapsed="false">
      <c r="A14" s="15" t="s">
        <v>754</v>
      </c>
      <c r="B14" s="15" t="s">
        <v>1871</v>
      </c>
      <c r="C14" s="15" t="s">
        <v>1885</v>
      </c>
    </row>
    <row r="15" customFormat="false" ht="15" hidden="false" customHeight="true" outlineLevel="0" collapsed="false">
      <c r="A15" s="15" t="s">
        <v>1093</v>
      </c>
      <c r="B15" s="15" t="s">
        <v>1871</v>
      </c>
      <c r="C15" s="15" t="s">
        <v>1886</v>
      </c>
    </row>
    <row r="16" customFormat="false" ht="15" hidden="false" customHeight="true" outlineLevel="0" collapsed="false">
      <c r="A16" s="15" t="s">
        <v>743</v>
      </c>
      <c r="B16" s="15" t="s">
        <v>1873</v>
      </c>
      <c r="C16" s="15" t="s">
        <v>1887</v>
      </c>
    </row>
    <row r="17" customFormat="false" ht="15" hidden="false" customHeight="true" outlineLevel="0" collapsed="false">
      <c r="A17" s="15" t="s">
        <v>737</v>
      </c>
      <c r="B17" s="15" t="s">
        <v>738</v>
      </c>
      <c r="C17" s="15" t="s">
        <v>1888</v>
      </c>
    </row>
    <row r="18" customFormat="false" ht="15" hidden="false" customHeight="true" outlineLevel="0" collapsed="false">
      <c r="A18" s="15" t="s">
        <v>822</v>
      </c>
      <c r="B18" s="15" t="s">
        <v>1873</v>
      </c>
      <c r="C18" s="15" t="s">
        <v>1889</v>
      </c>
    </row>
    <row r="19" customFormat="false" ht="15" hidden="false" customHeight="true" outlineLevel="0" collapsed="false">
      <c r="A19" s="15" t="s">
        <v>714</v>
      </c>
      <c r="B19" s="15" t="s">
        <v>715</v>
      </c>
      <c r="C19" s="15" t="s">
        <v>1890</v>
      </c>
    </row>
    <row r="20" customFormat="false" ht="15" hidden="false" customHeight="true" outlineLevel="0" collapsed="false">
      <c r="A20" s="15" t="s">
        <v>718</v>
      </c>
      <c r="B20" s="15" t="s">
        <v>1873</v>
      </c>
      <c r="C20" s="15" t="s">
        <v>1891</v>
      </c>
    </row>
    <row r="21" customFormat="false" ht="26.25" hidden="false" customHeight="true" outlineLevel="0" collapsed="false">
      <c r="A21" s="15" t="s">
        <v>740</v>
      </c>
      <c r="B21" s="15" t="s">
        <v>741</v>
      </c>
      <c r="C21" s="15" t="s">
        <v>1892</v>
      </c>
    </row>
    <row r="22" customFormat="false" ht="15" hidden="false" customHeight="true" outlineLevel="0" collapsed="false">
      <c r="A22" s="15" t="s">
        <v>742</v>
      </c>
      <c r="B22" s="15" t="s">
        <v>741</v>
      </c>
      <c r="C22" s="15" t="s">
        <v>1893</v>
      </c>
    </row>
    <row r="23" customFormat="false" ht="15" hidden="false" customHeight="true" outlineLevel="0" collapsed="false">
      <c r="A23" s="15" t="s">
        <v>745</v>
      </c>
      <c r="B23" s="15" t="s">
        <v>1873</v>
      </c>
      <c r="C23" s="15" t="s">
        <v>1894</v>
      </c>
    </row>
    <row r="24" customFormat="false" ht="15" hidden="false" customHeight="true" outlineLevel="0" collapsed="false">
      <c r="A24" s="15" t="s">
        <v>747</v>
      </c>
      <c r="B24" s="15" t="s">
        <v>1873</v>
      </c>
      <c r="C24" s="15" t="s">
        <v>1895</v>
      </c>
    </row>
    <row r="25" customFormat="false" ht="15" hidden="false" customHeight="true" outlineLevel="0" collapsed="false">
      <c r="A25" s="15" t="s">
        <v>752</v>
      </c>
      <c r="B25" s="15" t="s">
        <v>1873</v>
      </c>
      <c r="C25" s="15" t="s">
        <v>1896</v>
      </c>
    </row>
    <row r="26" customFormat="false" ht="15" hidden="false" customHeight="true" outlineLevel="0" collapsed="false">
      <c r="A26" s="15" t="s">
        <v>756</v>
      </c>
      <c r="B26" s="15" t="s">
        <v>1873</v>
      </c>
      <c r="C26" s="15" t="s">
        <v>1897</v>
      </c>
    </row>
    <row r="27" customFormat="false" ht="15" hidden="false" customHeight="true" outlineLevel="0" collapsed="false">
      <c r="A27" s="15" t="s">
        <v>757</v>
      </c>
      <c r="B27" s="15" t="s">
        <v>1873</v>
      </c>
      <c r="C27" s="15" t="s">
        <v>1898</v>
      </c>
    </row>
    <row r="28" customFormat="false" ht="15" hidden="false" customHeight="true" outlineLevel="0" collapsed="false">
      <c r="A28" s="15" t="s">
        <v>759</v>
      </c>
      <c r="B28" s="15" t="s">
        <v>1873</v>
      </c>
      <c r="C28" s="15" t="s">
        <v>1899</v>
      </c>
    </row>
    <row r="29" customFormat="false" ht="15" hidden="false" customHeight="true" outlineLevel="0" collapsed="false">
      <c r="A29" s="15" t="s">
        <v>761</v>
      </c>
      <c r="B29" s="15" t="s">
        <v>1871</v>
      </c>
      <c r="C29" s="15" t="s">
        <v>1900</v>
      </c>
    </row>
    <row r="30" customFormat="false" ht="15" hidden="false" customHeight="true" outlineLevel="0" collapsed="false">
      <c r="A30" s="15" t="s">
        <v>762</v>
      </c>
      <c r="B30" s="15" t="s">
        <v>1871</v>
      </c>
      <c r="C30" s="15" t="s">
        <v>1901</v>
      </c>
    </row>
    <row r="31" customFormat="false" ht="15" hidden="false" customHeight="true" outlineLevel="0" collapsed="false">
      <c r="A31" s="15" t="s">
        <v>92</v>
      </c>
      <c r="B31" s="15" t="s">
        <v>1871</v>
      </c>
      <c r="C31" s="15" t="s">
        <v>1902</v>
      </c>
    </row>
    <row r="32" customFormat="false" ht="15" hidden="false" customHeight="true" outlineLevel="0" collapsed="false">
      <c r="A32" s="15" t="s">
        <v>763</v>
      </c>
      <c r="B32" s="15" t="s">
        <v>1873</v>
      </c>
      <c r="C32" s="15" t="s">
        <v>1903</v>
      </c>
    </row>
    <row r="33" customFormat="false" ht="15" hidden="false" customHeight="true" outlineLevel="0" collapsed="false">
      <c r="A33" s="15" t="s">
        <v>764</v>
      </c>
      <c r="B33" s="15" t="s">
        <v>1871</v>
      </c>
      <c r="C33" s="15" t="s">
        <v>1904</v>
      </c>
    </row>
    <row r="34" customFormat="false" ht="15" hidden="false" customHeight="true" outlineLevel="0" collapsed="false">
      <c r="A34" s="15" t="s">
        <v>765</v>
      </c>
      <c r="B34" s="15" t="s">
        <v>1873</v>
      </c>
      <c r="C34" s="15" t="s">
        <v>1905</v>
      </c>
    </row>
    <row r="35" customFormat="false" ht="15" hidden="false" customHeight="true" outlineLevel="0" collapsed="false">
      <c r="A35" s="15" t="s">
        <v>767</v>
      </c>
      <c r="B35" s="15" t="s">
        <v>1873</v>
      </c>
      <c r="C35" s="15" t="s">
        <v>1906</v>
      </c>
    </row>
    <row r="36" customFormat="false" ht="15" hidden="false" customHeight="true" outlineLevel="0" collapsed="false">
      <c r="A36" s="15" t="s">
        <v>726</v>
      </c>
      <c r="B36" s="15" t="s">
        <v>725</v>
      </c>
      <c r="C36" s="15"/>
    </row>
    <row r="37" customFormat="false" ht="15" hidden="false" customHeight="true" outlineLevel="0" collapsed="false">
      <c r="A37" s="15" t="s">
        <v>727</v>
      </c>
      <c r="B37" s="15" t="s">
        <v>725</v>
      </c>
      <c r="C37" s="15"/>
    </row>
    <row r="38" customFormat="false" ht="15" hidden="false" customHeight="true" outlineLevel="0" collapsed="false">
      <c r="A38" s="15" t="s">
        <v>728</v>
      </c>
      <c r="B38" s="15" t="s">
        <v>725</v>
      </c>
      <c r="C38" s="15"/>
    </row>
    <row r="39" customFormat="false" ht="15" hidden="false" customHeight="true" outlineLevel="0" collapsed="false">
      <c r="A39" s="15" t="s">
        <v>729</v>
      </c>
      <c r="B39" s="15" t="s">
        <v>725</v>
      </c>
      <c r="C39" s="15"/>
    </row>
    <row r="40" customFormat="false" ht="15" hidden="false" customHeight="true" outlineLevel="0" collapsed="false">
      <c r="A40" s="15" t="s">
        <v>730</v>
      </c>
      <c r="B40" s="15" t="s">
        <v>731</v>
      </c>
      <c r="C40" s="15"/>
    </row>
    <row r="41" customFormat="false" ht="15" hidden="false" customHeight="true" outlineLevel="0" collapsed="false">
      <c r="A41" s="15" t="s">
        <v>811</v>
      </c>
      <c r="B41" s="15" t="s">
        <v>812</v>
      </c>
      <c r="C41" s="15" t="s">
        <v>1907</v>
      </c>
    </row>
    <row r="42" customFormat="false" ht="15" hidden="false" customHeight="true" outlineLevel="0" collapsed="false">
      <c r="A42" s="15" t="s">
        <v>875</v>
      </c>
      <c r="B42" s="15" t="s">
        <v>738</v>
      </c>
      <c r="C42" s="15" t="s">
        <v>1908</v>
      </c>
    </row>
    <row r="43" customFormat="false" ht="15" hidden="false" customHeight="true" outlineLevel="0" collapsed="false">
      <c r="A43" s="15" t="s">
        <v>900</v>
      </c>
      <c r="B43" s="15" t="s">
        <v>720</v>
      </c>
      <c r="C43" s="15" t="s">
        <v>1909</v>
      </c>
    </row>
    <row r="44" customFormat="false" ht="15" hidden="false" customHeight="true" outlineLevel="0" collapsed="false">
      <c r="A44" s="15" t="s">
        <v>939</v>
      </c>
      <c r="B44" s="15" t="s">
        <v>720</v>
      </c>
      <c r="C44" s="15" t="s">
        <v>1910</v>
      </c>
    </row>
    <row r="45" customFormat="false" ht="26.25" hidden="false" customHeight="true" outlineLevel="0" collapsed="false">
      <c r="A45" s="15" t="s">
        <v>1087</v>
      </c>
      <c r="B45" s="15" t="s">
        <v>741</v>
      </c>
      <c r="C45" s="15" t="s">
        <v>1911</v>
      </c>
    </row>
    <row r="46" customFormat="false" ht="15" hidden="false" customHeight="true" outlineLevel="0" collapsed="false">
      <c r="A46" s="15" t="s">
        <v>1084</v>
      </c>
      <c r="B46" s="15" t="s">
        <v>812</v>
      </c>
      <c r="C46" s="15" t="s">
        <v>1912</v>
      </c>
    </row>
    <row r="47" customFormat="false" ht="15" hidden="false" customHeight="true" outlineLevel="0" collapsed="false">
      <c r="A47" s="15" t="s">
        <v>1080</v>
      </c>
      <c r="B47" s="15" t="s">
        <v>1873</v>
      </c>
      <c r="C47" s="15" t="s">
        <v>1913</v>
      </c>
    </row>
    <row r="48" customFormat="false" ht="15" hidden="false" customHeight="true" outlineLevel="0" collapsed="false">
      <c r="A48" s="15" t="s">
        <v>973</v>
      </c>
      <c r="B48" s="15" t="s">
        <v>1871</v>
      </c>
      <c r="C48" s="15"/>
    </row>
    <row r="49" customFormat="false" ht="26.25" hidden="false" customHeight="true" outlineLevel="0" collapsed="false">
      <c r="A49" s="15" t="s">
        <v>1213</v>
      </c>
      <c r="B49" s="15" t="s">
        <v>1214</v>
      </c>
      <c r="C49" s="15" t="s">
        <v>1914</v>
      </c>
    </row>
    <row r="50" customFormat="false" ht="15" hidden="false" customHeight="true" outlineLevel="0" collapsed="false">
      <c r="A50" s="15" t="s">
        <v>1160</v>
      </c>
      <c r="B50" s="15" t="s">
        <v>1873</v>
      </c>
      <c r="C50" s="15" t="s">
        <v>1915</v>
      </c>
    </row>
    <row r="51" customFormat="false" ht="15" hidden="false" customHeight="true" outlineLevel="0" collapsed="false">
      <c r="A51" s="15" t="s">
        <v>1164</v>
      </c>
      <c r="B51" s="15" t="s">
        <v>1873</v>
      </c>
      <c r="C51" s="15" t="s">
        <v>1916</v>
      </c>
    </row>
    <row r="52" customFormat="false" ht="15" hidden="false" customHeight="true" outlineLevel="0" collapsed="false">
      <c r="A52" s="15" t="s">
        <v>1167</v>
      </c>
      <c r="B52" s="15" t="s">
        <v>1873</v>
      </c>
      <c r="C52" s="15" t="s">
        <v>1917</v>
      </c>
    </row>
    <row r="53" customFormat="false" ht="15" hidden="false" customHeight="true" outlineLevel="0" collapsed="false">
      <c r="A53" s="15" t="s">
        <v>1170</v>
      </c>
      <c r="B53" s="15" t="s">
        <v>1873</v>
      </c>
      <c r="C53" s="15" t="s">
        <v>1918</v>
      </c>
    </row>
    <row r="54" customFormat="false" ht="15" hidden="false" customHeight="true" outlineLevel="0" collapsed="false">
      <c r="A54" s="15" t="s">
        <v>1181</v>
      </c>
      <c r="B54" s="15" t="s">
        <v>1873</v>
      </c>
      <c r="C54" s="15" t="s">
        <v>1919</v>
      </c>
    </row>
    <row r="55" customFormat="false" ht="15" hidden="false" customHeight="true" outlineLevel="0" collapsed="false">
      <c r="A55" s="15" t="s">
        <v>789</v>
      </c>
      <c r="B55" s="15" t="s">
        <v>1873</v>
      </c>
      <c r="C55" s="15" t="s">
        <v>1920</v>
      </c>
    </row>
    <row r="56" customFormat="false" ht="15" hidden="false" customHeight="true" outlineLevel="0" collapsed="false">
      <c r="A56" s="15" t="s">
        <v>785</v>
      </c>
      <c r="B56" s="15" t="s">
        <v>786</v>
      </c>
      <c r="C56" s="15"/>
    </row>
    <row r="57" customFormat="false" ht="15" hidden="false" customHeight="true" outlineLevel="0" collapsed="false">
      <c r="A57" s="15" t="s">
        <v>787</v>
      </c>
      <c r="B57" s="15" t="s">
        <v>1873</v>
      </c>
      <c r="C57" s="15"/>
    </row>
    <row r="58" customFormat="false" ht="26.25" hidden="false" customHeight="true" outlineLevel="0" collapsed="false">
      <c r="A58" s="15" t="s">
        <v>784</v>
      </c>
      <c r="B58" s="15" t="s">
        <v>738</v>
      </c>
      <c r="C58" s="15" t="s">
        <v>1921</v>
      </c>
    </row>
    <row r="59" customFormat="false" ht="15" hidden="false" customHeight="true" outlineLevel="0" collapsed="false">
      <c r="A59" s="15" t="s">
        <v>780</v>
      </c>
      <c r="B59" s="15" t="s">
        <v>1873</v>
      </c>
      <c r="C59" s="15" t="s">
        <v>1922</v>
      </c>
    </row>
    <row r="60" customFormat="false" ht="15" hidden="false" customHeight="true" outlineLevel="0" collapsed="false">
      <c r="A60" s="15" t="s">
        <v>791</v>
      </c>
      <c r="B60" s="15" t="s">
        <v>1873</v>
      </c>
      <c r="C60" s="15"/>
    </row>
    <row r="61" customFormat="false" ht="15" hidden="false" customHeight="true" outlineLevel="0" collapsed="false">
      <c r="A61" s="15" t="s">
        <v>782</v>
      </c>
      <c r="B61" s="15" t="s">
        <v>783</v>
      </c>
      <c r="C61" s="15"/>
    </row>
    <row r="62" customFormat="false" ht="15" hidden="false" customHeight="true" outlineLevel="0" collapsed="false">
      <c r="A62" s="15" t="s">
        <v>776</v>
      </c>
      <c r="B62" s="15" t="s">
        <v>1873</v>
      </c>
      <c r="C62" s="15"/>
    </row>
    <row r="63" customFormat="false" ht="26.25" hidden="false" customHeight="true" outlineLevel="0" collapsed="false">
      <c r="A63" s="15" t="s">
        <v>61</v>
      </c>
      <c r="B63" s="15" t="s">
        <v>1873</v>
      </c>
      <c r="C63" s="15" t="s">
        <v>1923</v>
      </c>
    </row>
    <row r="64" customFormat="false" ht="15" hidden="false" customHeight="true" outlineLevel="0" collapsed="false">
      <c r="A64" s="15" t="s">
        <v>1235</v>
      </c>
      <c r="B64" s="15" t="s">
        <v>1873</v>
      </c>
      <c r="C64" s="15" t="s">
        <v>1924</v>
      </c>
    </row>
    <row r="65" customFormat="false" ht="15" hidden="false" customHeight="true" outlineLevel="0" collapsed="false">
      <c r="A65" s="15" t="s">
        <v>966</v>
      </c>
      <c r="B65" s="15" t="s">
        <v>1873</v>
      </c>
      <c r="C65" s="15" t="s">
        <v>1925</v>
      </c>
    </row>
    <row r="66" customFormat="false" ht="15" hidden="false" customHeight="true" outlineLevel="0" collapsed="false">
      <c r="A66" s="15" t="s">
        <v>87</v>
      </c>
      <c r="B66" s="15" t="s">
        <v>1873</v>
      </c>
      <c r="C66" s="15" t="s">
        <v>1926</v>
      </c>
    </row>
    <row r="67" customFormat="false" ht="15" hidden="false" customHeight="true" outlineLevel="0" collapsed="false">
      <c r="A67" s="15" t="s">
        <v>1065</v>
      </c>
      <c r="B67" s="15" t="s">
        <v>1873</v>
      </c>
      <c r="C67" s="15"/>
    </row>
    <row r="68" customFormat="false" ht="15" hidden="false" customHeight="true" outlineLevel="0" collapsed="false">
      <c r="A68" s="15" t="s">
        <v>1010</v>
      </c>
      <c r="B68" s="15" t="s">
        <v>1873</v>
      </c>
      <c r="C68" s="15" t="s">
        <v>1927</v>
      </c>
    </row>
    <row r="69" customFormat="false" ht="15" hidden="false" customHeight="true" outlineLevel="0" collapsed="false">
      <c r="A69" s="15" t="s">
        <v>1037</v>
      </c>
      <c r="B69" s="15" t="s">
        <v>1871</v>
      </c>
      <c r="C69" s="15"/>
    </row>
    <row r="70" customFormat="false" ht="15" hidden="false" customHeight="true" outlineLevel="0" collapsed="false">
      <c r="A70" s="15" t="s">
        <v>1038</v>
      </c>
      <c r="B70" s="15" t="s">
        <v>1871</v>
      </c>
      <c r="C70" s="15"/>
    </row>
    <row r="71" customFormat="false" ht="15" hidden="false" customHeight="true" outlineLevel="0" collapsed="false">
      <c r="A71" s="15" t="s">
        <v>1029</v>
      </c>
      <c r="B71" s="15" t="s">
        <v>1873</v>
      </c>
      <c r="C71" s="15"/>
    </row>
    <row r="72" customFormat="false" ht="15" hidden="false" customHeight="true" outlineLevel="0" collapsed="false">
      <c r="A72" s="15" t="s">
        <v>1031</v>
      </c>
      <c r="B72" s="15" t="s">
        <v>1873</v>
      </c>
      <c r="C72" s="15"/>
    </row>
    <row r="73" customFormat="false" ht="15" hidden="false" customHeight="true" outlineLevel="0" collapsed="false">
      <c r="A73" s="15" t="s">
        <v>1014</v>
      </c>
      <c r="B73" s="15" t="s">
        <v>1871</v>
      </c>
      <c r="C73" s="15"/>
    </row>
    <row r="74" customFormat="false" ht="15" hidden="false" customHeight="true" outlineLevel="0" collapsed="false">
      <c r="A74" s="15" t="s">
        <v>1108</v>
      </c>
      <c r="B74" s="15" t="s">
        <v>1873</v>
      </c>
      <c r="C74" s="15"/>
    </row>
    <row r="75" customFormat="false" ht="15" hidden="false" customHeight="true" outlineLevel="0" collapsed="false">
      <c r="A75" s="15" t="s">
        <v>1110</v>
      </c>
      <c r="B75" s="15" t="s">
        <v>1873</v>
      </c>
      <c r="C75" s="15"/>
    </row>
    <row r="76" customFormat="false" ht="15" hidden="false" customHeight="true" outlineLevel="0" collapsed="false">
      <c r="A76" s="15" t="s">
        <v>1112</v>
      </c>
      <c r="B76" s="15" t="s">
        <v>1873</v>
      </c>
      <c r="C76" s="15"/>
    </row>
    <row r="77" customFormat="false" ht="15" hidden="false" customHeight="true" outlineLevel="0" collapsed="false">
      <c r="A77" s="15" t="s">
        <v>1020</v>
      </c>
      <c r="B77" s="15" t="s">
        <v>1873</v>
      </c>
      <c r="C77" s="15"/>
    </row>
    <row r="78" customFormat="false" ht="15" hidden="false" customHeight="true" outlineLevel="0" collapsed="false">
      <c r="A78" s="15" t="s">
        <v>1115</v>
      </c>
      <c r="B78" s="15" t="s">
        <v>1873</v>
      </c>
      <c r="C78" s="15"/>
    </row>
    <row r="79" customFormat="false" ht="15" hidden="false" customHeight="true" outlineLevel="0" collapsed="false">
      <c r="A79" s="15" t="s">
        <v>1118</v>
      </c>
      <c r="B79" s="15" t="s">
        <v>1873</v>
      </c>
      <c r="C79" s="15" t="s">
        <v>1928</v>
      </c>
    </row>
    <row r="80" customFormat="false" ht="15" hidden="false" customHeight="true" outlineLevel="0" collapsed="false">
      <c r="A80" s="15" t="s">
        <v>1120</v>
      </c>
      <c r="B80" s="15" t="s">
        <v>1873</v>
      </c>
      <c r="C80" s="15"/>
    </row>
    <row r="81" customFormat="false" ht="15" hidden="false" customHeight="true" outlineLevel="0" collapsed="false">
      <c r="A81" s="15" t="s">
        <v>1126</v>
      </c>
      <c r="B81" s="15" t="s">
        <v>1873</v>
      </c>
      <c r="C81" s="15"/>
    </row>
    <row r="82" customFormat="false" ht="15" hidden="false" customHeight="true" outlineLevel="0" collapsed="false">
      <c r="A82" s="15" t="s">
        <v>1134</v>
      </c>
      <c r="B82" s="15" t="s">
        <v>1873</v>
      </c>
      <c r="C82" s="15"/>
    </row>
    <row r="83" customFormat="false" ht="15" hidden="false" customHeight="true" outlineLevel="0" collapsed="false">
      <c r="A83" s="15" t="s">
        <v>1136</v>
      </c>
      <c r="B83" s="15" t="s">
        <v>1871</v>
      </c>
      <c r="C83" s="15"/>
    </row>
    <row r="84" customFormat="false" ht="15" hidden="false" customHeight="true" outlineLevel="0" collapsed="false">
      <c r="A84" s="15" t="s">
        <v>1137</v>
      </c>
      <c r="B84" s="15" t="s">
        <v>1873</v>
      </c>
      <c r="C84" s="15"/>
    </row>
    <row r="85" customFormat="false" ht="15" hidden="false" customHeight="true" outlineLevel="0" collapsed="false">
      <c r="A85" s="15" t="s">
        <v>1093</v>
      </c>
      <c r="B85" s="15" t="s">
        <v>1871</v>
      </c>
      <c r="C85" s="15"/>
    </row>
    <row r="86" customFormat="false" ht="26.25" hidden="false" customHeight="true" outlineLevel="0" collapsed="false">
      <c r="A86" s="15" t="s">
        <v>940</v>
      </c>
      <c r="B86" s="15" t="s">
        <v>741</v>
      </c>
      <c r="C86" s="15" t="s">
        <v>1929</v>
      </c>
    </row>
    <row r="87" customFormat="false" ht="26.25" hidden="false" customHeight="true" outlineLevel="0" collapsed="false">
      <c r="A87" s="15" t="s">
        <v>733</v>
      </c>
      <c r="B87" s="15" t="s">
        <v>1873</v>
      </c>
      <c r="C87" s="15" t="s">
        <v>1930</v>
      </c>
    </row>
    <row r="88" customFormat="false" ht="15" hidden="false" customHeight="true" outlineLevel="0" collapsed="false">
      <c r="A88" s="15" t="s">
        <v>1003</v>
      </c>
      <c r="B88" s="15" t="s">
        <v>1931</v>
      </c>
      <c r="C88" s="15" t="s">
        <v>1932</v>
      </c>
    </row>
    <row r="89" customFormat="false" ht="15" hidden="false" customHeight="true" outlineLevel="0" collapsed="false">
      <c r="A89" s="15" t="s">
        <v>960</v>
      </c>
      <c r="B89" s="15" t="s">
        <v>1933</v>
      </c>
      <c r="C89" s="15" t="s">
        <v>1934</v>
      </c>
    </row>
    <row r="90" customFormat="false" ht="15" hidden="false" customHeight="true" outlineLevel="0" collapsed="false">
      <c r="A90" s="15" t="s">
        <v>984</v>
      </c>
      <c r="B90" s="15" t="s">
        <v>1873</v>
      </c>
      <c r="C90" s="15" t="s">
        <v>1935</v>
      </c>
    </row>
    <row r="91" customFormat="false" ht="15" hidden="false" customHeight="true" outlineLevel="0" collapsed="false">
      <c r="A91" s="15" t="s">
        <v>946</v>
      </c>
      <c r="B91" s="15" t="s">
        <v>1873</v>
      </c>
      <c r="C91" s="15" t="s">
        <v>1936</v>
      </c>
    </row>
    <row r="92" customFormat="false" ht="15" hidden="false" customHeight="true" outlineLevel="0" collapsed="false">
      <c r="A92" s="15" t="s">
        <v>942</v>
      </c>
      <c r="B92" s="15" t="s">
        <v>1873</v>
      </c>
      <c r="C92" s="15" t="s">
        <v>1937</v>
      </c>
    </row>
    <row r="93" customFormat="false" ht="15" hidden="false" customHeight="true" outlineLevel="0" collapsed="false">
      <c r="A93" s="15" t="s">
        <v>1938</v>
      </c>
      <c r="B93" s="15" t="s">
        <v>1873</v>
      </c>
      <c r="C93" s="15" t="s">
        <v>1939</v>
      </c>
    </row>
    <row r="94" customFormat="false" ht="15" hidden="false" customHeight="true" outlineLevel="0" collapsed="false">
      <c r="A94" s="15" t="s">
        <v>826</v>
      </c>
      <c r="B94" s="15" t="s">
        <v>1873</v>
      </c>
      <c r="C94" s="15" t="s">
        <v>1940</v>
      </c>
    </row>
    <row r="95" customFormat="false" ht="15" hidden="false" customHeight="true" outlineLevel="0" collapsed="false">
      <c r="A95" s="15" t="s">
        <v>833</v>
      </c>
      <c r="B95" s="15" t="s">
        <v>1873</v>
      </c>
      <c r="C95" s="15" t="s">
        <v>1875</v>
      </c>
    </row>
    <row r="96" customFormat="false" ht="15" hidden="false" customHeight="true" outlineLevel="0" collapsed="false">
      <c r="A96" s="15" t="s">
        <v>835</v>
      </c>
      <c r="B96" s="15" t="s">
        <v>1873</v>
      </c>
      <c r="C96" s="15" t="s">
        <v>1875</v>
      </c>
    </row>
    <row r="97" customFormat="false" ht="15" hidden="false" customHeight="true" outlineLevel="0" collapsed="false">
      <c r="A97" s="15" t="s">
        <v>830</v>
      </c>
      <c r="B97" s="15" t="s">
        <v>1873</v>
      </c>
      <c r="C97" s="15" t="s">
        <v>1941</v>
      </c>
    </row>
    <row r="98" customFormat="false" ht="15" hidden="false" customHeight="true" outlineLevel="0" collapsed="false">
      <c r="A98" s="15" t="s">
        <v>837</v>
      </c>
      <c r="B98" s="15" t="s">
        <v>838</v>
      </c>
      <c r="C98" s="15" t="s">
        <v>1942</v>
      </c>
    </row>
    <row r="99" customFormat="false" ht="15" hidden="false" customHeight="true" outlineLevel="0" collapsed="false">
      <c r="A99" s="15" t="s">
        <v>839</v>
      </c>
      <c r="B99" s="15" t="s">
        <v>1873</v>
      </c>
      <c r="C99" s="15" t="s">
        <v>1943</v>
      </c>
    </row>
    <row r="100" customFormat="false" ht="15" hidden="false" customHeight="true" outlineLevel="0" collapsed="false">
      <c r="A100" s="15" t="s">
        <v>841</v>
      </c>
      <c r="B100" s="15" t="s">
        <v>1873</v>
      </c>
      <c r="C100" s="15" t="s">
        <v>1944</v>
      </c>
    </row>
    <row r="101" customFormat="false" ht="15" hidden="false" customHeight="true" outlineLevel="0" collapsed="false">
      <c r="A101" s="15" t="s">
        <v>843</v>
      </c>
      <c r="B101" s="15" t="s">
        <v>1873</v>
      </c>
      <c r="C101" s="15" t="s">
        <v>1945</v>
      </c>
    </row>
    <row r="102" customFormat="false" ht="15" hidden="false" customHeight="true" outlineLevel="0" collapsed="false">
      <c r="A102" s="15" t="s">
        <v>848</v>
      </c>
      <c r="B102" s="15" t="s">
        <v>1873</v>
      </c>
      <c r="C102" s="15" t="s">
        <v>1946</v>
      </c>
    </row>
    <row r="103" customFormat="false" ht="15" hidden="false" customHeight="true" outlineLevel="0" collapsed="false">
      <c r="A103" s="15" t="s">
        <v>851</v>
      </c>
      <c r="B103" s="15" t="s">
        <v>1873</v>
      </c>
      <c r="C103" s="15" t="s">
        <v>1947</v>
      </c>
    </row>
    <row r="104" customFormat="false" ht="15" hidden="false" customHeight="true" outlineLevel="0" collapsed="false">
      <c r="A104" s="15" t="s">
        <v>853</v>
      </c>
      <c r="B104" s="15" t="s">
        <v>1873</v>
      </c>
      <c r="C104" s="15" t="s">
        <v>1948</v>
      </c>
    </row>
    <row r="105" customFormat="false" ht="15" hidden="false" customHeight="true" outlineLevel="0" collapsed="false">
      <c r="A105" s="15" t="s">
        <v>854</v>
      </c>
      <c r="B105" s="15" t="s">
        <v>1871</v>
      </c>
      <c r="C105" s="15"/>
    </row>
    <row r="106" customFormat="false" ht="15" hidden="false" customHeight="true" outlineLevel="0" collapsed="false">
      <c r="A106" s="15" t="s">
        <v>855</v>
      </c>
      <c r="B106" s="15" t="s">
        <v>1873</v>
      </c>
      <c r="C106" s="15" t="s">
        <v>1949</v>
      </c>
    </row>
    <row r="107" customFormat="false" ht="15" hidden="false" customHeight="true" outlineLevel="0" collapsed="false">
      <c r="A107" s="15" t="s">
        <v>857</v>
      </c>
      <c r="B107" s="15" t="s">
        <v>1871</v>
      </c>
      <c r="C107" s="15"/>
    </row>
    <row r="108" customFormat="false" ht="15" hidden="false" customHeight="true" outlineLevel="0" collapsed="false">
      <c r="A108" s="15" t="s">
        <v>90</v>
      </c>
      <c r="B108" s="15" t="s">
        <v>1873</v>
      </c>
      <c r="C108" s="15" t="s">
        <v>1950</v>
      </c>
    </row>
    <row r="109" customFormat="false" ht="15" hidden="false" customHeight="true" outlineLevel="0" collapsed="false">
      <c r="A109" s="15" t="s">
        <v>884</v>
      </c>
      <c r="B109" s="15" t="s">
        <v>1871</v>
      </c>
      <c r="C109" s="15"/>
    </row>
    <row r="110" customFormat="false" ht="15" hidden="false" customHeight="true" outlineLevel="0" collapsed="false">
      <c r="A110" s="15" t="s">
        <v>886</v>
      </c>
      <c r="B110" s="15" t="s">
        <v>1871</v>
      </c>
      <c r="C110" s="15" t="s">
        <v>1951</v>
      </c>
    </row>
    <row r="111" customFormat="false" ht="26.25" hidden="false" customHeight="true" outlineLevel="0" collapsed="false">
      <c r="A111" s="15" t="s">
        <v>887</v>
      </c>
      <c r="B111" s="15" t="s">
        <v>1873</v>
      </c>
      <c r="C111" s="15" t="s">
        <v>1952</v>
      </c>
    </row>
    <row r="112" customFormat="false" ht="26.25" hidden="false" customHeight="true" outlineLevel="0" collapsed="false">
      <c r="A112" s="15" t="s">
        <v>85</v>
      </c>
      <c r="B112" s="15" t="s">
        <v>725</v>
      </c>
      <c r="C112" s="15" t="s">
        <v>1953</v>
      </c>
    </row>
    <row r="113" customFormat="false" ht="26.25" hidden="false" customHeight="true" outlineLevel="0" collapsed="false">
      <c r="A113" s="15" t="s">
        <v>1954</v>
      </c>
      <c r="B113" s="15" t="s">
        <v>725</v>
      </c>
      <c r="C113" s="15" t="s">
        <v>1955</v>
      </c>
    </row>
    <row r="114" customFormat="false" ht="15" hidden="false" customHeight="true" outlineLevel="0" collapsed="false">
      <c r="A114" s="15" t="s">
        <v>920</v>
      </c>
      <c r="B114" s="15" t="s">
        <v>1873</v>
      </c>
      <c r="C114" s="15" t="s">
        <v>1956</v>
      </c>
    </row>
    <row r="115" customFormat="false" ht="26.25" hidden="false" customHeight="true" outlineLevel="0" collapsed="false">
      <c r="A115" s="15" t="s">
        <v>102</v>
      </c>
      <c r="B115" s="15" t="s">
        <v>1873</v>
      </c>
      <c r="C115" s="15" t="s">
        <v>1957</v>
      </c>
    </row>
    <row r="116" customFormat="false" ht="15" hidden="false" customHeight="true" outlineLevel="0" collapsed="false">
      <c r="A116" s="15" t="s">
        <v>997</v>
      </c>
      <c r="B116" s="15" t="s">
        <v>1958</v>
      </c>
      <c r="C116" s="15" t="s">
        <v>1959</v>
      </c>
    </row>
    <row r="117" customFormat="false" ht="15" hidden="false" customHeight="true" outlineLevel="0" collapsed="false">
      <c r="A117" s="15" t="s">
        <v>998</v>
      </c>
      <c r="B117" s="15" t="s">
        <v>1958</v>
      </c>
      <c r="C117" s="15" t="s">
        <v>1959</v>
      </c>
    </row>
    <row r="118" customFormat="false" ht="15" hidden="false" customHeight="true" outlineLevel="0" collapsed="false">
      <c r="A118" s="15" t="s">
        <v>999</v>
      </c>
      <c r="B118" s="15" t="s">
        <v>1958</v>
      </c>
      <c r="C118" s="15" t="s">
        <v>1960</v>
      </c>
    </row>
    <row r="119" customFormat="false" ht="26.25" hidden="false" customHeight="true" outlineLevel="0" collapsed="false">
      <c r="A119" s="15" t="s">
        <v>923</v>
      </c>
      <c r="B119" s="15" t="s">
        <v>1873</v>
      </c>
      <c r="C119" s="15" t="s">
        <v>1961</v>
      </c>
    </row>
    <row r="120" customFormat="false" ht="15" hidden="false" customHeight="true" outlineLevel="0" collapsed="false">
      <c r="A120" s="15" t="s">
        <v>935</v>
      </c>
      <c r="B120" s="15" t="s">
        <v>1873</v>
      </c>
      <c r="C120" s="15" t="s">
        <v>1962</v>
      </c>
    </row>
    <row r="121" customFormat="false" ht="26.25" hidden="false" customHeight="true" outlineLevel="0" collapsed="false">
      <c r="A121" s="15" t="s">
        <v>1963</v>
      </c>
      <c r="B121" s="15" t="s">
        <v>1873</v>
      </c>
      <c r="C121" s="15" t="s">
        <v>1964</v>
      </c>
    </row>
    <row r="122" customFormat="false" ht="26.25" hidden="false" customHeight="true" outlineLevel="0" collapsed="false">
      <c r="A122" s="15" t="s">
        <v>1965</v>
      </c>
      <c r="B122" s="15" t="s">
        <v>1873</v>
      </c>
      <c r="C122" s="15" t="s">
        <v>1966</v>
      </c>
    </row>
    <row r="123" customFormat="false" ht="26.25" hidden="false" customHeight="true" outlineLevel="0" collapsed="false">
      <c r="A123" s="15" t="s">
        <v>1967</v>
      </c>
      <c r="B123" s="15" t="s">
        <v>1968</v>
      </c>
      <c r="C123" s="15" t="s">
        <v>1969</v>
      </c>
    </row>
    <row r="124" customFormat="false" ht="26.25" hidden="false" customHeight="true" outlineLevel="0" collapsed="false">
      <c r="A124" s="15" t="s">
        <v>925</v>
      </c>
      <c r="B124" s="15" t="s">
        <v>1873</v>
      </c>
      <c r="C124" s="15" t="s">
        <v>1970</v>
      </c>
    </row>
    <row r="125" customFormat="false" ht="26.25" hidden="false" customHeight="true" outlineLevel="0" collapsed="false">
      <c r="A125" s="15" t="s">
        <v>1971</v>
      </c>
      <c r="B125" s="15" t="s">
        <v>1873</v>
      </c>
      <c r="C125" s="15" t="s">
        <v>1972</v>
      </c>
    </row>
    <row r="126" customFormat="false" ht="15" hidden="false" customHeight="true" outlineLevel="0" collapsed="false">
      <c r="A126" s="15" t="s">
        <v>772</v>
      </c>
      <c r="B126" s="15" t="s">
        <v>773</v>
      </c>
      <c r="C126" s="15"/>
    </row>
    <row r="127" customFormat="false" ht="15" hidden="false" customHeight="true" outlineLevel="0" collapsed="false">
      <c r="A127" s="15" t="s">
        <v>775</v>
      </c>
      <c r="B127" s="15" t="s">
        <v>773</v>
      </c>
      <c r="C127" s="15"/>
    </row>
    <row r="128" customFormat="false" ht="15" hidden="false" customHeight="true" outlineLevel="0" collapsed="false">
      <c r="A128" s="15" t="s">
        <v>769</v>
      </c>
      <c r="B128" s="15" t="s">
        <v>721</v>
      </c>
      <c r="C128" s="15" t="s">
        <v>1973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44"/>
    <col collapsed="false" customWidth="true" hidden="false" outlineLevel="0" max="9" min="8" style="1" width="11"/>
    <col collapsed="false" customWidth="true" hidden="false" outlineLevel="0" max="10" min="10" style="1" width="40"/>
    <col collapsed="false" customWidth="true" hidden="false" outlineLevel="0" max="11" min="11" style="1" width="26"/>
    <col collapsed="false" customWidth="true" hidden="false" outlineLevel="0" max="12" min="12" style="1" width="16"/>
    <col collapsed="false" customWidth="true" hidden="false" outlineLevel="0" max="13" min="13" style="1" width="10"/>
    <col collapsed="false" customWidth="true" hidden="false" outlineLevel="0" max="14" min="14" style="1" width="50"/>
  </cols>
  <sheetData>
    <row r="1" customFormat="false" ht="31.5" hidden="false" customHeight="true" outlineLevel="0" collapsed="false">
      <c r="A1" s="10" t="s">
        <v>1974</v>
      </c>
      <c r="B1" s="10" t="s">
        <v>59</v>
      </c>
      <c r="C1" s="10" t="s">
        <v>60</v>
      </c>
      <c r="D1" s="10" t="s">
        <v>1975</v>
      </c>
      <c r="E1" s="10" t="s">
        <v>1976</v>
      </c>
      <c r="F1" s="10" t="s">
        <v>1977</v>
      </c>
      <c r="G1" s="10" t="s">
        <v>1978</v>
      </c>
      <c r="H1" s="10" t="s">
        <v>1979</v>
      </c>
      <c r="I1" s="10" t="s">
        <v>64</v>
      </c>
      <c r="J1" s="10" t="s">
        <v>1980</v>
      </c>
      <c r="K1" s="10" t="s">
        <v>1981</v>
      </c>
      <c r="L1" s="10" t="s">
        <v>1982</v>
      </c>
      <c r="M1" s="10" t="s">
        <v>1983</v>
      </c>
      <c r="N1" s="10" t="s">
        <v>628</v>
      </c>
    </row>
    <row r="2" customFormat="false" ht="26.25" hidden="false" customHeight="true" outlineLevel="0" collapsed="false">
      <c r="A2" s="15" t="s">
        <v>1984</v>
      </c>
      <c r="B2" s="15" t="s">
        <v>107</v>
      </c>
      <c r="C2" s="15" t="s">
        <v>108</v>
      </c>
      <c r="D2" s="15" t="s">
        <v>1985</v>
      </c>
      <c r="E2" s="15" t="s">
        <v>1986</v>
      </c>
      <c r="F2" s="15" t="s">
        <v>1987</v>
      </c>
      <c r="G2" s="15" t="s">
        <v>120</v>
      </c>
      <c r="H2" s="15" t="s">
        <v>1988</v>
      </c>
      <c r="I2" s="23"/>
      <c r="J2" s="15" t="s">
        <v>1989</v>
      </c>
      <c r="K2" s="15" t="s">
        <v>1990</v>
      </c>
      <c r="L2" s="15" t="s">
        <v>1991</v>
      </c>
      <c r="M2" s="15" t="s">
        <v>1456</v>
      </c>
      <c r="N2" s="15"/>
    </row>
    <row r="3" customFormat="false" ht="26.25" hidden="false" customHeight="true" outlineLevel="0" collapsed="false">
      <c r="A3" s="15" t="s">
        <v>1992</v>
      </c>
      <c r="B3" s="15" t="s">
        <v>107</v>
      </c>
      <c r="C3" s="15" t="s">
        <v>108</v>
      </c>
      <c r="D3" s="15" t="s">
        <v>1993</v>
      </c>
      <c r="E3" s="15" t="s">
        <v>1986</v>
      </c>
      <c r="F3" s="15" t="s">
        <v>1987</v>
      </c>
      <c r="G3" s="15" t="s">
        <v>120</v>
      </c>
      <c r="H3" s="15" t="s">
        <v>1988</v>
      </c>
      <c r="I3" s="23"/>
      <c r="J3" s="15" t="s">
        <v>1989</v>
      </c>
      <c r="K3" s="15" t="s">
        <v>1990</v>
      </c>
      <c r="L3" s="15" t="s">
        <v>1991</v>
      </c>
      <c r="M3" s="15" t="s">
        <v>1456</v>
      </c>
      <c r="N3" s="15"/>
    </row>
    <row r="4" customFormat="false" ht="26.25" hidden="false" customHeight="true" outlineLevel="0" collapsed="false">
      <c r="A4" s="15" t="s">
        <v>1994</v>
      </c>
      <c r="B4" s="15" t="s">
        <v>107</v>
      </c>
      <c r="C4" s="15" t="s">
        <v>108</v>
      </c>
      <c r="D4" s="15" t="s">
        <v>1995</v>
      </c>
      <c r="E4" s="15" t="s">
        <v>1996</v>
      </c>
      <c r="F4" s="15" t="s">
        <v>1987</v>
      </c>
      <c r="G4" s="15" t="s">
        <v>1997</v>
      </c>
      <c r="H4" s="15" t="s">
        <v>1998</v>
      </c>
      <c r="I4" s="23"/>
      <c r="J4" s="15" t="s">
        <v>1989</v>
      </c>
      <c r="K4" s="15" t="s">
        <v>1990</v>
      </c>
      <c r="L4" s="15" t="s">
        <v>1991</v>
      </c>
      <c r="M4" s="15" t="s">
        <v>1456</v>
      </c>
      <c r="N4" s="15" t="s">
        <v>1999</v>
      </c>
    </row>
    <row r="5" customFormat="false" ht="26.25" hidden="false" customHeight="true" outlineLevel="0" collapsed="false">
      <c r="A5" s="15" t="s">
        <v>2000</v>
      </c>
      <c r="B5" s="15" t="s">
        <v>107</v>
      </c>
      <c r="C5" s="15" t="s">
        <v>108</v>
      </c>
      <c r="D5" s="15" t="s">
        <v>2001</v>
      </c>
      <c r="E5" s="15" t="s">
        <v>2002</v>
      </c>
      <c r="F5" s="15" t="s">
        <v>1987</v>
      </c>
      <c r="G5" s="15" t="s">
        <v>120</v>
      </c>
      <c r="H5" s="15" t="s">
        <v>1988</v>
      </c>
      <c r="I5" s="23"/>
      <c r="J5" s="15" t="s">
        <v>1989</v>
      </c>
      <c r="K5" s="15" t="s">
        <v>1990</v>
      </c>
      <c r="L5" s="15" t="s">
        <v>1991</v>
      </c>
      <c r="M5" s="15" t="s">
        <v>1456</v>
      </c>
      <c r="N5" s="15"/>
    </row>
    <row r="6" customFormat="false" ht="26.25" hidden="false" customHeight="true" outlineLevel="0" collapsed="false">
      <c r="A6" s="15" t="s">
        <v>2003</v>
      </c>
      <c r="B6" s="15" t="s">
        <v>107</v>
      </c>
      <c r="C6" s="15" t="s">
        <v>108</v>
      </c>
      <c r="D6" s="15" t="s">
        <v>2004</v>
      </c>
      <c r="E6" s="15" t="s">
        <v>1986</v>
      </c>
      <c r="F6" s="15" t="s">
        <v>1987</v>
      </c>
      <c r="G6" s="15" t="s">
        <v>120</v>
      </c>
      <c r="H6" s="15" t="s">
        <v>1988</v>
      </c>
      <c r="I6" s="23"/>
      <c r="J6" s="15" t="s">
        <v>1989</v>
      </c>
      <c r="K6" s="15" t="s">
        <v>1990</v>
      </c>
      <c r="L6" s="15" t="s">
        <v>1991</v>
      </c>
      <c r="M6" s="15" t="s">
        <v>1456</v>
      </c>
      <c r="N6" s="15"/>
    </row>
    <row r="7" customFormat="false" ht="26.25" hidden="false" customHeight="true" outlineLevel="0" collapsed="false">
      <c r="A7" s="15" t="s">
        <v>2005</v>
      </c>
      <c r="B7" s="15" t="s">
        <v>107</v>
      </c>
      <c r="C7" s="15" t="s">
        <v>108</v>
      </c>
      <c r="D7" s="15" t="s">
        <v>2006</v>
      </c>
      <c r="E7" s="15" t="s">
        <v>1986</v>
      </c>
      <c r="F7" s="15" t="s">
        <v>1987</v>
      </c>
      <c r="G7" s="15" t="s">
        <v>120</v>
      </c>
      <c r="H7" s="15" t="s">
        <v>1988</v>
      </c>
      <c r="I7" s="23"/>
      <c r="J7" s="15" t="s">
        <v>1989</v>
      </c>
      <c r="K7" s="15" t="s">
        <v>1990</v>
      </c>
      <c r="L7" s="15" t="s">
        <v>1991</v>
      </c>
      <c r="M7" s="15" t="s">
        <v>1456</v>
      </c>
      <c r="N7" s="15"/>
    </row>
    <row r="8" customFormat="false" ht="26.25" hidden="false" customHeight="true" outlineLevel="0" collapsed="false">
      <c r="A8" s="15" t="s">
        <v>2007</v>
      </c>
      <c r="B8" s="15" t="s">
        <v>107</v>
      </c>
      <c r="C8" s="15" t="s">
        <v>108</v>
      </c>
      <c r="D8" s="15" t="s">
        <v>2008</v>
      </c>
      <c r="E8" s="15" t="s">
        <v>2002</v>
      </c>
      <c r="F8" s="15" t="s">
        <v>1987</v>
      </c>
      <c r="G8" s="15" t="s">
        <v>120</v>
      </c>
      <c r="H8" s="15" t="s">
        <v>1988</v>
      </c>
      <c r="I8" s="23"/>
      <c r="J8" s="15" t="s">
        <v>1989</v>
      </c>
      <c r="K8" s="15" t="s">
        <v>1990</v>
      </c>
      <c r="L8" s="15" t="s">
        <v>1991</v>
      </c>
      <c r="M8" s="15" t="s">
        <v>1456</v>
      </c>
      <c r="N8" s="15"/>
    </row>
    <row r="9" customFormat="false" ht="26.25" hidden="false" customHeight="true" outlineLevel="0" collapsed="false">
      <c r="A9" s="15" t="s">
        <v>2009</v>
      </c>
      <c r="B9" s="15" t="s">
        <v>107</v>
      </c>
      <c r="C9" s="15" t="s">
        <v>108</v>
      </c>
      <c r="D9" s="15" t="s">
        <v>2010</v>
      </c>
      <c r="E9" s="15" t="s">
        <v>1986</v>
      </c>
      <c r="F9" s="15" t="s">
        <v>1987</v>
      </c>
      <c r="G9" s="15" t="s">
        <v>120</v>
      </c>
      <c r="H9" s="15" t="s">
        <v>1988</v>
      </c>
      <c r="I9" s="23"/>
      <c r="J9" s="15" t="s">
        <v>1989</v>
      </c>
      <c r="K9" s="15" t="s">
        <v>1990</v>
      </c>
      <c r="L9" s="15" t="s">
        <v>1991</v>
      </c>
      <c r="M9" s="15" t="s">
        <v>1456</v>
      </c>
      <c r="N9" s="15"/>
    </row>
    <row r="10" customFormat="false" ht="26.25" hidden="false" customHeight="true" outlineLevel="0" collapsed="false">
      <c r="A10" s="15" t="s">
        <v>2011</v>
      </c>
      <c r="B10" s="15" t="s">
        <v>107</v>
      </c>
      <c r="C10" s="15" t="s">
        <v>108</v>
      </c>
      <c r="D10" s="15" t="s">
        <v>2012</v>
      </c>
      <c r="E10" s="15" t="s">
        <v>1986</v>
      </c>
      <c r="F10" s="15" t="s">
        <v>1987</v>
      </c>
      <c r="G10" s="15" t="s">
        <v>120</v>
      </c>
      <c r="H10" s="15" t="s">
        <v>1988</v>
      </c>
      <c r="I10" s="23"/>
      <c r="J10" s="15" t="s">
        <v>1989</v>
      </c>
      <c r="K10" s="15" t="s">
        <v>1990</v>
      </c>
      <c r="L10" s="15" t="s">
        <v>1991</v>
      </c>
      <c r="M10" s="15" t="s">
        <v>1456</v>
      </c>
      <c r="N10" s="15"/>
    </row>
    <row r="11" customFormat="false" ht="26.25" hidden="false" customHeight="true" outlineLevel="0" collapsed="false">
      <c r="A11" s="15" t="s">
        <v>2013</v>
      </c>
      <c r="B11" s="15" t="s">
        <v>107</v>
      </c>
      <c r="C11" s="15" t="s">
        <v>108</v>
      </c>
      <c r="D11" s="15" t="s">
        <v>2014</v>
      </c>
      <c r="E11" s="15" t="s">
        <v>1986</v>
      </c>
      <c r="F11" s="15" t="s">
        <v>1987</v>
      </c>
      <c r="G11" s="15" t="s">
        <v>120</v>
      </c>
      <c r="H11" s="15" t="s">
        <v>1988</v>
      </c>
      <c r="I11" s="23"/>
      <c r="J11" s="15" t="s">
        <v>1989</v>
      </c>
      <c r="K11" s="15" t="s">
        <v>1990</v>
      </c>
      <c r="L11" s="15" t="s">
        <v>1991</v>
      </c>
      <c r="M11" s="15" t="s">
        <v>1456</v>
      </c>
      <c r="N11" s="15"/>
    </row>
    <row r="12" customFormat="false" ht="26.25" hidden="false" customHeight="true" outlineLevel="0" collapsed="false">
      <c r="A12" s="15" t="s">
        <v>2015</v>
      </c>
      <c r="B12" s="15" t="s">
        <v>107</v>
      </c>
      <c r="C12" s="15" t="s">
        <v>108</v>
      </c>
      <c r="D12" s="15" t="s">
        <v>2016</v>
      </c>
      <c r="E12" s="15" t="s">
        <v>1986</v>
      </c>
      <c r="F12" s="15" t="s">
        <v>1987</v>
      </c>
      <c r="G12" s="15" t="s">
        <v>120</v>
      </c>
      <c r="H12" s="15" t="s">
        <v>1988</v>
      </c>
      <c r="I12" s="23"/>
      <c r="J12" s="15" t="s">
        <v>1989</v>
      </c>
      <c r="K12" s="15" t="s">
        <v>1990</v>
      </c>
      <c r="L12" s="15" t="s">
        <v>1991</v>
      </c>
      <c r="M12" s="15" t="s">
        <v>1456</v>
      </c>
      <c r="N12" s="15"/>
    </row>
    <row r="13" customFormat="false" ht="26.25" hidden="false" customHeight="true" outlineLevel="0" collapsed="false">
      <c r="A13" s="15" t="s">
        <v>2017</v>
      </c>
      <c r="B13" s="15" t="s">
        <v>107</v>
      </c>
      <c r="C13" s="15" t="s">
        <v>108</v>
      </c>
      <c r="D13" s="15" t="s">
        <v>2018</v>
      </c>
      <c r="E13" s="15" t="s">
        <v>2002</v>
      </c>
      <c r="F13" s="15" t="s">
        <v>1987</v>
      </c>
      <c r="G13" s="15" t="s">
        <v>120</v>
      </c>
      <c r="H13" s="15" t="s">
        <v>1988</v>
      </c>
      <c r="I13" s="23"/>
      <c r="J13" s="15" t="s">
        <v>1989</v>
      </c>
      <c r="K13" s="15" t="s">
        <v>1990</v>
      </c>
      <c r="L13" s="15" t="s">
        <v>1991</v>
      </c>
      <c r="M13" s="15" t="s">
        <v>1456</v>
      </c>
      <c r="N13" s="15"/>
    </row>
    <row r="14" customFormat="false" ht="26.25" hidden="false" customHeight="true" outlineLevel="0" collapsed="false">
      <c r="A14" s="15" t="s">
        <v>2019</v>
      </c>
      <c r="B14" s="15" t="s">
        <v>107</v>
      </c>
      <c r="C14" s="15" t="s">
        <v>108</v>
      </c>
      <c r="D14" s="15" t="s">
        <v>2020</v>
      </c>
      <c r="E14" s="15" t="s">
        <v>2002</v>
      </c>
      <c r="F14" s="15" t="s">
        <v>1987</v>
      </c>
      <c r="G14" s="15" t="s">
        <v>120</v>
      </c>
      <c r="H14" s="15" t="s">
        <v>1988</v>
      </c>
      <c r="I14" s="23"/>
      <c r="J14" s="15" t="s">
        <v>1989</v>
      </c>
      <c r="K14" s="15" t="s">
        <v>1990</v>
      </c>
      <c r="L14" s="15" t="s">
        <v>1991</v>
      </c>
      <c r="M14" s="15" t="s">
        <v>1456</v>
      </c>
      <c r="N14" s="15"/>
    </row>
    <row r="15" customFormat="false" ht="26.25" hidden="false" customHeight="true" outlineLevel="0" collapsed="false">
      <c r="A15" s="15" t="s">
        <v>2021</v>
      </c>
      <c r="B15" s="15" t="s">
        <v>107</v>
      </c>
      <c r="C15" s="15" t="s">
        <v>108</v>
      </c>
      <c r="D15" s="15" t="s">
        <v>2022</v>
      </c>
      <c r="E15" s="15" t="s">
        <v>2002</v>
      </c>
      <c r="F15" s="15" t="s">
        <v>1987</v>
      </c>
      <c r="G15" s="15" t="s">
        <v>120</v>
      </c>
      <c r="H15" s="15" t="s">
        <v>1988</v>
      </c>
      <c r="I15" s="23"/>
      <c r="J15" s="15" t="s">
        <v>1989</v>
      </c>
      <c r="K15" s="15" t="s">
        <v>1990</v>
      </c>
      <c r="L15" s="15" t="s">
        <v>1991</v>
      </c>
      <c r="M15" s="15" t="s">
        <v>1456</v>
      </c>
      <c r="N15" s="15"/>
    </row>
    <row r="16" customFormat="false" ht="26.25" hidden="false" customHeight="true" outlineLevel="0" collapsed="false">
      <c r="A16" s="15" t="s">
        <v>2023</v>
      </c>
      <c r="B16" s="15" t="s">
        <v>107</v>
      </c>
      <c r="C16" s="15" t="s">
        <v>108</v>
      </c>
      <c r="D16" s="15" t="s">
        <v>2024</v>
      </c>
      <c r="E16" s="15" t="s">
        <v>2002</v>
      </c>
      <c r="F16" s="15" t="s">
        <v>1987</v>
      </c>
      <c r="G16" s="15" t="s">
        <v>120</v>
      </c>
      <c r="H16" s="15" t="s">
        <v>1988</v>
      </c>
      <c r="I16" s="23"/>
      <c r="J16" s="15" t="s">
        <v>1989</v>
      </c>
      <c r="K16" s="15" t="s">
        <v>1990</v>
      </c>
      <c r="L16" s="15" t="s">
        <v>1991</v>
      </c>
      <c r="M16" s="15" t="s">
        <v>1456</v>
      </c>
      <c r="N16" s="15"/>
    </row>
    <row r="17" customFormat="false" ht="26.25" hidden="false" customHeight="true" outlineLevel="0" collapsed="false">
      <c r="A17" s="15" t="s">
        <v>2025</v>
      </c>
      <c r="B17" s="15" t="s">
        <v>107</v>
      </c>
      <c r="C17" s="15" t="s">
        <v>108</v>
      </c>
      <c r="D17" s="15" t="s">
        <v>2026</v>
      </c>
      <c r="E17" s="15" t="s">
        <v>2027</v>
      </c>
      <c r="F17" s="15" t="s">
        <v>1987</v>
      </c>
      <c r="G17" s="15" t="s">
        <v>120</v>
      </c>
      <c r="H17" s="15" t="s">
        <v>1988</v>
      </c>
      <c r="I17" s="23"/>
      <c r="J17" s="15" t="s">
        <v>1989</v>
      </c>
      <c r="K17" s="15" t="s">
        <v>1990</v>
      </c>
      <c r="L17" s="15" t="s">
        <v>1991</v>
      </c>
      <c r="M17" s="15" t="s">
        <v>1456</v>
      </c>
      <c r="N17" s="15"/>
    </row>
    <row r="18" customFormat="false" ht="26.25" hidden="false" customHeight="true" outlineLevel="0" collapsed="false">
      <c r="A18" s="15" t="s">
        <v>2028</v>
      </c>
      <c r="B18" s="15" t="s">
        <v>107</v>
      </c>
      <c r="C18" s="15" t="s">
        <v>108</v>
      </c>
      <c r="D18" s="15" t="s">
        <v>2029</v>
      </c>
      <c r="E18" s="15" t="s">
        <v>2027</v>
      </c>
      <c r="F18" s="15" t="s">
        <v>1987</v>
      </c>
      <c r="G18" s="15" t="s">
        <v>120</v>
      </c>
      <c r="H18" s="15" t="s">
        <v>1988</v>
      </c>
      <c r="I18" s="23"/>
      <c r="J18" s="15" t="s">
        <v>1989</v>
      </c>
      <c r="K18" s="15" t="s">
        <v>1990</v>
      </c>
      <c r="L18" s="15" t="s">
        <v>1991</v>
      </c>
      <c r="M18" s="15" t="s">
        <v>1456</v>
      </c>
      <c r="N18" s="15"/>
    </row>
    <row r="19" customFormat="false" ht="26.25" hidden="false" customHeight="true" outlineLevel="0" collapsed="false">
      <c r="A19" s="15" t="s">
        <v>2030</v>
      </c>
      <c r="B19" s="15" t="s">
        <v>107</v>
      </c>
      <c r="C19" s="15" t="s">
        <v>108</v>
      </c>
      <c r="D19" s="15" t="s">
        <v>2031</v>
      </c>
      <c r="E19" s="15" t="s">
        <v>2032</v>
      </c>
      <c r="F19" s="15" t="s">
        <v>1987</v>
      </c>
      <c r="G19" s="15" t="s">
        <v>120</v>
      </c>
      <c r="H19" s="15" t="s">
        <v>1988</v>
      </c>
      <c r="I19" s="23"/>
      <c r="J19" s="15" t="s">
        <v>1989</v>
      </c>
      <c r="K19" s="15" t="s">
        <v>1990</v>
      </c>
      <c r="L19" s="15" t="s">
        <v>1991</v>
      </c>
      <c r="M19" s="15" t="s">
        <v>1456</v>
      </c>
      <c r="N19" s="15"/>
    </row>
    <row r="20" customFormat="false" ht="26.25" hidden="false" customHeight="true" outlineLevel="0" collapsed="false">
      <c r="A20" s="15" t="s">
        <v>2033</v>
      </c>
      <c r="B20" s="15" t="s">
        <v>107</v>
      </c>
      <c r="C20" s="15" t="s">
        <v>108</v>
      </c>
      <c r="D20" s="15" t="s">
        <v>2034</v>
      </c>
      <c r="E20" s="15" t="s">
        <v>2032</v>
      </c>
      <c r="F20" s="15" t="s">
        <v>1987</v>
      </c>
      <c r="G20" s="15" t="s">
        <v>120</v>
      </c>
      <c r="H20" s="15" t="s">
        <v>1988</v>
      </c>
      <c r="I20" s="23"/>
      <c r="J20" s="15" t="s">
        <v>1989</v>
      </c>
      <c r="K20" s="15" t="s">
        <v>1990</v>
      </c>
      <c r="L20" s="15" t="s">
        <v>1991</v>
      </c>
      <c r="M20" s="15" t="s">
        <v>1456</v>
      </c>
      <c r="N20" s="15"/>
    </row>
    <row r="21" customFormat="false" ht="26.25" hidden="false" customHeight="true" outlineLevel="0" collapsed="false">
      <c r="A21" s="15" t="s">
        <v>2035</v>
      </c>
      <c r="B21" s="15" t="s">
        <v>107</v>
      </c>
      <c r="C21" s="15" t="s">
        <v>108</v>
      </c>
      <c r="D21" s="15" t="s">
        <v>2036</v>
      </c>
      <c r="E21" s="15" t="s">
        <v>2032</v>
      </c>
      <c r="F21" s="15" t="s">
        <v>1987</v>
      </c>
      <c r="G21" s="15" t="s">
        <v>120</v>
      </c>
      <c r="H21" s="15" t="s">
        <v>1988</v>
      </c>
      <c r="I21" s="23"/>
      <c r="J21" s="15" t="s">
        <v>1989</v>
      </c>
      <c r="K21" s="15" t="s">
        <v>1990</v>
      </c>
      <c r="L21" s="15" t="s">
        <v>1991</v>
      </c>
      <c r="M21" s="15" t="s">
        <v>1456</v>
      </c>
      <c r="N21" s="15"/>
    </row>
    <row r="22" customFormat="false" ht="26.25" hidden="false" customHeight="true" outlineLevel="0" collapsed="false">
      <c r="A22" s="15" t="s">
        <v>2037</v>
      </c>
      <c r="B22" s="15" t="s">
        <v>107</v>
      </c>
      <c r="C22" s="15" t="s">
        <v>108</v>
      </c>
      <c r="D22" s="15" t="s">
        <v>2038</v>
      </c>
      <c r="E22" s="15" t="s">
        <v>2032</v>
      </c>
      <c r="F22" s="15" t="s">
        <v>1987</v>
      </c>
      <c r="G22" s="15" t="s">
        <v>120</v>
      </c>
      <c r="H22" s="15" t="s">
        <v>1988</v>
      </c>
      <c r="I22" s="23"/>
      <c r="J22" s="15" t="s">
        <v>1989</v>
      </c>
      <c r="K22" s="15" t="s">
        <v>1990</v>
      </c>
      <c r="L22" s="15" t="s">
        <v>1991</v>
      </c>
      <c r="M22" s="15" t="s">
        <v>1456</v>
      </c>
      <c r="N22" s="15"/>
    </row>
    <row r="23" customFormat="false" ht="26.25" hidden="false" customHeight="true" outlineLevel="0" collapsed="false">
      <c r="A23" s="15" t="s">
        <v>2039</v>
      </c>
      <c r="B23" s="15" t="s">
        <v>107</v>
      </c>
      <c r="C23" s="15" t="s">
        <v>108</v>
      </c>
      <c r="D23" s="15" t="s">
        <v>2040</v>
      </c>
      <c r="E23" s="15" t="s">
        <v>2032</v>
      </c>
      <c r="F23" s="15" t="s">
        <v>1987</v>
      </c>
      <c r="G23" s="15" t="s">
        <v>120</v>
      </c>
      <c r="H23" s="15" t="s">
        <v>1988</v>
      </c>
      <c r="I23" s="23"/>
      <c r="J23" s="15" t="s">
        <v>1989</v>
      </c>
      <c r="K23" s="15" t="s">
        <v>1990</v>
      </c>
      <c r="L23" s="15" t="s">
        <v>1991</v>
      </c>
      <c r="M23" s="15" t="s">
        <v>1456</v>
      </c>
      <c r="N23" s="15"/>
    </row>
    <row r="24" customFormat="false" ht="26.25" hidden="false" customHeight="true" outlineLevel="0" collapsed="false">
      <c r="A24" s="15" t="s">
        <v>2041</v>
      </c>
      <c r="B24" s="15" t="s">
        <v>107</v>
      </c>
      <c r="C24" s="15" t="s">
        <v>108</v>
      </c>
      <c r="D24" s="15" t="s">
        <v>2042</v>
      </c>
      <c r="E24" s="15" t="s">
        <v>2032</v>
      </c>
      <c r="F24" s="15" t="s">
        <v>1987</v>
      </c>
      <c r="G24" s="15" t="s">
        <v>120</v>
      </c>
      <c r="H24" s="15" t="s">
        <v>1988</v>
      </c>
      <c r="I24" s="23"/>
      <c r="J24" s="15" t="s">
        <v>1989</v>
      </c>
      <c r="K24" s="15" t="s">
        <v>1990</v>
      </c>
      <c r="L24" s="15" t="s">
        <v>1991</v>
      </c>
      <c r="M24" s="15" t="s">
        <v>1456</v>
      </c>
      <c r="N24" s="15"/>
    </row>
    <row r="25" customFormat="false" ht="26.25" hidden="false" customHeight="true" outlineLevel="0" collapsed="false">
      <c r="A25" s="15" t="s">
        <v>2043</v>
      </c>
      <c r="B25" s="15" t="s">
        <v>107</v>
      </c>
      <c r="C25" s="15" t="s">
        <v>108</v>
      </c>
      <c r="D25" s="15" t="s">
        <v>2044</v>
      </c>
      <c r="E25" s="15" t="s">
        <v>2032</v>
      </c>
      <c r="F25" s="15" t="s">
        <v>1987</v>
      </c>
      <c r="G25" s="15" t="s">
        <v>120</v>
      </c>
      <c r="H25" s="15" t="s">
        <v>1988</v>
      </c>
      <c r="I25" s="23"/>
      <c r="J25" s="15" t="s">
        <v>1989</v>
      </c>
      <c r="K25" s="15" t="s">
        <v>1990</v>
      </c>
      <c r="L25" s="15" t="s">
        <v>1991</v>
      </c>
      <c r="M25" s="15" t="s">
        <v>1456</v>
      </c>
      <c r="N25" s="15"/>
    </row>
    <row r="26" customFormat="false" ht="26.25" hidden="false" customHeight="true" outlineLevel="0" collapsed="false">
      <c r="A26" s="15" t="s">
        <v>2045</v>
      </c>
      <c r="B26" s="15" t="s">
        <v>107</v>
      </c>
      <c r="C26" s="15" t="s">
        <v>108</v>
      </c>
      <c r="D26" s="15" t="s">
        <v>2046</v>
      </c>
      <c r="E26" s="15" t="s">
        <v>2047</v>
      </c>
      <c r="F26" s="15" t="s">
        <v>1987</v>
      </c>
      <c r="G26" s="15" t="s">
        <v>2048</v>
      </c>
      <c r="H26" s="15" t="s">
        <v>2049</v>
      </c>
      <c r="I26" s="23"/>
      <c r="J26" s="15" t="s">
        <v>1989</v>
      </c>
      <c r="K26" s="15" t="s">
        <v>1990</v>
      </c>
      <c r="L26" s="15" t="s">
        <v>1991</v>
      </c>
      <c r="M26" s="15" t="s">
        <v>1456</v>
      </c>
      <c r="N26" s="15"/>
    </row>
    <row r="27" customFormat="false" ht="26.25" hidden="false" customHeight="true" outlineLevel="0" collapsed="false">
      <c r="A27" s="15" t="s">
        <v>2050</v>
      </c>
      <c r="B27" s="15" t="s">
        <v>107</v>
      </c>
      <c r="C27" s="15" t="s">
        <v>108</v>
      </c>
      <c r="D27" s="15" t="s">
        <v>2051</v>
      </c>
      <c r="E27" s="15" t="s">
        <v>2032</v>
      </c>
      <c r="F27" s="15" t="s">
        <v>1987</v>
      </c>
      <c r="G27" s="15" t="s">
        <v>120</v>
      </c>
      <c r="H27" s="15" t="s">
        <v>1988</v>
      </c>
      <c r="I27" s="23"/>
      <c r="J27" s="15" t="s">
        <v>1989</v>
      </c>
      <c r="K27" s="15" t="s">
        <v>1990</v>
      </c>
      <c r="L27" s="15" t="s">
        <v>1991</v>
      </c>
      <c r="M27" s="15" t="s">
        <v>1456</v>
      </c>
      <c r="N27" s="15"/>
    </row>
    <row r="28" customFormat="false" ht="26.25" hidden="false" customHeight="true" outlineLevel="0" collapsed="false">
      <c r="A28" s="15" t="s">
        <v>2052</v>
      </c>
      <c r="B28" s="15" t="s">
        <v>107</v>
      </c>
      <c r="C28" s="15" t="s">
        <v>108</v>
      </c>
      <c r="D28" s="15" t="s">
        <v>2053</v>
      </c>
      <c r="E28" s="15" t="s">
        <v>2002</v>
      </c>
      <c r="F28" s="15" t="s">
        <v>1987</v>
      </c>
      <c r="G28" s="15" t="s">
        <v>2054</v>
      </c>
      <c r="H28" s="15" t="s">
        <v>1988</v>
      </c>
      <c r="I28" s="23"/>
      <c r="J28" s="15" t="s">
        <v>1989</v>
      </c>
      <c r="K28" s="15" t="s">
        <v>1990</v>
      </c>
      <c r="L28" s="15" t="s">
        <v>1991</v>
      </c>
      <c r="M28" s="15" t="s">
        <v>1456</v>
      </c>
      <c r="N28" s="15" t="s">
        <v>2055</v>
      </c>
    </row>
    <row r="29" customFormat="false" ht="26.25" hidden="false" customHeight="true" outlineLevel="0" collapsed="false">
      <c r="A29" s="15" t="s">
        <v>2056</v>
      </c>
      <c r="B29" s="15" t="s">
        <v>107</v>
      </c>
      <c r="C29" s="15" t="s">
        <v>108</v>
      </c>
      <c r="D29" s="15" t="s">
        <v>2057</v>
      </c>
      <c r="E29" s="15" t="s">
        <v>2002</v>
      </c>
      <c r="F29" s="15" t="s">
        <v>1987</v>
      </c>
      <c r="G29" s="15" t="s">
        <v>120</v>
      </c>
      <c r="H29" s="15" t="s">
        <v>1988</v>
      </c>
      <c r="I29" s="23"/>
      <c r="J29" s="15" t="s">
        <v>1989</v>
      </c>
      <c r="K29" s="15" t="s">
        <v>1990</v>
      </c>
      <c r="L29" s="15" t="s">
        <v>1991</v>
      </c>
      <c r="M29" s="15" t="s">
        <v>1456</v>
      </c>
      <c r="N29" s="15"/>
    </row>
    <row r="30" customFormat="false" ht="26.25" hidden="false" customHeight="true" outlineLevel="0" collapsed="false">
      <c r="A30" s="15" t="s">
        <v>2058</v>
      </c>
      <c r="B30" s="15" t="s">
        <v>107</v>
      </c>
      <c r="C30" s="15" t="s">
        <v>108</v>
      </c>
      <c r="D30" s="15" t="s">
        <v>2059</v>
      </c>
      <c r="E30" s="15" t="s">
        <v>2002</v>
      </c>
      <c r="F30" s="15" t="s">
        <v>1987</v>
      </c>
      <c r="G30" s="15" t="s">
        <v>120</v>
      </c>
      <c r="H30" s="15" t="s">
        <v>1988</v>
      </c>
      <c r="I30" s="23"/>
      <c r="J30" s="15" t="s">
        <v>1989</v>
      </c>
      <c r="K30" s="15" t="s">
        <v>1990</v>
      </c>
      <c r="L30" s="15" t="s">
        <v>1991</v>
      </c>
      <c r="M30" s="15" t="s">
        <v>1456</v>
      </c>
      <c r="N30" s="15"/>
    </row>
    <row r="31" customFormat="false" ht="26.25" hidden="false" customHeight="true" outlineLevel="0" collapsed="false">
      <c r="A31" s="15" t="s">
        <v>2060</v>
      </c>
      <c r="B31" s="15" t="s">
        <v>107</v>
      </c>
      <c r="C31" s="15" t="s">
        <v>108</v>
      </c>
      <c r="D31" s="15" t="s">
        <v>2061</v>
      </c>
      <c r="E31" s="15" t="s">
        <v>2062</v>
      </c>
      <c r="F31" s="15" t="s">
        <v>1987</v>
      </c>
      <c r="G31" s="15" t="s">
        <v>2063</v>
      </c>
      <c r="H31" s="15" t="s">
        <v>2064</v>
      </c>
      <c r="I31" s="23"/>
      <c r="J31" s="15" t="s">
        <v>1989</v>
      </c>
      <c r="K31" s="15" t="s">
        <v>1990</v>
      </c>
      <c r="L31" s="15" t="s">
        <v>1991</v>
      </c>
      <c r="M31" s="15" t="s">
        <v>1456</v>
      </c>
      <c r="N31" s="15" t="s">
        <v>2065</v>
      </c>
    </row>
    <row r="32" customFormat="false" ht="26.25" hidden="false" customHeight="true" outlineLevel="0" collapsed="false">
      <c r="A32" s="15" t="s">
        <v>2066</v>
      </c>
      <c r="B32" s="15" t="s">
        <v>107</v>
      </c>
      <c r="C32" s="15" t="s">
        <v>255</v>
      </c>
      <c r="D32" s="15" t="s">
        <v>1985</v>
      </c>
      <c r="E32" s="15" t="s">
        <v>1986</v>
      </c>
      <c r="F32" s="15" t="s">
        <v>1987</v>
      </c>
      <c r="G32" s="15" t="s">
        <v>120</v>
      </c>
      <c r="H32" s="15" t="s">
        <v>1988</v>
      </c>
      <c r="I32" s="23"/>
      <c r="J32" s="15" t="s">
        <v>1989</v>
      </c>
      <c r="K32" s="15" t="s">
        <v>1990</v>
      </c>
      <c r="L32" s="15" t="s">
        <v>1991</v>
      </c>
      <c r="M32" s="15" t="s">
        <v>1461</v>
      </c>
      <c r="N32" s="15"/>
    </row>
    <row r="33" customFormat="false" ht="26.25" hidden="false" customHeight="true" outlineLevel="0" collapsed="false">
      <c r="A33" s="15" t="s">
        <v>2067</v>
      </c>
      <c r="B33" s="15" t="s">
        <v>107</v>
      </c>
      <c r="C33" s="15" t="s">
        <v>255</v>
      </c>
      <c r="D33" s="15" t="s">
        <v>2001</v>
      </c>
      <c r="E33" s="15" t="s">
        <v>2002</v>
      </c>
      <c r="F33" s="15" t="s">
        <v>1987</v>
      </c>
      <c r="G33" s="15" t="s">
        <v>120</v>
      </c>
      <c r="H33" s="15" t="s">
        <v>1988</v>
      </c>
      <c r="I33" s="23"/>
      <c r="J33" s="15" t="s">
        <v>1989</v>
      </c>
      <c r="K33" s="15" t="s">
        <v>1990</v>
      </c>
      <c r="L33" s="15" t="s">
        <v>1991</v>
      </c>
      <c r="M33" s="15" t="s">
        <v>1461</v>
      </c>
      <c r="N33" s="15"/>
    </row>
    <row r="34" customFormat="false" ht="26.25" hidden="false" customHeight="true" outlineLevel="0" collapsed="false">
      <c r="A34" s="15" t="s">
        <v>2068</v>
      </c>
      <c r="B34" s="15" t="s">
        <v>107</v>
      </c>
      <c r="C34" s="15" t="s">
        <v>255</v>
      </c>
      <c r="D34" s="15" t="s">
        <v>2069</v>
      </c>
      <c r="E34" s="15" t="s">
        <v>1986</v>
      </c>
      <c r="F34" s="15" t="s">
        <v>1987</v>
      </c>
      <c r="G34" s="15" t="s">
        <v>120</v>
      </c>
      <c r="H34" s="15" t="s">
        <v>1988</v>
      </c>
      <c r="I34" s="23"/>
      <c r="J34" s="15" t="s">
        <v>1989</v>
      </c>
      <c r="K34" s="15" t="s">
        <v>1990</v>
      </c>
      <c r="L34" s="15" t="s">
        <v>1991</v>
      </c>
      <c r="M34" s="15" t="s">
        <v>1461</v>
      </c>
      <c r="N34" s="15"/>
    </row>
    <row r="35" customFormat="false" ht="26.25" hidden="false" customHeight="true" outlineLevel="0" collapsed="false">
      <c r="A35" s="15" t="s">
        <v>2070</v>
      </c>
      <c r="B35" s="15" t="s">
        <v>107</v>
      </c>
      <c r="C35" s="15" t="s">
        <v>255</v>
      </c>
      <c r="D35" s="15" t="s">
        <v>2004</v>
      </c>
      <c r="E35" s="15" t="s">
        <v>1986</v>
      </c>
      <c r="F35" s="15" t="s">
        <v>1987</v>
      </c>
      <c r="G35" s="15" t="s">
        <v>120</v>
      </c>
      <c r="H35" s="15" t="s">
        <v>1988</v>
      </c>
      <c r="I35" s="23"/>
      <c r="J35" s="15" t="s">
        <v>1989</v>
      </c>
      <c r="K35" s="15" t="s">
        <v>1990</v>
      </c>
      <c r="L35" s="15" t="s">
        <v>1991</v>
      </c>
      <c r="M35" s="15" t="s">
        <v>1461</v>
      </c>
      <c r="N35" s="15"/>
    </row>
    <row r="36" customFormat="false" ht="26.25" hidden="false" customHeight="true" outlineLevel="0" collapsed="false">
      <c r="A36" s="15" t="s">
        <v>2071</v>
      </c>
      <c r="B36" s="15" t="s">
        <v>107</v>
      </c>
      <c r="C36" s="15" t="s">
        <v>255</v>
      </c>
      <c r="D36" s="15" t="s">
        <v>2006</v>
      </c>
      <c r="E36" s="15" t="s">
        <v>1986</v>
      </c>
      <c r="F36" s="15" t="s">
        <v>1987</v>
      </c>
      <c r="G36" s="15" t="s">
        <v>120</v>
      </c>
      <c r="H36" s="15" t="s">
        <v>1988</v>
      </c>
      <c r="I36" s="23"/>
      <c r="J36" s="15" t="s">
        <v>1989</v>
      </c>
      <c r="K36" s="15" t="s">
        <v>1990</v>
      </c>
      <c r="L36" s="15" t="s">
        <v>1991</v>
      </c>
      <c r="M36" s="15" t="s">
        <v>1461</v>
      </c>
      <c r="N36" s="15"/>
    </row>
    <row r="37" customFormat="false" ht="26.25" hidden="false" customHeight="true" outlineLevel="0" collapsed="false">
      <c r="A37" s="15" t="s">
        <v>2072</v>
      </c>
      <c r="B37" s="15" t="s">
        <v>107</v>
      </c>
      <c r="C37" s="15" t="s">
        <v>255</v>
      </c>
      <c r="D37" s="15" t="s">
        <v>2073</v>
      </c>
      <c r="E37" s="15" t="s">
        <v>2002</v>
      </c>
      <c r="F37" s="15" t="s">
        <v>1987</v>
      </c>
      <c r="G37" s="15" t="s">
        <v>120</v>
      </c>
      <c r="H37" s="15" t="s">
        <v>1988</v>
      </c>
      <c r="I37" s="23"/>
      <c r="J37" s="15" t="s">
        <v>1989</v>
      </c>
      <c r="K37" s="15" t="s">
        <v>1990</v>
      </c>
      <c r="L37" s="15" t="s">
        <v>1991</v>
      </c>
      <c r="M37" s="15" t="s">
        <v>1461</v>
      </c>
      <c r="N37" s="15"/>
    </row>
    <row r="38" customFormat="false" ht="26.25" hidden="false" customHeight="true" outlineLevel="0" collapsed="false">
      <c r="A38" s="15" t="s">
        <v>2074</v>
      </c>
      <c r="B38" s="15" t="s">
        <v>107</v>
      </c>
      <c r="C38" s="15" t="s">
        <v>255</v>
      </c>
      <c r="D38" s="15" t="s">
        <v>2016</v>
      </c>
      <c r="E38" s="15" t="s">
        <v>1986</v>
      </c>
      <c r="F38" s="15" t="s">
        <v>1987</v>
      </c>
      <c r="G38" s="15" t="s">
        <v>120</v>
      </c>
      <c r="H38" s="15" t="s">
        <v>1988</v>
      </c>
      <c r="I38" s="23"/>
      <c r="J38" s="15" t="s">
        <v>1989</v>
      </c>
      <c r="K38" s="15" t="s">
        <v>1990</v>
      </c>
      <c r="L38" s="15" t="s">
        <v>1991</v>
      </c>
      <c r="M38" s="15" t="s">
        <v>1461</v>
      </c>
      <c r="N38" s="15"/>
    </row>
    <row r="39" customFormat="false" ht="26.25" hidden="false" customHeight="true" outlineLevel="0" collapsed="false">
      <c r="A39" s="15" t="s">
        <v>2075</v>
      </c>
      <c r="B39" s="15" t="s">
        <v>107</v>
      </c>
      <c r="C39" s="15" t="s">
        <v>255</v>
      </c>
      <c r="D39" s="15" t="s">
        <v>2020</v>
      </c>
      <c r="E39" s="15" t="s">
        <v>2002</v>
      </c>
      <c r="F39" s="15" t="s">
        <v>1987</v>
      </c>
      <c r="G39" s="15" t="s">
        <v>120</v>
      </c>
      <c r="H39" s="15" t="s">
        <v>1988</v>
      </c>
      <c r="I39" s="23"/>
      <c r="J39" s="15" t="s">
        <v>1989</v>
      </c>
      <c r="K39" s="15" t="s">
        <v>1990</v>
      </c>
      <c r="L39" s="15" t="s">
        <v>1991</v>
      </c>
      <c r="M39" s="15" t="s">
        <v>1461</v>
      </c>
      <c r="N39" s="15"/>
    </row>
    <row r="40" customFormat="false" ht="26.25" hidden="false" customHeight="true" outlineLevel="0" collapsed="false">
      <c r="A40" s="15" t="s">
        <v>2076</v>
      </c>
      <c r="B40" s="15" t="s">
        <v>107</v>
      </c>
      <c r="C40" s="15" t="s">
        <v>255</v>
      </c>
      <c r="D40" s="15" t="s">
        <v>2018</v>
      </c>
      <c r="E40" s="15" t="s">
        <v>2002</v>
      </c>
      <c r="F40" s="15" t="s">
        <v>1987</v>
      </c>
      <c r="G40" s="15" t="s">
        <v>120</v>
      </c>
      <c r="H40" s="15" t="s">
        <v>1988</v>
      </c>
      <c r="I40" s="23"/>
      <c r="J40" s="15" t="s">
        <v>1989</v>
      </c>
      <c r="K40" s="15" t="s">
        <v>1990</v>
      </c>
      <c r="L40" s="15" t="s">
        <v>1991</v>
      </c>
      <c r="M40" s="15" t="s">
        <v>1461</v>
      </c>
      <c r="N40" s="15"/>
    </row>
    <row r="41" customFormat="false" ht="26.25" hidden="false" customHeight="true" outlineLevel="0" collapsed="false">
      <c r="A41" s="15" t="s">
        <v>2077</v>
      </c>
      <c r="B41" s="15" t="s">
        <v>107</v>
      </c>
      <c r="C41" s="15" t="s">
        <v>255</v>
      </c>
      <c r="D41" s="15" t="s">
        <v>2078</v>
      </c>
      <c r="E41" s="15" t="s">
        <v>2032</v>
      </c>
      <c r="F41" s="15" t="s">
        <v>1987</v>
      </c>
      <c r="G41" s="15" t="s">
        <v>120</v>
      </c>
      <c r="H41" s="15" t="s">
        <v>1988</v>
      </c>
      <c r="I41" s="23"/>
      <c r="J41" s="15" t="s">
        <v>1989</v>
      </c>
      <c r="K41" s="15" t="s">
        <v>1990</v>
      </c>
      <c r="L41" s="15" t="s">
        <v>1991</v>
      </c>
      <c r="M41" s="15" t="s">
        <v>1461</v>
      </c>
      <c r="N41" s="15"/>
    </row>
    <row r="42" customFormat="false" ht="26.25" hidden="false" customHeight="true" outlineLevel="0" collapsed="false">
      <c r="A42" s="15" t="s">
        <v>2079</v>
      </c>
      <c r="B42" s="15" t="s">
        <v>107</v>
      </c>
      <c r="C42" s="15" t="s">
        <v>255</v>
      </c>
      <c r="D42" s="15" t="s">
        <v>2080</v>
      </c>
      <c r="E42" s="15" t="s">
        <v>2032</v>
      </c>
      <c r="F42" s="15" t="s">
        <v>1987</v>
      </c>
      <c r="G42" s="15" t="s">
        <v>120</v>
      </c>
      <c r="H42" s="15" t="s">
        <v>1988</v>
      </c>
      <c r="I42" s="23"/>
      <c r="J42" s="15" t="s">
        <v>1989</v>
      </c>
      <c r="K42" s="15" t="s">
        <v>1990</v>
      </c>
      <c r="L42" s="15" t="s">
        <v>1991</v>
      </c>
      <c r="M42" s="15" t="s">
        <v>1461</v>
      </c>
      <c r="N42" s="15"/>
    </row>
    <row r="43" customFormat="false" ht="26.25" hidden="false" customHeight="true" outlineLevel="0" collapsed="false">
      <c r="A43" s="15" t="s">
        <v>2081</v>
      </c>
      <c r="B43" s="15" t="s">
        <v>107</v>
      </c>
      <c r="C43" s="15" t="s">
        <v>255</v>
      </c>
      <c r="D43" s="15" t="s">
        <v>2031</v>
      </c>
      <c r="E43" s="15" t="s">
        <v>2032</v>
      </c>
      <c r="F43" s="15" t="s">
        <v>1987</v>
      </c>
      <c r="G43" s="15" t="s">
        <v>120</v>
      </c>
      <c r="H43" s="15" t="s">
        <v>1988</v>
      </c>
      <c r="I43" s="23"/>
      <c r="J43" s="15" t="s">
        <v>1989</v>
      </c>
      <c r="K43" s="15" t="s">
        <v>1990</v>
      </c>
      <c r="L43" s="15" t="s">
        <v>1991</v>
      </c>
      <c r="M43" s="15" t="s">
        <v>1461</v>
      </c>
      <c r="N43" s="15"/>
    </row>
    <row r="44" customFormat="false" ht="26.25" hidden="false" customHeight="true" outlineLevel="0" collapsed="false">
      <c r="A44" s="15" t="s">
        <v>2082</v>
      </c>
      <c r="B44" s="15" t="s">
        <v>107</v>
      </c>
      <c r="C44" s="15" t="s">
        <v>255</v>
      </c>
      <c r="D44" s="15" t="s">
        <v>2083</v>
      </c>
      <c r="E44" s="15" t="s">
        <v>2032</v>
      </c>
      <c r="F44" s="15" t="s">
        <v>1987</v>
      </c>
      <c r="G44" s="15" t="s">
        <v>120</v>
      </c>
      <c r="H44" s="15" t="s">
        <v>1988</v>
      </c>
      <c r="I44" s="23"/>
      <c r="J44" s="15" t="s">
        <v>1989</v>
      </c>
      <c r="K44" s="15" t="s">
        <v>1990</v>
      </c>
      <c r="L44" s="15" t="s">
        <v>1991</v>
      </c>
      <c r="M44" s="15" t="s">
        <v>1461</v>
      </c>
      <c r="N44" s="15"/>
    </row>
    <row r="45" customFormat="false" ht="26.25" hidden="false" customHeight="true" outlineLevel="0" collapsed="false">
      <c r="A45" s="15" t="s">
        <v>2084</v>
      </c>
      <c r="B45" s="15" t="s">
        <v>107</v>
      </c>
      <c r="C45" s="15" t="s">
        <v>255</v>
      </c>
      <c r="D45" s="15" t="s">
        <v>2034</v>
      </c>
      <c r="E45" s="15" t="s">
        <v>2032</v>
      </c>
      <c r="F45" s="15" t="s">
        <v>1987</v>
      </c>
      <c r="G45" s="15" t="s">
        <v>120</v>
      </c>
      <c r="H45" s="15" t="s">
        <v>1988</v>
      </c>
      <c r="I45" s="23"/>
      <c r="J45" s="15" t="s">
        <v>1989</v>
      </c>
      <c r="K45" s="15" t="s">
        <v>1990</v>
      </c>
      <c r="L45" s="15" t="s">
        <v>1991</v>
      </c>
      <c r="M45" s="15" t="s">
        <v>1461</v>
      </c>
      <c r="N45" s="15"/>
    </row>
    <row r="46" customFormat="false" ht="26.25" hidden="false" customHeight="true" outlineLevel="0" collapsed="false">
      <c r="A46" s="15" t="s">
        <v>2085</v>
      </c>
      <c r="B46" s="15" t="s">
        <v>107</v>
      </c>
      <c r="C46" s="15" t="s">
        <v>255</v>
      </c>
      <c r="D46" s="15" t="s">
        <v>2086</v>
      </c>
      <c r="E46" s="15" t="s">
        <v>2032</v>
      </c>
      <c r="F46" s="15" t="s">
        <v>1987</v>
      </c>
      <c r="G46" s="15" t="s">
        <v>120</v>
      </c>
      <c r="H46" s="15" t="s">
        <v>1988</v>
      </c>
      <c r="I46" s="23"/>
      <c r="J46" s="15" t="s">
        <v>1989</v>
      </c>
      <c r="K46" s="15" t="s">
        <v>1990</v>
      </c>
      <c r="L46" s="15" t="s">
        <v>1991</v>
      </c>
      <c r="M46" s="15" t="s">
        <v>1461</v>
      </c>
      <c r="N46" s="15"/>
    </row>
    <row r="47" customFormat="false" ht="26.25" hidden="false" customHeight="true" outlineLevel="0" collapsed="false">
      <c r="A47" s="15" t="s">
        <v>2087</v>
      </c>
      <c r="B47" s="15" t="s">
        <v>107</v>
      </c>
      <c r="C47" s="15" t="s">
        <v>255</v>
      </c>
      <c r="D47" s="15" t="s">
        <v>2044</v>
      </c>
      <c r="E47" s="15" t="s">
        <v>2032</v>
      </c>
      <c r="F47" s="15" t="s">
        <v>1987</v>
      </c>
      <c r="G47" s="15" t="s">
        <v>120</v>
      </c>
      <c r="H47" s="15" t="s">
        <v>1988</v>
      </c>
      <c r="I47" s="23"/>
      <c r="J47" s="15" t="s">
        <v>1989</v>
      </c>
      <c r="K47" s="15" t="s">
        <v>1990</v>
      </c>
      <c r="L47" s="15" t="s">
        <v>1991</v>
      </c>
      <c r="M47" s="15" t="s">
        <v>1461</v>
      </c>
      <c r="N47" s="15"/>
    </row>
    <row r="48" customFormat="false" ht="26.25" hidden="false" customHeight="true" outlineLevel="0" collapsed="false">
      <c r="A48" s="15" t="s">
        <v>2088</v>
      </c>
      <c r="B48" s="15" t="s">
        <v>107</v>
      </c>
      <c r="C48" s="15" t="s">
        <v>255</v>
      </c>
      <c r="D48" s="15" t="s">
        <v>2089</v>
      </c>
      <c r="E48" s="15" t="s">
        <v>2027</v>
      </c>
      <c r="F48" s="15" t="s">
        <v>1987</v>
      </c>
      <c r="G48" s="15" t="s">
        <v>2090</v>
      </c>
      <c r="H48" s="15" t="s">
        <v>1998</v>
      </c>
      <c r="I48" s="23"/>
      <c r="J48" s="15" t="s">
        <v>1989</v>
      </c>
      <c r="K48" s="15" t="s">
        <v>1990</v>
      </c>
      <c r="L48" s="15" t="s">
        <v>1991</v>
      </c>
      <c r="M48" s="15" t="s">
        <v>1461</v>
      </c>
      <c r="N48" s="15"/>
    </row>
    <row r="49" customFormat="false" ht="26.25" hidden="false" customHeight="true" outlineLevel="0" collapsed="false">
      <c r="A49" s="15" t="s">
        <v>2091</v>
      </c>
      <c r="B49" s="15" t="s">
        <v>107</v>
      </c>
      <c r="C49" s="15" t="s">
        <v>255</v>
      </c>
      <c r="D49" s="15" t="s">
        <v>2092</v>
      </c>
      <c r="E49" s="15" t="s">
        <v>2002</v>
      </c>
      <c r="F49" s="15" t="s">
        <v>1987</v>
      </c>
      <c r="G49" s="15" t="s">
        <v>120</v>
      </c>
      <c r="H49" s="15" t="s">
        <v>1988</v>
      </c>
      <c r="I49" s="23"/>
      <c r="J49" s="15" t="s">
        <v>1989</v>
      </c>
      <c r="K49" s="15" t="s">
        <v>1990</v>
      </c>
      <c r="L49" s="15" t="s">
        <v>1991</v>
      </c>
      <c r="M49" s="15" t="s">
        <v>1461</v>
      </c>
      <c r="N49" s="15"/>
    </row>
    <row r="50" customFormat="false" ht="26.25" hidden="false" customHeight="true" outlineLevel="0" collapsed="false">
      <c r="A50" s="15" t="s">
        <v>2093</v>
      </c>
      <c r="B50" s="15" t="s">
        <v>107</v>
      </c>
      <c r="C50" s="15" t="s">
        <v>255</v>
      </c>
      <c r="D50" s="15" t="s">
        <v>2094</v>
      </c>
      <c r="E50" s="15" t="s">
        <v>2002</v>
      </c>
      <c r="F50" s="15" t="s">
        <v>1987</v>
      </c>
      <c r="G50" s="15" t="s">
        <v>120</v>
      </c>
      <c r="H50" s="15" t="s">
        <v>1988</v>
      </c>
      <c r="I50" s="23"/>
      <c r="J50" s="15" t="s">
        <v>1989</v>
      </c>
      <c r="K50" s="15" t="s">
        <v>1990</v>
      </c>
      <c r="L50" s="15" t="s">
        <v>1991</v>
      </c>
      <c r="M50" s="15" t="s">
        <v>1461</v>
      </c>
      <c r="N50" s="15"/>
    </row>
    <row r="51" customFormat="false" ht="26.25" hidden="false" customHeight="true" outlineLevel="0" collapsed="false">
      <c r="A51" s="15" t="s">
        <v>2095</v>
      </c>
      <c r="B51" s="15" t="s">
        <v>107</v>
      </c>
      <c r="C51" s="15" t="s">
        <v>255</v>
      </c>
      <c r="D51" s="15" t="s">
        <v>2096</v>
      </c>
      <c r="E51" s="15" t="s">
        <v>2002</v>
      </c>
      <c r="F51" s="15" t="s">
        <v>1987</v>
      </c>
      <c r="G51" s="15" t="s">
        <v>120</v>
      </c>
      <c r="H51" s="15" t="s">
        <v>1988</v>
      </c>
      <c r="I51" s="23"/>
      <c r="J51" s="15" t="s">
        <v>1989</v>
      </c>
      <c r="K51" s="15" t="s">
        <v>1990</v>
      </c>
      <c r="L51" s="15" t="s">
        <v>1991</v>
      </c>
      <c r="M51" s="15" t="s">
        <v>1461</v>
      </c>
      <c r="N51" s="15"/>
    </row>
    <row r="52" customFormat="false" ht="26.25" hidden="false" customHeight="true" outlineLevel="0" collapsed="false">
      <c r="A52" s="15" t="s">
        <v>2097</v>
      </c>
      <c r="B52" s="15" t="s">
        <v>107</v>
      </c>
      <c r="C52" s="15" t="s">
        <v>255</v>
      </c>
      <c r="D52" s="15" t="s">
        <v>2098</v>
      </c>
      <c r="E52" s="15" t="s">
        <v>2099</v>
      </c>
      <c r="F52" s="15" t="s">
        <v>1987</v>
      </c>
      <c r="G52" s="15" t="s">
        <v>2100</v>
      </c>
      <c r="H52" s="15" t="s">
        <v>1988</v>
      </c>
      <c r="I52" s="23"/>
      <c r="J52" s="15" t="s">
        <v>1989</v>
      </c>
      <c r="K52" s="15" t="s">
        <v>1990</v>
      </c>
      <c r="L52" s="15" t="s">
        <v>1991</v>
      </c>
      <c r="M52" s="15" t="s">
        <v>1461</v>
      </c>
      <c r="N52" s="15" t="s">
        <v>2101</v>
      </c>
    </row>
    <row r="53" customFormat="false" ht="26.25" hidden="false" customHeight="true" outlineLevel="0" collapsed="false">
      <c r="A53" s="15" t="s">
        <v>2102</v>
      </c>
      <c r="B53" s="15" t="s">
        <v>107</v>
      </c>
      <c r="C53" s="15" t="s">
        <v>255</v>
      </c>
      <c r="D53" s="15" t="s">
        <v>2103</v>
      </c>
      <c r="E53" s="15" t="s">
        <v>2099</v>
      </c>
      <c r="F53" s="15" t="s">
        <v>1987</v>
      </c>
      <c r="G53" s="15" t="s">
        <v>120</v>
      </c>
      <c r="H53" s="15" t="s">
        <v>1988</v>
      </c>
      <c r="I53" s="23"/>
      <c r="J53" s="15" t="s">
        <v>1989</v>
      </c>
      <c r="K53" s="15" t="s">
        <v>1990</v>
      </c>
      <c r="L53" s="15" t="s">
        <v>1991</v>
      </c>
      <c r="M53" s="15" t="s">
        <v>1461</v>
      </c>
      <c r="N53" s="15"/>
    </row>
    <row r="54" customFormat="false" ht="26.25" hidden="false" customHeight="true" outlineLevel="0" collapsed="false">
      <c r="A54" s="15" t="s">
        <v>2104</v>
      </c>
      <c r="B54" s="15" t="s">
        <v>107</v>
      </c>
      <c r="C54" s="15" t="s">
        <v>255</v>
      </c>
      <c r="D54" s="15" t="s">
        <v>2105</v>
      </c>
      <c r="E54" s="15" t="s">
        <v>2106</v>
      </c>
      <c r="F54" s="15" t="s">
        <v>1987</v>
      </c>
      <c r="G54" s="15" t="s">
        <v>2107</v>
      </c>
      <c r="H54" s="15" t="s">
        <v>1988</v>
      </c>
      <c r="I54" s="23"/>
      <c r="J54" s="15" t="s">
        <v>1989</v>
      </c>
      <c r="K54" s="15" t="s">
        <v>1990</v>
      </c>
      <c r="L54" s="15" t="s">
        <v>1991</v>
      </c>
      <c r="M54" s="15" t="s">
        <v>1461</v>
      </c>
      <c r="N54" s="15" t="s">
        <v>2108</v>
      </c>
    </row>
    <row r="55" customFormat="false" ht="26.25" hidden="false" customHeight="true" outlineLevel="0" collapsed="false">
      <c r="A55" s="15" t="s">
        <v>2109</v>
      </c>
      <c r="B55" s="15" t="s">
        <v>107</v>
      </c>
      <c r="C55" s="15" t="s">
        <v>255</v>
      </c>
      <c r="D55" s="15" t="s">
        <v>2110</v>
      </c>
      <c r="E55" s="15" t="s">
        <v>2047</v>
      </c>
      <c r="F55" s="15" t="s">
        <v>1987</v>
      </c>
      <c r="G55" s="15" t="s">
        <v>120</v>
      </c>
      <c r="H55" s="15" t="s">
        <v>1988</v>
      </c>
      <c r="I55" s="23"/>
      <c r="J55" s="15" t="s">
        <v>1989</v>
      </c>
      <c r="K55" s="15" t="s">
        <v>1990</v>
      </c>
      <c r="L55" s="15" t="s">
        <v>1991</v>
      </c>
      <c r="M55" s="15" t="s">
        <v>1461</v>
      </c>
      <c r="N55" s="15"/>
    </row>
    <row r="56" customFormat="false" ht="26.25" hidden="false" customHeight="true" outlineLevel="0" collapsed="false">
      <c r="A56" s="15" t="s">
        <v>2111</v>
      </c>
      <c r="B56" s="15" t="s">
        <v>107</v>
      </c>
      <c r="C56" s="15" t="s">
        <v>255</v>
      </c>
      <c r="D56" s="15" t="s">
        <v>2112</v>
      </c>
      <c r="E56" s="15" t="s">
        <v>2002</v>
      </c>
      <c r="F56" s="15" t="s">
        <v>1987</v>
      </c>
      <c r="G56" s="15" t="s">
        <v>120</v>
      </c>
      <c r="H56" s="15" t="s">
        <v>1988</v>
      </c>
      <c r="I56" s="23"/>
      <c r="J56" s="15" t="s">
        <v>1989</v>
      </c>
      <c r="K56" s="15" t="s">
        <v>1990</v>
      </c>
      <c r="L56" s="15" t="s">
        <v>1991</v>
      </c>
      <c r="M56" s="15" t="s">
        <v>1461</v>
      </c>
      <c r="N56" s="15"/>
    </row>
    <row r="57" customFormat="false" ht="26.25" hidden="false" customHeight="true" outlineLevel="0" collapsed="false">
      <c r="A57" s="15" t="s">
        <v>2113</v>
      </c>
      <c r="B57" s="15" t="s">
        <v>107</v>
      </c>
      <c r="C57" s="15" t="s">
        <v>255</v>
      </c>
      <c r="D57" s="15" t="s">
        <v>2114</v>
      </c>
      <c r="E57" s="15" t="s">
        <v>2002</v>
      </c>
      <c r="F57" s="15" t="s">
        <v>1987</v>
      </c>
      <c r="G57" s="15" t="s">
        <v>120</v>
      </c>
      <c r="H57" s="15" t="s">
        <v>1988</v>
      </c>
      <c r="I57" s="23"/>
      <c r="J57" s="15" t="s">
        <v>1989</v>
      </c>
      <c r="K57" s="15" t="s">
        <v>1990</v>
      </c>
      <c r="L57" s="15" t="s">
        <v>1991</v>
      </c>
      <c r="M57" s="15" t="s">
        <v>1461</v>
      </c>
      <c r="N57" s="15"/>
    </row>
    <row r="58" customFormat="false" ht="26.25" hidden="false" customHeight="true" outlineLevel="0" collapsed="false">
      <c r="A58" s="15" t="s">
        <v>2115</v>
      </c>
      <c r="B58" s="15" t="s">
        <v>107</v>
      </c>
      <c r="C58" s="15" t="s">
        <v>196</v>
      </c>
      <c r="D58" s="15" t="s">
        <v>2116</v>
      </c>
      <c r="E58" s="15" t="s">
        <v>2117</v>
      </c>
      <c r="F58" s="15" t="s">
        <v>1987</v>
      </c>
      <c r="G58" s="15" t="s">
        <v>120</v>
      </c>
      <c r="H58" s="15" t="s">
        <v>1988</v>
      </c>
      <c r="I58" s="23"/>
      <c r="J58" s="15" t="s">
        <v>1989</v>
      </c>
      <c r="K58" s="15" t="s">
        <v>1990</v>
      </c>
      <c r="L58" s="15" t="s">
        <v>1991</v>
      </c>
      <c r="M58" s="15" t="s">
        <v>1465</v>
      </c>
      <c r="N58" s="15"/>
    </row>
    <row r="59" customFormat="false" ht="26.25" hidden="false" customHeight="true" outlineLevel="0" collapsed="false">
      <c r="A59" s="15" t="s">
        <v>2118</v>
      </c>
      <c r="B59" s="15" t="s">
        <v>107</v>
      </c>
      <c r="C59" s="15" t="s">
        <v>196</v>
      </c>
      <c r="D59" s="15" t="s">
        <v>2119</v>
      </c>
      <c r="E59" s="15" t="s">
        <v>1986</v>
      </c>
      <c r="F59" s="15" t="s">
        <v>1987</v>
      </c>
      <c r="G59" s="15" t="s">
        <v>120</v>
      </c>
      <c r="H59" s="15" t="s">
        <v>1988</v>
      </c>
      <c r="I59" s="23"/>
      <c r="J59" s="15" t="s">
        <v>1989</v>
      </c>
      <c r="K59" s="15" t="s">
        <v>1990</v>
      </c>
      <c r="L59" s="15" t="s">
        <v>1991</v>
      </c>
      <c r="M59" s="15" t="s">
        <v>1465</v>
      </c>
      <c r="N59" s="15"/>
    </row>
    <row r="60" customFormat="false" ht="26.25" hidden="false" customHeight="true" outlineLevel="0" collapsed="false">
      <c r="A60" s="15" t="s">
        <v>2120</v>
      </c>
      <c r="B60" s="15" t="s">
        <v>107</v>
      </c>
      <c r="C60" s="15" t="s">
        <v>196</v>
      </c>
      <c r="D60" s="15" t="s">
        <v>2004</v>
      </c>
      <c r="E60" s="15" t="s">
        <v>1986</v>
      </c>
      <c r="F60" s="15" t="s">
        <v>1987</v>
      </c>
      <c r="G60" s="15" t="s">
        <v>120</v>
      </c>
      <c r="H60" s="15" t="s">
        <v>1988</v>
      </c>
      <c r="I60" s="23"/>
      <c r="J60" s="15" t="s">
        <v>1989</v>
      </c>
      <c r="K60" s="15" t="s">
        <v>1990</v>
      </c>
      <c r="L60" s="15" t="s">
        <v>1991</v>
      </c>
      <c r="M60" s="15" t="s">
        <v>1465</v>
      </c>
      <c r="N60" s="15"/>
    </row>
    <row r="61" customFormat="false" ht="26.25" hidden="false" customHeight="true" outlineLevel="0" collapsed="false">
      <c r="A61" s="15" t="s">
        <v>2121</v>
      </c>
      <c r="B61" s="15" t="s">
        <v>107</v>
      </c>
      <c r="C61" s="15" t="s">
        <v>196</v>
      </c>
      <c r="D61" s="15" t="s">
        <v>2069</v>
      </c>
      <c r="E61" s="15" t="s">
        <v>1986</v>
      </c>
      <c r="F61" s="15" t="s">
        <v>1987</v>
      </c>
      <c r="G61" s="15" t="s">
        <v>120</v>
      </c>
      <c r="H61" s="15" t="s">
        <v>1988</v>
      </c>
      <c r="I61" s="23"/>
      <c r="J61" s="15" t="s">
        <v>1989</v>
      </c>
      <c r="K61" s="15" t="s">
        <v>1990</v>
      </c>
      <c r="L61" s="15" t="s">
        <v>1991</v>
      </c>
      <c r="M61" s="15" t="s">
        <v>1465</v>
      </c>
      <c r="N61" s="15"/>
    </row>
    <row r="62" customFormat="false" ht="26.25" hidden="false" customHeight="true" outlineLevel="0" collapsed="false">
      <c r="A62" s="15" t="s">
        <v>2122</v>
      </c>
      <c r="B62" s="15" t="s">
        <v>107</v>
      </c>
      <c r="C62" s="15" t="s">
        <v>196</v>
      </c>
      <c r="D62" s="15" t="s">
        <v>2123</v>
      </c>
      <c r="E62" s="15" t="s">
        <v>2002</v>
      </c>
      <c r="F62" s="15" t="s">
        <v>1987</v>
      </c>
      <c r="G62" s="15" t="s">
        <v>120</v>
      </c>
      <c r="H62" s="15" t="s">
        <v>1988</v>
      </c>
      <c r="I62" s="23"/>
      <c r="J62" s="15" t="s">
        <v>1989</v>
      </c>
      <c r="K62" s="15" t="s">
        <v>1990</v>
      </c>
      <c r="L62" s="15" t="s">
        <v>1991</v>
      </c>
      <c r="M62" s="15" t="s">
        <v>1465</v>
      </c>
      <c r="N62" s="15"/>
    </row>
    <row r="63" customFormat="false" ht="26.25" hidden="false" customHeight="true" outlineLevel="0" collapsed="false">
      <c r="A63" s="15" t="s">
        <v>2124</v>
      </c>
      <c r="B63" s="15" t="s">
        <v>107</v>
      </c>
      <c r="C63" s="15" t="s">
        <v>196</v>
      </c>
      <c r="D63" s="15" t="s">
        <v>2125</v>
      </c>
      <c r="E63" s="15" t="s">
        <v>2117</v>
      </c>
      <c r="F63" s="15" t="s">
        <v>1987</v>
      </c>
      <c r="G63" s="15" t="s">
        <v>120</v>
      </c>
      <c r="H63" s="15" t="s">
        <v>1988</v>
      </c>
      <c r="I63" s="23"/>
      <c r="J63" s="15" t="s">
        <v>1989</v>
      </c>
      <c r="K63" s="15" t="s">
        <v>1990</v>
      </c>
      <c r="L63" s="15" t="s">
        <v>1991</v>
      </c>
      <c r="M63" s="15" t="s">
        <v>1465</v>
      </c>
      <c r="N63" s="15"/>
    </row>
    <row r="64" customFormat="false" ht="26.25" hidden="false" customHeight="true" outlineLevel="0" collapsed="false">
      <c r="A64" s="15" t="s">
        <v>2126</v>
      </c>
      <c r="B64" s="15" t="s">
        <v>107</v>
      </c>
      <c r="C64" s="15" t="s">
        <v>196</v>
      </c>
      <c r="D64" s="15" t="s">
        <v>2001</v>
      </c>
      <c r="E64" s="15" t="s">
        <v>2002</v>
      </c>
      <c r="F64" s="15" t="s">
        <v>1987</v>
      </c>
      <c r="G64" s="15" t="s">
        <v>120</v>
      </c>
      <c r="H64" s="15" t="s">
        <v>1988</v>
      </c>
      <c r="I64" s="23"/>
      <c r="J64" s="15" t="s">
        <v>1989</v>
      </c>
      <c r="K64" s="15" t="s">
        <v>1990</v>
      </c>
      <c r="L64" s="15" t="s">
        <v>1991</v>
      </c>
      <c r="M64" s="15" t="s">
        <v>1465</v>
      </c>
      <c r="N64" s="15"/>
    </row>
    <row r="65" customFormat="false" ht="26.25" hidden="false" customHeight="true" outlineLevel="0" collapsed="false">
      <c r="A65" s="15" t="s">
        <v>2127</v>
      </c>
      <c r="B65" s="15" t="s">
        <v>107</v>
      </c>
      <c r="C65" s="15" t="s">
        <v>196</v>
      </c>
      <c r="D65" s="15" t="s">
        <v>2016</v>
      </c>
      <c r="E65" s="15" t="s">
        <v>1986</v>
      </c>
      <c r="F65" s="15" t="s">
        <v>1987</v>
      </c>
      <c r="G65" s="15" t="s">
        <v>120</v>
      </c>
      <c r="H65" s="15" t="s">
        <v>1988</v>
      </c>
      <c r="I65" s="23"/>
      <c r="J65" s="15" t="s">
        <v>1989</v>
      </c>
      <c r="K65" s="15" t="s">
        <v>1990</v>
      </c>
      <c r="L65" s="15" t="s">
        <v>1991</v>
      </c>
      <c r="M65" s="15" t="s">
        <v>1465</v>
      </c>
      <c r="N65" s="15"/>
    </row>
    <row r="66" customFormat="false" ht="26.25" hidden="false" customHeight="true" outlineLevel="0" collapsed="false">
      <c r="A66" s="15" t="s">
        <v>2128</v>
      </c>
      <c r="B66" s="15" t="s">
        <v>107</v>
      </c>
      <c r="C66" s="15" t="s">
        <v>196</v>
      </c>
      <c r="D66" s="15" t="s">
        <v>2129</v>
      </c>
      <c r="E66" s="15" t="s">
        <v>2032</v>
      </c>
      <c r="F66" s="15" t="s">
        <v>1987</v>
      </c>
      <c r="G66" s="15" t="s">
        <v>120</v>
      </c>
      <c r="H66" s="15" t="s">
        <v>1988</v>
      </c>
      <c r="I66" s="23"/>
      <c r="J66" s="15" t="s">
        <v>1989</v>
      </c>
      <c r="K66" s="15" t="s">
        <v>1990</v>
      </c>
      <c r="L66" s="15" t="s">
        <v>1991</v>
      </c>
      <c r="M66" s="15" t="s">
        <v>1465</v>
      </c>
      <c r="N66" s="15"/>
    </row>
    <row r="67" customFormat="false" ht="26.25" hidden="false" customHeight="true" outlineLevel="0" collapsed="false">
      <c r="A67" s="15" t="s">
        <v>2130</v>
      </c>
      <c r="B67" s="15" t="s">
        <v>107</v>
      </c>
      <c r="C67" s="15" t="s">
        <v>196</v>
      </c>
      <c r="D67" s="15" t="s">
        <v>2131</v>
      </c>
      <c r="E67" s="15" t="s">
        <v>2032</v>
      </c>
      <c r="F67" s="15" t="s">
        <v>1987</v>
      </c>
      <c r="G67" s="15" t="s">
        <v>120</v>
      </c>
      <c r="H67" s="15" t="s">
        <v>1988</v>
      </c>
      <c r="I67" s="23"/>
      <c r="J67" s="15" t="s">
        <v>1989</v>
      </c>
      <c r="K67" s="15" t="s">
        <v>1990</v>
      </c>
      <c r="L67" s="15" t="s">
        <v>1991</v>
      </c>
      <c r="M67" s="15" t="s">
        <v>1465</v>
      </c>
      <c r="N67" s="15"/>
    </row>
    <row r="68" customFormat="false" ht="26.25" hidden="false" customHeight="true" outlineLevel="0" collapsed="false">
      <c r="A68" s="15" t="s">
        <v>2132</v>
      </c>
      <c r="B68" s="15" t="s">
        <v>107</v>
      </c>
      <c r="C68" s="15" t="s">
        <v>196</v>
      </c>
      <c r="D68" s="15" t="s">
        <v>2133</v>
      </c>
      <c r="E68" s="15" t="s">
        <v>2032</v>
      </c>
      <c r="F68" s="15" t="s">
        <v>1987</v>
      </c>
      <c r="G68" s="15" t="s">
        <v>120</v>
      </c>
      <c r="H68" s="15" t="s">
        <v>1988</v>
      </c>
      <c r="I68" s="23"/>
      <c r="J68" s="15" t="s">
        <v>1989</v>
      </c>
      <c r="K68" s="15" t="s">
        <v>1990</v>
      </c>
      <c r="L68" s="15" t="s">
        <v>1991</v>
      </c>
      <c r="M68" s="15" t="s">
        <v>1465</v>
      </c>
      <c r="N68" s="15"/>
    </row>
    <row r="69" customFormat="false" ht="26.25" hidden="false" customHeight="true" outlineLevel="0" collapsed="false">
      <c r="A69" s="15" t="s">
        <v>2134</v>
      </c>
      <c r="B69" s="15" t="s">
        <v>107</v>
      </c>
      <c r="C69" s="15" t="s">
        <v>196</v>
      </c>
      <c r="D69" s="15" t="s">
        <v>2135</v>
      </c>
      <c r="E69" s="15" t="s">
        <v>2032</v>
      </c>
      <c r="F69" s="15" t="s">
        <v>1987</v>
      </c>
      <c r="G69" s="15" t="s">
        <v>120</v>
      </c>
      <c r="H69" s="15" t="s">
        <v>1988</v>
      </c>
      <c r="I69" s="23"/>
      <c r="J69" s="15" t="s">
        <v>1989</v>
      </c>
      <c r="K69" s="15" t="s">
        <v>1990</v>
      </c>
      <c r="L69" s="15" t="s">
        <v>1991</v>
      </c>
      <c r="M69" s="15" t="s">
        <v>1465</v>
      </c>
      <c r="N69" s="15"/>
    </row>
    <row r="70" customFormat="false" ht="26.25" hidden="false" customHeight="true" outlineLevel="0" collapsed="false">
      <c r="A70" s="15" t="s">
        <v>2136</v>
      </c>
      <c r="B70" s="15" t="s">
        <v>107</v>
      </c>
      <c r="C70" s="15" t="s">
        <v>196</v>
      </c>
      <c r="D70" s="15" t="s">
        <v>2137</v>
      </c>
      <c r="E70" s="15" t="s">
        <v>2032</v>
      </c>
      <c r="F70" s="15" t="s">
        <v>1987</v>
      </c>
      <c r="G70" s="15" t="s">
        <v>120</v>
      </c>
      <c r="H70" s="15" t="s">
        <v>1988</v>
      </c>
      <c r="I70" s="23"/>
      <c r="J70" s="15" t="s">
        <v>1989</v>
      </c>
      <c r="K70" s="15" t="s">
        <v>1990</v>
      </c>
      <c r="L70" s="15" t="s">
        <v>1991</v>
      </c>
      <c r="M70" s="15" t="s">
        <v>1465</v>
      </c>
      <c r="N70" s="15"/>
    </row>
    <row r="71" customFormat="false" ht="26.25" hidden="false" customHeight="true" outlineLevel="0" collapsed="false">
      <c r="A71" s="15" t="s">
        <v>2138</v>
      </c>
      <c r="B71" s="15" t="s">
        <v>107</v>
      </c>
      <c r="C71" s="15" t="s">
        <v>196</v>
      </c>
      <c r="D71" s="15" t="s">
        <v>2022</v>
      </c>
      <c r="E71" s="15" t="s">
        <v>2002</v>
      </c>
      <c r="F71" s="15" t="s">
        <v>1987</v>
      </c>
      <c r="G71" s="15" t="s">
        <v>120</v>
      </c>
      <c r="H71" s="15" t="s">
        <v>1988</v>
      </c>
      <c r="I71" s="23"/>
      <c r="J71" s="15" t="s">
        <v>1989</v>
      </c>
      <c r="K71" s="15" t="s">
        <v>1990</v>
      </c>
      <c r="L71" s="15" t="s">
        <v>1991</v>
      </c>
      <c r="M71" s="15" t="s">
        <v>1465</v>
      </c>
      <c r="N71" s="15"/>
    </row>
    <row r="72" customFormat="false" ht="26.25" hidden="false" customHeight="true" outlineLevel="0" collapsed="false">
      <c r="A72" s="15" t="s">
        <v>2139</v>
      </c>
      <c r="B72" s="15" t="s">
        <v>107</v>
      </c>
      <c r="C72" s="15" t="s">
        <v>196</v>
      </c>
      <c r="D72" s="15" t="s">
        <v>2140</v>
      </c>
      <c r="E72" s="15" t="s">
        <v>2002</v>
      </c>
      <c r="F72" s="15" t="s">
        <v>1987</v>
      </c>
      <c r="G72" s="15" t="s">
        <v>120</v>
      </c>
      <c r="H72" s="15" t="s">
        <v>1988</v>
      </c>
      <c r="I72" s="23"/>
      <c r="J72" s="15" t="s">
        <v>1989</v>
      </c>
      <c r="K72" s="15" t="s">
        <v>1990</v>
      </c>
      <c r="L72" s="15" t="s">
        <v>1991</v>
      </c>
      <c r="M72" s="15" t="s">
        <v>1465</v>
      </c>
      <c r="N72" s="15"/>
    </row>
    <row r="73" customFormat="false" ht="26.25" hidden="false" customHeight="true" outlineLevel="0" collapsed="false">
      <c r="A73" s="15" t="s">
        <v>2141</v>
      </c>
      <c r="B73" s="15" t="s">
        <v>107</v>
      </c>
      <c r="C73" s="15" t="s">
        <v>196</v>
      </c>
      <c r="D73" s="15" t="s">
        <v>2018</v>
      </c>
      <c r="E73" s="15" t="s">
        <v>2002</v>
      </c>
      <c r="F73" s="15" t="s">
        <v>1987</v>
      </c>
      <c r="G73" s="15" t="s">
        <v>120</v>
      </c>
      <c r="H73" s="15" t="s">
        <v>1988</v>
      </c>
      <c r="I73" s="23"/>
      <c r="J73" s="15" t="s">
        <v>1989</v>
      </c>
      <c r="K73" s="15" t="s">
        <v>1990</v>
      </c>
      <c r="L73" s="15" t="s">
        <v>1991</v>
      </c>
      <c r="M73" s="15" t="s">
        <v>1465</v>
      </c>
      <c r="N73" s="15"/>
    </row>
    <row r="74" customFormat="false" ht="26.25" hidden="false" customHeight="true" outlineLevel="0" collapsed="false">
      <c r="A74" s="15" t="s">
        <v>2142</v>
      </c>
      <c r="B74" s="15" t="s">
        <v>107</v>
      </c>
      <c r="C74" s="15" t="s">
        <v>196</v>
      </c>
      <c r="D74" s="15" t="s">
        <v>2143</v>
      </c>
      <c r="E74" s="15" t="s">
        <v>2002</v>
      </c>
      <c r="F74" s="15" t="s">
        <v>1987</v>
      </c>
      <c r="G74" s="15" t="s">
        <v>120</v>
      </c>
      <c r="H74" s="15" t="s">
        <v>1988</v>
      </c>
      <c r="I74" s="23"/>
      <c r="J74" s="15" t="s">
        <v>1989</v>
      </c>
      <c r="K74" s="15" t="s">
        <v>1990</v>
      </c>
      <c r="L74" s="15" t="s">
        <v>1991</v>
      </c>
      <c r="M74" s="15" t="s">
        <v>1465</v>
      </c>
      <c r="N74" s="15"/>
    </row>
    <row r="75" customFormat="false" ht="26.25" hidden="false" customHeight="true" outlineLevel="0" collapsed="false">
      <c r="A75" s="15" t="s">
        <v>2144</v>
      </c>
      <c r="B75" s="15" t="s">
        <v>107</v>
      </c>
      <c r="C75" s="15" t="s">
        <v>196</v>
      </c>
      <c r="D75" s="15" t="s">
        <v>2145</v>
      </c>
      <c r="E75" s="15" t="s">
        <v>2032</v>
      </c>
      <c r="F75" s="15" t="s">
        <v>1987</v>
      </c>
      <c r="G75" s="15" t="s">
        <v>120</v>
      </c>
      <c r="H75" s="15" t="s">
        <v>1988</v>
      </c>
      <c r="I75" s="23"/>
      <c r="J75" s="15" t="s">
        <v>1989</v>
      </c>
      <c r="K75" s="15" t="s">
        <v>1990</v>
      </c>
      <c r="L75" s="15" t="s">
        <v>1991</v>
      </c>
      <c r="M75" s="15" t="s">
        <v>1465</v>
      </c>
      <c r="N75" s="15"/>
    </row>
    <row r="76" customFormat="false" ht="26.25" hidden="false" customHeight="true" outlineLevel="0" collapsed="false">
      <c r="A76" s="15" t="s">
        <v>2146</v>
      </c>
      <c r="B76" s="15" t="s">
        <v>107</v>
      </c>
      <c r="C76" s="15" t="s">
        <v>196</v>
      </c>
      <c r="D76" s="15" t="s">
        <v>2096</v>
      </c>
      <c r="E76" s="15" t="s">
        <v>2002</v>
      </c>
      <c r="F76" s="15" t="s">
        <v>1987</v>
      </c>
      <c r="G76" s="15" t="s">
        <v>120</v>
      </c>
      <c r="H76" s="15" t="s">
        <v>1988</v>
      </c>
      <c r="I76" s="23"/>
      <c r="J76" s="15" t="s">
        <v>1989</v>
      </c>
      <c r="K76" s="15" t="s">
        <v>1990</v>
      </c>
      <c r="L76" s="15" t="s">
        <v>1991</v>
      </c>
      <c r="M76" s="15" t="s">
        <v>1465</v>
      </c>
      <c r="N76" s="15"/>
    </row>
    <row r="77" customFormat="false" ht="26.25" hidden="false" customHeight="true" outlineLevel="0" collapsed="false">
      <c r="A77" s="15" t="s">
        <v>2147</v>
      </c>
      <c r="B77" s="15" t="s">
        <v>107</v>
      </c>
      <c r="C77" s="15" t="s">
        <v>196</v>
      </c>
      <c r="D77" s="15" t="s">
        <v>2094</v>
      </c>
      <c r="E77" s="15" t="s">
        <v>2002</v>
      </c>
      <c r="F77" s="15" t="s">
        <v>1987</v>
      </c>
      <c r="G77" s="15" t="s">
        <v>120</v>
      </c>
      <c r="H77" s="15" t="s">
        <v>1988</v>
      </c>
      <c r="I77" s="23"/>
      <c r="J77" s="15" t="s">
        <v>1989</v>
      </c>
      <c r="K77" s="15" t="s">
        <v>1990</v>
      </c>
      <c r="L77" s="15" t="s">
        <v>1991</v>
      </c>
      <c r="M77" s="15" t="s">
        <v>1465</v>
      </c>
      <c r="N77" s="15"/>
    </row>
    <row r="78" customFormat="false" ht="26.25" hidden="false" customHeight="true" outlineLevel="0" collapsed="false">
      <c r="A78" s="15" t="s">
        <v>2148</v>
      </c>
      <c r="B78" s="15" t="s">
        <v>107</v>
      </c>
      <c r="C78" s="15" t="s">
        <v>196</v>
      </c>
      <c r="D78" s="15" t="s">
        <v>2149</v>
      </c>
      <c r="E78" s="15" t="s">
        <v>2002</v>
      </c>
      <c r="F78" s="15" t="s">
        <v>1987</v>
      </c>
      <c r="G78" s="15" t="s">
        <v>120</v>
      </c>
      <c r="H78" s="15" t="s">
        <v>1988</v>
      </c>
      <c r="I78" s="23"/>
      <c r="J78" s="15" t="s">
        <v>1989</v>
      </c>
      <c r="K78" s="15" t="s">
        <v>1990</v>
      </c>
      <c r="L78" s="15" t="s">
        <v>1991</v>
      </c>
      <c r="M78" s="15" t="s">
        <v>1465</v>
      </c>
      <c r="N78" s="15"/>
    </row>
    <row r="79" customFormat="false" ht="26.25" hidden="false" customHeight="true" outlineLevel="0" collapsed="false">
      <c r="A79" s="15" t="s">
        <v>2150</v>
      </c>
      <c r="B79" s="15" t="s">
        <v>107</v>
      </c>
      <c r="C79" s="15" t="s">
        <v>196</v>
      </c>
      <c r="D79" s="15" t="s">
        <v>2151</v>
      </c>
      <c r="E79" s="15" t="s">
        <v>2047</v>
      </c>
      <c r="F79" s="15" t="s">
        <v>1987</v>
      </c>
      <c r="G79" s="15" t="s">
        <v>120</v>
      </c>
      <c r="H79" s="15" t="s">
        <v>1988</v>
      </c>
      <c r="I79" s="23"/>
      <c r="J79" s="15" t="s">
        <v>1989</v>
      </c>
      <c r="K79" s="15" t="s">
        <v>1990</v>
      </c>
      <c r="L79" s="15" t="s">
        <v>1991</v>
      </c>
      <c r="M79" s="15" t="s">
        <v>1465</v>
      </c>
      <c r="N79" s="15"/>
    </row>
    <row r="80" customFormat="false" ht="26.25" hidden="false" customHeight="true" outlineLevel="0" collapsed="false">
      <c r="A80" s="15" t="s">
        <v>2152</v>
      </c>
      <c r="B80" s="15" t="s">
        <v>107</v>
      </c>
      <c r="C80" s="15" t="s">
        <v>196</v>
      </c>
      <c r="D80" s="15" t="s">
        <v>2073</v>
      </c>
      <c r="E80" s="15" t="s">
        <v>2002</v>
      </c>
      <c r="F80" s="15" t="s">
        <v>1987</v>
      </c>
      <c r="G80" s="15" t="s">
        <v>120</v>
      </c>
      <c r="H80" s="15" t="s">
        <v>1988</v>
      </c>
      <c r="I80" s="23"/>
      <c r="J80" s="15" t="s">
        <v>1989</v>
      </c>
      <c r="K80" s="15" t="s">
        <v>1990</v>
      </c>
      <c r="L80" s="15" t="s">
        <v>1991</v>
      </c>
      <c r="M80" s="15" t="s">
        <v>1465</v>
      </c>
      <c r="N80" s="15"/>
    </row>
    <row r="81" customFormat="false" ht="26.25" hidden="false" customHeight="true" outlineLevel="0" collapsed="false">
      <c r="A81" s="15" t="s">
        <v>2153</v>
      </c>
      <c r="B81" s="15" t="s">
        <v>107</v>
      </c>
      <c r="C81" s="15" t="s">
        <v>196</v>
      </c>
      <c r="D81" s="15" t="s">
        <v>2154</v>
      </c>
      <c r="E81" s="15" t="s">
        <v>2027</v>
      </c>
      <c r="F81" s="15" t="s">
        <v>1987</v>
      </c>
      <c r="G81" s="15" t="s">
        <v>2155</v>
      </c>
      <c r="H81" s="15" t="s">
        <v>1998</v>
      </c>
      <c r="I81" s="23"/>
      <c r="J81" s="15" t="s">
        <v>1989</v>
      </c>
      <c r="K81" s="15" t="s">
        <v>1990</v>
      </c>
      <c r="L81" s="15" t="s">
        <v>1991</v>
      </c>
      <c r="M81" s="15" t="s">
        <v>1465</v>
      </c>
      <c r="N81" s="15"/>
    </row>
    <row r="82" customFormat="false" ht="26.25" hidden="false" customHeight="true" outlineLevel="0" collapsed="false">
      <c r="A82" s="15" t="s">
        <v>2156</v>
      </c>
      <c r="B82" s="15" t="s">
        <v>107</v>
      </c>
      <c r="C82" s="15" t="s">
        <v>196</v>
      </c>
      <c r="D82" s="15" t="s">
        <v>2157</v>
      </c>
      <c r="E82" s="15" t="s">
        <v>1996</v>
      </c>
      <c r="F82" s="15" t="s">
        <v>1987</v>
      </c>
      <c r="G82" s="15" t="s">
        <v>120</v>
      </c>
      <c r="H82" s="15" t="s">
        <v>1988</v>
      </c>
      <c r="I82" s="23"/>
      <c r="J82" s="15" t="s">
        <v>1989</v>
      </c>
      <c r="K82" s="15" t="s">
        <v>1990</v>
      </c>
      <c r="L82" s="15" t="s">
        <v>1991</v>
      </c>
      <c r="M82" s="15" t="s">
        <v>1465</v>
      </c>
      <c r="N82" s="15"/>
    </row>
    <row r="83" customFormat="false" ht="26.25" hidden="false" customHeight="true" outlineLevel="0" collapsed="false">
      <c r="A83" s="15" t="s">
        <v>2158</v>
      </c>
      <c r="B83" s="15" t="s">
        <v>107</v>
      </c>
      <c r="C83" s="15" t="s">
        <v>196</v>
      </c>
      <c r="D83" s="15" t="s">
        <v>2159</v>
      </c>
      <c r="E83" s="15" t="s">
        <v>2047</v>
      </c>
      <c r="F83" s="15" t="s">
        <v>1987</v>
      </c>
      <c r="G83" s="15" t="s">
        <v>2160</v>
      </c>
      <c r="H83" s="15" t="s">
        <v>1998</v>
      </c>
      <c r="I83" s="23"/>
      <c r="J83" s="15" t="s">
        <v>1989</v>
      </c>
      <c r="K83" s="15" t="s">
        <v>1990</v>
      </c>
      <c r="L83" s="15" t="s">
        <v>1991</v>
      </c>
      <c r="M83" s="15" t="s">
        <v>1465</v>
      </c>
      <c r="N83" s="15" t="s">
        <v>2161</v>
      </c>
    </row>
    <row r="84" customFormat="false" ht="26.25" hidden="false" customHeight="true" outlineLevel="0" collapsed="false">
      <c r="A84" s="15" t="s">
        <v>2162</v>
      </c>
      <c r="B84" s="15" t="s">
        <v>107</v>
      </c>
      <c r="C84" s="15" t="s">
        <v>196</v>
      </c>
      <c r="D84" s="15" t="s">
        <v>2110</v>
      </c>
      <c r="E84" s="15" t="s">
        <v>2047</v>
      </c>
      <c r="F84" s="15" t="s">
        <v>1987</v>
      </c>
      <c r="G84" s="15" t="s">
        <v>120</v>
      </c>
      <c r="H84" s="15" t="s">
        <v>1988</v>
      </c>
      <c r="I84" s="23"/>
      <c r="J84" s="15" t="s">
        <v>1989</v>
      </c>
      <c r="K84" s="15" t="s">
        <v>1990</v>
      </c>
      <c r="L84" s="15" t="s">
        <v>1991</v>
      </c>
      <c r="M84" s="15" t="s">
        <v>1465</v>
      </c>
      <c r="N84" s="15"/>
    </row>
    <row r="85" customFormat="false" ht="26.25" hidden="false" customHeight="true" outlineLevel="0" collapsed="false">
      <c r="A85" s="15" t="s">
        <v>2163</v>
      </c>
      <c r="B85" s="15" t="s">
        <v>107</v>
      </c>
      <c r="C85" s="15" t="s">
        <v>196</v>
      </c>
      <c r="D85" s="15" t="s">
        <v>2164</v>
      </c>
      <c r="E85" s="15" t="s">
        <v>2099</v>
      </c>
      <c r="F85" s="15" t="s">
        <v>1987</v>
      </c>
      <c r="G85" s="15" t="s">
        <v>120</v>
      </c>
      <c r="H85" s="15" t="s">
        <v>1988</v>
      </c>
      <c r="I85" s="23"/>
      <c r="J85" s="15" t="s">
        <v>1989</v>
      </c>
      <c r="K85" s="15" t="s">
        <v>1990</v>
      </c>
      <c r="L85" s="15" t="s">
        <v>1991</v>
      </c>
      <c r="M85" s="15" t="s">
        <v>1465</v>
      </c>
      <c r="N85" s="15"/>
    </row>
    <row r="86" customFormat="false" ht="26.25" hidden="false" customHeight="true" outlineLevel="0" collapsed="false">
      <c r="A86" s="15" t="s">
        <v>2165</v>
      </c>
      <c r="B86" s="15" t="s">
        <v>107</v>
      </c>
      <c r="C86" s="15" t="s">
        <v>196</v>
      </c>
      <c r="D86" s="15" t="s">
        <v>2166</v>
      </c>
      <c r="E86" s="15" t="s">
        <v>2099</v>
      </c>
      <c r="F86" s="15" t="s">
        <v>1987</v>
      </c>
      <c r="G86" s="15" t="s">
        <v>120</v>
      </c>
      <c r="H86" s="15" t="s">
        <v>1988</v>
      </c>
      <c r="I86" s="23"/>
      <c r="J86" s="15" t="s">
        <v>1989</v>
      </c>
      <c r="K86" s="15" t="s">
        <v>1990</v>
      </c>
      <c r="L86" s="15" t="s">
        <v>1991</v>
      </c>
      <c r="M86" s="15" t="s">
        <v>1465</v>
      </c>
      <c r="N86" s="15"/>
    </row>
    <row r="87" customFormat="false" ht="26.25" hidden="false" customHeight="true" outlineLevel="0" collapsed="false">
      <c r="A87" s="15" t="s">
        <v>2167</v>
      </c>
      <c r="B87" s="15" t="s">
        <v>107</v>
      </c>
      <c r="C87" s="15" t="s">
        <v>196</v>
      </c>
      <c r="D87" s="15" t="s">
        <v>2112</v>
      </c>
      <c r="E87" s="15" t="s">
        <v>2002</v>
      </c>
      <c r="F87" s="15" t="s">
        <v>1987</v>
      </c>
      <c r="G87" s="15" t="s">
        <v>120</v>
      </c>
      <c r="H87" s="15" t="s">
        <v>1988</v>
      </c>
      <c r="I87" s="23"/>
      <c r="J87" s="15" t="s">
        <v>1989</v>
      </c>
      <c r="K87" s="15" t="s">
        <v>1990</v>
      </c>
      <c r="L87" s="15" t="s">
        <v>1991</v>
      </c>
      <c r="M87" s="15" t="s">
        <v>1465</v>
      </c>
      <c r="N87" s="15"/>
    </row>
    <row r="88" customFormat="false" ht="26.25" hidden="false" customHeight="true" outlineLevel="0" collapsed="false">
      <c r="A88" s="15" t="s">
        <v>2168</v>
      </c>
      <c r="B88" s="15" t="s">
        <v>107</v>
      </c>
      <c r="C88" s="15" t="s">
        <v>196</v>
      </c>
      <c r="D88" s="15" t="s">
        <v>2169</v>
      </c>
      <c r="E88" s="15" t="s">
        <v>2002</v>
      </c>
      <c r="F88" s="15" t="s">
        <v>1987</v>
      </c>
      <c r="G88" s="15" t="s">
        <v>120</v>
      </c>
      <c r="H88" s="15" t="s">
        <v>1988</v>
      </c>
      <c r="I88" s="23"/>
      <c r="J88" s="15" t="s">
        <v>1989</v>
      </c>
      <c r="K88" s="15" t="s">
        <v>1990</v>
      </c>
      <c r="L88" s="15" t="s">
        <v>1991</v>
      </c>
      <c r="M88" s="15" t="s">
        <v>1465</v>
      </c>
      <c r="N88" s="15"/>
    </row>
    <row r="89" customFormat="false" ht="26.25" hidden="false" customHeight="true" outlineLevel="0" collapsed="false">
      <c r="A89" s="15" t="s">
        <v>2170</v>
      </c>
      <c r="B89" s="15" t="s">
        <v>107</v>
      </c>
      <c r="C89" s="15" t="s">
        <v>196</v>
      </c>
      <c r="D89" s="15" t="s">
        <v>2114</v>
      </c>
      <c r="E89" s="15" t="s">
        <v>2002</v>
      </c>
      <c r="F89" s="15" t="s">
        <v>1987</v>
      </c>
      <c r="G89" s="15" t="s">
        <v>120</v>
      </c>
      <c r="H89" s="15" t="s">
        <v>1988</v>
      </c>
      <c r="I89" s="23"/>
      <c r="J89" s="15" t="s">
        <v>1989</v>
      </c>
      <c r="K89" s="15" t="s">
        <v>1990</v>
      </c>
      <c r="L89" s="15" t="s">
        <v>1991</v>
      </c>
      <c r="M89" s="15" t="s">
        <v>1465</v>
      </c>
      <c r="N89" s="15"/>
    </row>
    <row r="90" customFormat="false" ht="26.25" hidden="false" customHeight="true" outlineLevel="0" collapsed="false">
      <c r="A90" s="15" t="s">
        <v>2171</v>
      </c>
      <c r="B90" s="15" t="s">
        <v>107</v>
      </c>
      <c r="C90" s="15" t="s">
        <v>196</v>
      </c>
      <c r="D90" s="15" t="s">
        <v>2172</v>
      </c>
      <c r="E90" s="15" t="s">
        <v>2106</v>
      </c>
      <c r="F90" s="15" t="s">
        <v>1987</v>
      </c>
      <c r="G90" s="15" t="s">
        <v>2173</v>
      </c>
      <c r="H90" s="15" t="s">
        <v>1988</v>
      </c>
      <c r="I90" s="23" t="n">
        <v>60000</v>
      </c>
      <c r="J90" s="15" t="s">
        <v>2174</v>
      </c>
      <c r="K90" s="15" t="s">
        <v>2175</v>
      </c>
      <c r="L90" s="15" t="s">
        <v>1991</v>
      </c>
      <c r="M90" s="15" t="s">
        <v>1465</v>
      </c>
      <c r="N90" s="15" t="s">
        <v>2176</v>
      </c>
    </row>
    <row r="91" customFormat="false" ht="26.25" hidden="false" customHeight="true" outlineLevel="0" collapsed="false">
      <c r="A91" s="15" t="s">
        <v>2177</v>
      </c>
      <c r="B91" s="15" t="s">
        <v>107</v>
      </c>
      <c r="C91" s="15" t="s">
        <v>196</v>
      </c>
      <c r="D91" s="15" t="s">
        <v>2178</v>
      </c>
      <c r="E91" s="15" t="s">
        <v>2106</v>
      </c>
      <c r="F91" s="15" t="s">
        <v>1987</v>
      </c>
      <c r="G91" s="15" t="s">
        <v>2179</v>
      </c>
      <c r="H91" s="15" t="s">
        <v>1988</v>
      </c>
      <c r="I91" s="23" t="n">
        <v>75000</v>
      </c>
      <c r="J91" s="15" t="s">
        <v>2174</v>
      </c>
      <c r="K91" s="15" t="s">
        <v>2175</v>
      </c>
      <c r="L91" s="15" t="s">
        <v>1991</v>
      </c>
      <c r="M91" s="15" t="s">
        <v>1465</v>
      </c>
      <c r="N91" s="15" t="s">
        <v>2176</v>
      </c>
    </row>
    <row r="92" customFormat="false" ht="26.25" hidden="false" customHeight="true" outlineLevel="0" collapsed="false">
      <c r="A92" s="15" t="s">
        <v>2180</v>
      </c>
      <c r="B92" s="15" t="s">
        <v>107</v>
      </c>
      <c r="C92" s="15" t="s">
        <v>2181</v>
      </c>
      <c r="D92" s="15" t="s">
        <v>2182</v>
      </c>
      <c r="E92" s="15" t="s">
        <v>2106</v>
      </c>
      <c r="F92" s="15" t="s">
        <v>663</v>
      </c>
      <c r="G92" s="15" t="s">
        <v>2173</v>
      </c>
      <c r="H92" s="15" t="s">
        <v>1988</v>
      </c>
      <c r="I92" s="23" t="n">
        <v>60000</v>
      </c>
      <c r="J92" s="15" t="s">
        <v>2183</v>
      </c>
      <c r="K92" s="15" t="s">
        <v>2175</v>
      </c>
      <c r="L92" s="15" t="s">
        <v>2184</v>
      </c>
      <c r="M92" s="15" t="s">
        <v>869</v>
      </c>
      <c r="N92" s="15" t="s">
        <v>2185</v>
      </c>
    </row>
    <row r="93" customFormat="false" ht="26.25" hidden="false" customHeight="true" outlineLevel="0" collapsed="false">
      <c r="A93" s="15" t="s">
        <v>2186</v>
      </c>
      <c r="B93" s="15" t="s">
        <v>107</v>
      </c>
      <c r="C93" s="15" t="s">
        <v>2181</v>
      </c>
      <c r="D93" s="15" t="s">
        <v>2187</v>
      </c>
      <c r="E93" s="15" t="s">
        <v>2106</v>
      </c>
      <c r="F93" s="15" t="s">
        <v>663</v>
      </c>
      <c r="G93" s="15" t="s">
        <v>2173</v>
      </c>
      <c r="H93" s="15" t="s">
        <v>1988</v>
      </c>
      <c r="I93" s="23" t="n">
        <v>75000</v>
      </c>
      <c r="J93" s="15" t="s">
        <v>2183</v>
      </c>
      <c r="K93" s="15" t="s">
        <v>2175</v>
      </c>
      <c r="L93" s="15" t="s">
        <v>2184</v>
      </c>
      <c r="M93" s="15" t="s">
        <v>869</v>
      </c>
      <c r="N93" s="15" t="s">
        <v>2185</v>
      </c>
    </row>
    <row r="94" customFormat="false" ht="39" hidden="false" customHeight="true" outlineLevel="0" collapsed="false">
      <c r="A94" s="15" t="s">
        <v>2188</v>
      </c>
      <c r="B94" s="15" t="s">
        <v>312</v>
      </c>
      <c r="C94" s="15" t="s">
        <v>313</v>
      </c>
      <c r="D94" s="15" t="s">
        <v>2189</v>
      </c>
      <c r="E94" s="15" t="s">
        <v>2002</v>
      </c>
      <c r="F94" s="15" t="s">
        <v>2190</v>
      </c>
      <c r="G94" s="15" t="s">
        <v>120</v>
      </c>
      <c r="H94" s="15" t="s">
        <v>1988</v>
      </c>
      <c r="I94" s="23" t="n">
        <v>17999</v>
      </c>
      <c r="J94" s="15" t="s">
        <v>2191</v>
      </c>
      <c r="K94" s="15" t="s">
        <v>2192</v>
      </c>
      <c r="L94" s="15" t="s">
        <v>2184</v>
      </c>
      <c r="M94" s="15" t="s">
        <v>1478</v>
      </c>
      <c r="N94" s="15"/>
    </row>
    <row r="95" customFormat="false" ht="39" hidden="false" customHeight="true" outlineLevel="0" collapsed="false">
      <c r="A95" s="15" t="s">
        <v>2193</v>
      </c>
      <c r="B95" s="15" t="s">
        <v>312</v>
      </c>
      <c r="C95" s="15" t="s">
        <v>313</v>
      </c>
      <c r="D95" s="15" t="s">
        <v>2194</v>
      </c>
      <c r="E95" s="15" t="s">
        <v>1996</v>
      </c>
      <c r="F95" s="15" t="s">
        <v>2190</v>
      </c>
      <c r="G95" s="15" t="s">
        <v>2195</v>
      </c>
      <c r="H95" s="15" t="s">
        <v>2196</v>
      </c>
      <c r="I95" s="23" t="n">
        <v>11999</v>
      </c>
      <c r="J95" s="15" t="s">
        <v>2191</v>
      </c>
      <c r="K95" s="15" t="s">
        <v>2192</v>
      </c>
      <c r="L95" s="15" t="s">
        <v>2184</v>
      </c>
      <c r="M95" s="15" t="s">
        <v>1478</v>
      </c>
      <c r="N95" s="15" t="s">
        <v>2197</v>
      </c>
    </row>
    <row r="96" customFormat="false" ht="39" hidden="false" customHeight="true" outlineLevel="0" collapsed="false">
      <c r="A96" s="15" t="s">
        <v>2198</v>
      </c>
      <c r="B96" s="15" t="s">
        <v>312</v>
      </c>
      <c r="C96" s="15" t="s">
        <v>313</v>
      </c>
      <c r="D96" s="15" t="s">
        <v>2199</v>
      </c>
      <c r="E96" s="15" t="s">
        <v>1986</v>
      </c>
      <c r="F96" s="15" t="s">
        <v>2190</v>
      </c>
      <c r="G96" s="15" t="s">
        <v>2200</v>
      </c>
      <c r="H96" s="15" t="s">
        <v>1988</v>
      </c>
      <c r="I96" s="23" t="n">
        <v>7099</v>
      </c>
      <c r="J96" s="15" t="s">
        <v>2191</v>
      </c>
      <c r="K96" s="15" t="s">
        <v>2192</v>
      </c>
      <c r="L96" s="15" t="s">
        <v>2184</v>
      </c>
      <c r="M96" s="15" t="s">
        <v>1478</v>
      </c>
      <c r="N96" s="15" t="s">
        <v>2201</v>
      </c>
    </row>
    <row r="97" customFormat="false" ht="39" hidden="false" customHeight="true" outlineLevel="0" collapsed="false">
      <c r="A97" s="15" t="s">
        <v>2202</v>
      </c>
      <c r="B97" s="15" t="s">
        <v>312</v>
      </c>
      <c r="C97" s="15" t="s">
        <v>313</v>
      </c>
      <c r="D97" s="15" t="s">
        <v>2203</v>
      </c>
      <c r="E97" s="15" t="s">
        <v>2002</v>
      </c>
      <c r="F97" s="15" t="s">
        <v>2190</v>
      </c>
      <c r="G97" s="15" t="s">
        <v>120</v>
      </c>
      <c r="H97" s="15" t="s">
        <v>1988</v>
      </c>
      <c r="I97" s="23" t="n">
        <v>3299</v>
      </c>
      <c r="J97" s="15" t="s">
        <v>2191</v>
      </c>
      <c r="K97" s="15" t="s">
        <v>2192</v>
      </c>
      <c r="L97" s="15" t="s">
        <v>2184</v>
      </c>
      <c r="M97" s="15" t="s">
        <v>1478</v>
      </c>
      <c r="N97" s="15" t="s">
        <v>2201</v>
      </c>
    </row>
    <row r="98" customFormat="false" ht="39" hidden="false" customHeight="true" outlineLevel="0" collapsed="false">
      <c r="A98" s="15" t="s">
        <v>2204</v>
      </c>
      <c r="B98" s="15" t="s">
        <v>312</v>
      </c>
      <c r="C98" s="15" t="s">
        <v>313</v>
      </c>
      <c r="D98" s="15" t="s">
        <v>2205</v>
      </c>
      <c r="E98" s="15" t="s">
        <v>1986</v>
      </c>
      <c r="F98" s="15" t="s">
        <v>2190</v>
      </c>
      <c r="G98" s="15" t="s">
        <v>120</v>
      </c>
      <c r="H98" s="15" t="s">
        <v>1988</v>
      </c>
      <c r="I98" s="23" t="n">
        <v>3099</v>
      </c>
      <c r="J98" s="15" t="s">
        <v>2191</v>
      </c>
      <c r="K98" s="15" t="s">
        <v>2192</v>
      </c>
      <c r="L98" s="15" t="s">
        <v>2184</v>
      </c>
      <c r="M98" s="15" t="s">
        <v>1478</v>
      </c>
      <c r="N98" s="15" t="s">
        <v>2201</v>
      </c>
    </row>
    <row r="99" customFormat="false" ht="39" hidden="false" customHeight="true" outlineLevel="0" collapsed="false">
      <c r="A99" s="15" t="s">
        <v>2206</v>
      </c>
      <c r="B99" s="15" t="s">
        <v>312</v>
      </c>
      <c r="C99" s="15" t="s">
        <v>313</v>
      </c>
      <c r="D99" s="15" t="s">
        <v>2207</v>
      </c>
      <c r="E99" s="15" t="s">
        <v>1986</v>
      </c>
      <c r="F99" s="15" t="s">
        <v>2190</v>
      </c>
      <c r="G99" s="15" t="s">
        <v>120</v>
      </c>
      <c r="H99" s="15" t="s">
        <v>1988</v>
      </c>
      <c r="I99" s="23" t="n">
        <v>2699</v>
      </c>
      <c r="J99" s="15" t="s">
        <v>2191</v>
      </c>
      <c r="K99" s="15" t="s">
        <v>2192</v>
      </c>
      <c r="L99" s="15" t="s">
        <v>2184</v>
      </c>
      <c r="M99" s="15" t="s">
        <v>1478</v>
      </c>
      <c r="N99" s="15" t="s">
        <v>2201</v>
      </c>
    </row>
    <row r="100" customFormat="false" ht="39" hidden="false" customHeight="true" outlineLevel="0" collapsed="false">
      <c r="A100" s="15" t="s">
        <v>2208</v>
      </c>
      <c r="B100" s="15" t="s">
        <v>312</v>
      </c>
      <c r="C100" s="15" t="s">
        <v>313</v>
      </c>
      <c r="D100" s="15" t="s">
        <v>2209</v>
      </c>
      <c r="E100" s="15" t="s">
        <v>2002</v>
      </c>
      <c r="F100" s="15" t="s">
        <v>2190</v>
      </c>
      <c r="G100" s="15" t="s">
        <v>120</v>
      </c>
      <c r="H100" s="15" t="s">
        <v>1988</v>
      </c>
      <c r="I100" s="23" t="n">
        <v>2499</v>
      </c>
      <c r="J100" s="15" t="s">
        <v>2191</v>
      </c>
      <c r="K100" s="15" t="s">
        <v>2192</v>
      </c>
      <c r="L100" s="15" t="s">
        <v>2184</v>
      </c>
      <c r="M100" s="15" t="s">
        <v>1478</v>
      </c>
      <c r="N100" s="15" t="s">
        <v>2201</v>
      </c>
    </row>
    <row r="101" customFormat="false" ht="39" hidden="false" customHeight="true" outlineLevel="0" collapsed="false">
      <c r="A101" s="15" t="s">
        <v>2210</v>
      </c>
      <c r="B101" s="15" t="s">
        <v>312</v>
      </c>
      <c r="C101" s="15" t="s">
        <v>313</v>
      </c>
      <c r="D101" s="15" t="s">
        <v>2211</v>
      </c>
      <c r="E101" s="15" t="s">
        <v>1986</v>
      </c>
      <c r="F101" s="15" t="s">
        <v>2190</v>
      </c>
      <c r="G101" s="15" t="s">
        <v>120</v>
      </c>
      <c r="H101" s="15" t="s">
        <v>1988</v>
      </c>
      <c r="I101" s="23" t="n">
        <v>2099</v>
      </c>
      <c r="J101" s="15" t="s">
        <v>2191</v>
      </c>
      <c r="K101" s="15" t="s">
        <v>2192</v>
      </c>
      <c r="L101" s="15" t="s">
        <v>2184</v>
      </c>
      <c r="M101" s="15" t="s">
        <v>1478</v>
      </c>
      <c r="N101" s="15" t="s">
        <v>2201</v>
      </c>
    </row>
    <row r="102" customFormat="false" ht="39" hidden="false" customHeight="true" outlineLevel="0" collapsed="false">
      <c r="A102" s="15" t="s">
        <v>2212</v>
      </c>
      <c r="B102" s="15" t="s">
        <v>312</v>
      </c>
      <c r="C102" s="15" t="s">
        <v>313</v>
      </c>
      <c r="D102" s="15" t="s">
        <v>2213</v>
      </c>
      <c r="E102" s="15" t="s">
        <v>1986</v>
      </c>
      <c r="F102" s="15" t="s">
        <v>2190</v>
      </c>
      <c r="G102" s="15" t="s">
        <v>120</v>
      </c>
      <c r="H102" s="15" t="s">
        <v>1988</v>
      </c>
      <c r="I102" s="23" t="n">
        <v>1899</v>
      </c>
      <c r="J102" s="15" t="s">
        <v>2191</v>
      </c>
      <c r="K102" s="15" t="s">
        <v>2192</v>
      </c>
      <c r="L102" s="15" t="s">
        <v>2184</v>
      </c>
      <c r="M102" s="15" t="s">
        <v>1478</v>
      </c>
      <c r="N102" s="15" t="s">
        <v>2214</v>
      </c>
    </row>
    <row r="103" customFormat="false" ht="39" hidden="false" customHeight="true" outlineLevel="0" collapsed="false">
      <c r="A103" s="15" t="s">
        <v>2215</v>
      </c>
      <c r="B103" s="15" t="s">
        <v>312</v>
      </c>
      <c r="C103" s="15" t="s">
        <v>313</v>
      </c>
      <c r="D103" s="15" t="s">
        <v>2216</v>
      </c>
      <c r="E103" s="15" t="s">
        <v>1986</v>
      </c>
      <c r="F103" s="15" t="s">
        <v>2190</v>
      </c>
      <c r="G103" s="15" t="s">
        <v>120</v>
      </c>
      <c r="H103" s="15" t="s">
        <v>1988</v>
      </c>
      <c r="I103" s="23" t="n">
        <v>1799</v>
      </c>
      <c r="J103" s="15" t="s">
        <v>2191</v>
      </c>
      <c r="K103" s="15" t="s">
        <v>2192</v>
      </c>
      <c r="L103" s="15" t="s">
        <v>2184</v>
      </c>
      <c r="M103" s="15" t="s">
        <v>1478</v>
      </c>
      <c r="N103" s="15" t="s">
        <v>2214</v>
      </c>
    </row>
    <row r="104" customFormat="false" ht="39" hidden="false" customHeight="true" outlineLevel="0" collapsed="false">
      <c r="A104" s="15" t="s">
        <v>2217</v>
      </c>
      <c r="B104" s="15" t="s">
        <v>312</v>
      </c>
      <c r="C104" s="15" t="s">
        <v>313</v>
      </c>
      <c r="D104" s="15" t="s">
        <v>2218</v>
      </c>
      <c r="E104" s="15" t="s">
        <v>1986</v>
      </c>
      <c r="F104" s="15" t="s">
        <v>2190</v>
      </c>
      <c r="G104" s="15" t="s">
        <v>120</v>
      </c>
      <c r="H104" s="15" t="s">
        <v>1988</v>
      </c>
      <c r="I104" s="23" t="n">
        <v>1499</v>
      </c>
      <c r="J104" s="15" t="s">
        <v>2191</v>
      </c>
      <c r="K104" s="15" t="s">
        <v>2192</v>
      </c>
      <c r="L104" s="15" t="s">
        <v>2184</v>
      </c>
      <c r="M104" s="15" t="s">
        <v>1478</v>
      </c>
      <c r="N104" s="15" t="s">
        <v>2219</v>
      </c>
    </row>
    <row r="105" customFormat="false" ht="39" hidden="false" customHeight="true" outlineLevel="0" collapsed="false">
      <c r="A105" s="15" t="s">
        <v>2220</v>
      </c>
      <c r="B105" s="15" t="s">
        <v>312</v>
      </c>
      <c r="C105" s="15" t="s">
        <v>313</v>
      </c>
      <c r="D105" s="15" t="s">
        <v>2221</v>
      </c>
      <c r="E105" s="15" t="s">
        <v>1986</v>
      </c>
      <c r="F105" s="15" t="s">
        <v>2190</v>
      </c>
      <c r="G105" s="15" t="s">
        <v>120</v>
      </c>
      <c r="H105" s="15" t="s">
        <v>1988</v>
      </c>
      <c r="I105" s="23" t="n">
        <v>1299</v>
      </c>
      <c r="J105" s="15" t="s">
        <v>2191</v>
      </c>
      <c r="K105" s="15" t="s">
        <v>2192</v>
      </c>
      <c r="L105" s="15" t="s">
        <v>2184</v>
      </c>
      <c r="M105" s="15" t="s">
        <v>1478</v>
      </c>
      <c r="N105" s="15" t="s">
        <v>2201</v>
      </c>
    </row>
    <row r="106" customFormat="false" ht="39" hidden="false" customHeight="true" outlineLevel="0" collapsed="false">
      <c r="A106" s="15" t="s">
        <v>2222</v>
      </c>
      <c r="B106" s="15" t="s">
        <v>312</v>
      </c>
      <c r="C106" s="15" t="s">
        <v>313</v>
      </c>
      <c r="D106" s="15" t="s">
        <v>2223</v>
      </c>
      <c r="E106" s="15" t="s">
        <v>2002</v>
      </c>
      <c r="F106" s="15" t="s">
        <v>2190</v>
      </c>
      <c r="G106" s="15" t="s">
        <v>120</v>
      </c>
      <c r="H106" s="15" t="s">
        <v>1988</v>
      </c>
      <c r="I106" s="23" t="n">
        <v>299</v>
      </c>
      <c r="J106" s="15" t="s">
        <v>2191</v>
      </c>
      <c r="K106" s="15" t="s">
        <v>2192</v>
      </c>
      <c r="L106" s="15" t="s">
        <v>2184</v>
      </c>
      <c r="M106" s="15" t="s">
        <v>1478</v>
      </c>
      <c r="N106" s="15"/>
    </row>
    <row r="107" customFormat="false" ht="39" hidden="false" customHeight="true" outlineLevel="0" collapsed="false">
      <c r="A107" s="15" t="s">
        <v>2224</v>
      </c>
      <c r="B107" s="15" t="s">
        <v>312</v>
      </c>
      <c r="C107" s="15" t="s">
        <v>313</v>
      </c>
      <c r="D107" s="15" t="s">
        <v>2225</v>
      </c>
      <c r="E107" s="15" t="s">
        <v>2027</v>
      </c>
      <c r="F107" s="15" t="s">
        <v>2190</v>
      </c>
      <c r="G107" s="15" t="s">
        <v>2226</v>
      </c>
      <c r="H107" s="15" t="s">
        <v>2064</v>
      </c>
      <c r="I107" s="23" t="n">
        <v>6999</v>
      </c>
      <c r="J107" s="15" t="s">
        <v>2191</v>
      </c>
      <c r="K107" s="15" t="s">
        <v>2192</v>
      </c>
      <c r="L107" s="15" t="s">
        <v>2184</v>
      </c>
      <c r="M107" s="15" t="s">
        <v>1478</v>
      </c>
      <c r="N107" s="15" t="s">
        <v>2227</v>
      </c>
    </row>
    <row r="108" customFormat="false" ht="39" hidden="false" customHeight="true" outlineLevel="0" collapsed="false">
      <c r="A108" s="15" t="s">
        <v>2228</v>
      </c>
      <c r="B108" s="15" t="s">
        <v>312</v>
      </c>
      <c r="C108" s="15" t="s">
        <v>313</v>
      </c>
      <c r="D108" s="15" t="s">
        <v>2229</v>
      </c>
      <c r="E108" s="15" t="s">
        <v>2027</v>
      </c>
      <c r="F108" s="15" t="s">
        <v>2190</v>
      </c>
      <c r="G108" s="15" t="s">
        <v>2230</v>
      </c>
      <c r="H108" s="15" t="s">
        <v>2064</v>
      </c>
      <c r="I108" s="23" t="n">
        <v>6699</v>
      </c>
      <c r="J108" s="15" t="s">
        <v>2191</v>
      </c>
      <c r="K108" s="15" t="s">
        <v>2192</v>
      </c>
      <c r="L108" s="15" t="s">
        <v>2184</v>
      </c>
      <c r="M108" s="15" t="s">
        <v>1478</v>
      </c>
      <c r="N108" s="15" t="s">
        <v>2231</v>
      </c>
    </row>
    <row r="109" customFormat="false" ht="39" hidden="false" customHeight="true" outlineLevel="0" collapsed="false">
      <c r="A109" s="15" t="s">
        <v>2232</v>
      </c>
      <c r="B109" s="15" t="s">
        <v>312</v>
      </c>
      <c r="C109" s="15" t="s">
        <v>313</v>
      </c>
      <c r="D109" s="15" t="s">
        <v>2233</v>
      </c>
      <c r="E109" s="15" t="s">
        <v>2234</v>
      </c>
      <c r="F109" s="15" t="s">
        <v>2190</v>
      </c>
      <c r="G109" s="15" t="s">
        <v>120</v>
      </c>
      <c r="H109" s="15" t="s">
        <v>1988</v>
      </c>
      <c r="I109" s="23" t="n">
        <v>3099</v>
      </c>
      <c r="J109" s="15" t="s">
        <v>2191</v>
      </c>
      <c r="K109" s="15" t="s">
        <v>2192</v>
      </c>
      <c r="L109" s="15" t="s">
        <v>2184</v>
      </c>
      <c r="M109" s="15" t="s">
        <v>1478</v>
      </c>
      <c r="N109" s="15"/>
    </row>
    <row r="110" customFormat="false" ht="39" hidden="false" customHeight="true" outlineLevel="0" collapsed="false">
      <c r="A110" s="15" t="s">
        <v>2235</v>
      </c>
      <c r="B110" s="15" t="s">
        <v>312</v>
      </c>
      <c r="C110" s="15" t="s">
        <v>313</v>
      </c>
      <c r="D110" s="15" t="s">
        <v>2236</v>
      </c>
      <c r="E110" s="15" t="s">
        <v>2027</v>
      </c>
      <c r="F110" s="15" t="s">
        <v>2190</v>
      </c>
      <c r="G110" s="15" t="s">
        <v>120</v>
      </c>
      <c r="H110" s="15" t="s">
        <v>1988</v>
      </c>
      <c r="I110" s="23" t="n">
        <v>2999</v>
      </c>
      <c r="J110" s="15" t="s">
        <v>2191</v>
      </c>
      <c r="K110" s="15" t="s">
        <v>2192</v>
      </c>
      <c r="L110" s="15" t="s">
        <v>2184</v>
      </c>
      <c r="M110" s="15" t="s">
        <v>1478</v>
      </c>
      <c r="N110" s="15" t="s">
        <v>2201</v>
      </c>
    </row>
    <row r="111" customFormat="false" ht="39" hidden="false" customHeight="true" outlineLevel="0" collapsed="false">
      <c r="A111" s="15" t="s">
        <v>2237</v>
      </c>
      <c r="B111" s="15" t="s">
        <v>312</v>
      </c>
      <c r="C111" s="15" t="s">
        <v>313</v>
      </c>
      <c r="D111" s="15" t="s">
        <v>2238</v>
      </c>
      <c r="E111" s="15" t="s">
        <v>2027</v>
      </c>
      <c r="F111" s="15" t="s">
        <v>2190</v>
      </c>
      <c r="G111" s="15" t="s">
        <v>120</v>
      </c>
      <c r="H111" s="15" t="s">
        <v>1988</v>
      </c>
      <c r="I111" s="23" t="n">
        <v>2599</v>
      </c>
      <c r="J111" s="15" t="s">
        <v>2191</v>
      </c>
      <c r="K111" s="15" t="s">
        <v>2192</v>
      </c>
      <c r="L111" s="15" t="s">
        <v>2184</v>
      </c>
      <c r="M111" s="15" t="s">
        <v>1478</v>
      </c>
      <c r="N111" s="15"/>
    </row>
    <row r="112" customFormat="false" ht="39" hidden="false" customHeight="true" outlineLevel="0" collapsed="false">
      <c r="A112" s="15" t="s">
        <v>2239</v>
      </c>
      <c r="B112" s="15" t="s">
        <v>312</v>
      </c>
      <c r="C112" s="15" t="s">
        <v>313</v>
      </c>
      <c r="D112" s="15" t="s">
        <v>2240</v>
      </c>
      <c r="E112" s="15" t="s">
        <v>2027</v>
      </c>
      <c r="F112" s="15" t="s">
        <v>2190</v>
      </c>
      <c r="G112" s="15" t="s">
        <v>120</v>
      </c>
      <c r="H112" s="15" t="s">
        <v>1988</v>
      </c>
      <c r="I112" s="23" t="n">
        <v>1999</v>
      </c>
      <c r="J112" s="15" t="s">
        <v>2191</v>
      </c>
      <c r="K112" s="15" t="s">
        <v>2192</v>
      </c>
      <c r="L112" s="15" t="s">
        <v>2184</v>
      </c>
      <c r="M112" s="15" t="s">
        <v>1478</v>
      </c>
      <c r="N112" s="15" t="s">
        <v>2241</v>
      </c>
    </row>
    <row r="113" customFormat="false" ht="39" hidden="false" customHeight="true" outlineLevel="0" collapsed="false">
      <c r="A113" s="15" t="s">
        <v>2242</v>
      </c>
      <c r="B113" s="15" t="s">
        <v>312</v>
      </c>
      <c r="C113" s="15" t="s">
        <v>313</v>
      </c>
      <c r="D113" s="15" t="s">
        <v>2243</v>
      </c>
      <c r="E113" s="15" t="s">
        <v>2027</v>
      </c>
      <c r="F113" s="15" t="s">
        <v>2190</v>
      </c>
      <c r="G113" s="15" t="s">
        <v>120</v>
      </c>
      <c r="H113" s="15" t="s">
        <v>1988</v>
      </c>
      <c r="I113" s="23" t="n">
        <v>1599</v>
      </c>
      <c r="J113" s="15" t="s">
        <v>2191</v>
      </c>
      <c r="K113" s="15" t="s">
        <v>2192</v>
      </c>
      <c r="L113" s="15" t="s">
        <v>2184</v>
      </c>
      <c r="M113" s="15" t="s">
        <v>1478</v>
      </c>
      <c r="N113" s="15"/>
    </row>
    <row r="114" customFormat="false" ht="39" hidden="false" customHeight="true" outlineLevel="0" collapsed="false">
      <c r="A114" s="15" t="s">
        <v>2244</v>
      </c>
      <c r="B114" s="15" t="s">
        <v>312</v>
      </c>
      <c r="C114" s="15" t="s">
        <v>313</v>
      </c>
      <c r="D114" s="15" t="s">
        <v>2245</v>
      </c>
      <c r="E114" s="15" t="s">
        <v>2027</v>
      </c>
      <c r="F114" s="15" t="s">
        <v>2190</v>
      </c>
      <c r="G114" s="15" t="s">
        <v>120</v>
      </c>
      <c r="H114" s="15" t="s">
        <v>1988</v>
      </c>
      <c r="I114" s="23" t="n">
        <v>1499</v>
      </c>
      <c r="J114" s="15" t="s">
        <v>2191</v>
      </c>
      <c r="K114" s="15" t="s">
        <v>2192</v>
      </c>
      <c r="L114" s="15" t="s">
        <v>2184</v>
      </c>
      <c r="M114" s="15" t="s">
        <v>1478</v>
      </c>
      <c r="N114" s="15"/>
    </row>
    <row r="115" customFormat="false" ht="39" hidden="false" customHeight="true" outlineLevel="0" collapsed="false">
      <c r="A115" s="15" t="s">
        <v>2246</v>
      </c>
      <c r="B115" s="15" t="s">
        <v>312</v>
      </c>
      <c r="C115" s="15" t="s">
        <v>313</v>
      </c>
      <c r="D115" s="15" t="s">
        <v>2247</v>
      </c>
      <c r="E115" s="15" t="s">
        <v>2032</v>
      </c>
      <c r="F115" s="15" t="s">
        <v>2190</v>
      </c>
      <c r="G115" s="15" t="s">
        <v>120</v>
      </c>
      <c r="H115" s="15" t="s">
        <v>1988</v>
      </c>
      <c r="I115" s="23" t="n">
        <v>1096</v>
      </c>
      <c r="J115" s="15" t="s">
        <v>2191</v>
      </c>
      <c r="K115" s="15" t="s">
        <v>2192</v>
      </c>
      <c r="L115" s="15" t="s">
        <v>2184</v>
      </c>
      <c r="M115" s="15" t="s">
        <v>1478</v>
      </c>
      <c r="N115" s="15" t="s">
        <v>2201</v>
      </c>
    </row>
    <row r="116" customFormat="false" ht="39" hidden="false" customHeight="true" outlineLevel="0" collapsed="false">
      <c r="A116" s="15" t="s">
        <v>2248</v>
      </c>
      <c r="B116" s="15" t="s">
        <v>312</v>
      </c>
      <c r="C116" s="15" t="s">
        <v>313</v>
      </c>
      <c r="D116" s="15" t="s">
        <v>2243</v>
      </c>
      <c r="E116" s="15" t="s">
        <v>2027</v>
      </c>
      <c r="F116" s="15" t="s">
        <v>2190</v>
      </c>
      <c r="G116" s="15" t="s">
        <v>120</v>
      </c>
      <c r="H116" s="15" t="s">
        <v>1988</v>
      </c>
      <c r="I116" s="23" t="n">
        <v>899</v>
      </c>
      <c r="J116" s="15" t="s">
        <v>2191</v>
      </c>
      <c r="K116" s="15" t="s">
        <v>2192</v>
      </c>
      <c r="L116" s="15" t="s">
        <v>2184</v>
      </c>
      <c r="M116" s="15" t="s">
        <v>1478</v>
      </c>
      <c r="N116" s="15"/>
    </row>
    <row r="117" customFormat="false" ht="39" hidden="false" customHeight="true" outlineLevel="0" collapsed="false">
      <c r="A117" s="15" t="s">
        <v>2249</v>
      </c>
      <c r="B117" s="15" t="s">
        <v>312</v>
      </c>
      <c r="C117" s="15" t="s">
        <v>313</v>
      </c>
      <c r="D117" s="15" t="s">
        <v>2250</v>
      </c>
      <c r="E117" s="15" t="s">
        <v>2002</v>
      </c>
      <c r="F117" s="15" t="s">
        <v>2190</v>
      </c>
      <c r="G117" s="15" t="s">
        <v>120</v>
      </c>
      <c r="H117" s="15" t="s">
        <v>1988</v>
      </c>
      <c r="I117" s="23" t="n">
        <v>649</v>
      </c>
      <c r="J117" s="15" t="s">
        <v>2191</v>
      </c>
      <c r="K117" s="15" t="s">
        <v>2192</v>
      </c>
      <c r="L117" s="15" t="s">
        <v>2184</v>
      </c>
      <c r="M117" s="15" t="s">
        <v>1478</v>
      </c>
      <c r="N117" s="15"/>
    </row>
    <row r="118" customFormat="false" ht="39" hidden="false" customHeight="true" outlineLevel="0" collapsed="false">
      <c r="A118" s="15" t="s">
        <v>2251</v>
      </c>
      <c r="B118" s="15" t="s">
        <v>312</v>
      </c>
      <c r="C118" s="15" t="s">
        <v>313</v>
      </c>
      <c r="D118" s="15" t="s">
        <v>2252</v>
      </c>
      <c r="E118" s="15" t="s">
        <v>2027</v>
      </c>
      <c r="F118" s="15" t="s">
        <v>2190</v>
      </c>
      <c r="G118" s="15" t="s">
        <v>120</v>
      </c>
      <c r="H118" s="15" t="s">
        <v>1988</v>
      </c>
      <c r="I118" s="23" t="n">
        <v>599</v>
      </c>
      <c r="J118" s="15" t="s">
        <v>2191</v>
      </c>
      <c r="K118" s="15" t="s">
        <v>2192</v>
      </c>
      <c r="L118" s="15" t="s">
        <v>2184</v>
      </c>
      <c r="M118" s="15" t="s">
        <v>1478</v>
      </c>
      <c r="N118" s="15"/>
    </row>
    <row r="119" customFormat="false" ht="39" hidden="false" customHeight="true" outlineLevel="0" collapsed="false">
      <c r="A119" s="15" t="s">
        <v>2253</v>
      </c>
      <c r="B119" s="15" t="s">
        <v>312</v>
      </c>
      <c r="C119" s="15" t="s">
        <v>313</v>
      </c>
      <c r="D119" s="15" t="s">
        <v>2254</v>
      </c>
      <c r="E119" s="15" t="s">
        <v>2234</v>
      </c>
      <c r="F119" s="15" t="s">
        <v>2190</v>
      </c>
      <c r="G119" s="15" t="s">
        <v>120</v>
      </c>
      <c r="H119" s="15" t="s">
        <v>1988</v>
      </c>
      <c r="I119" s="23" t="n">
        <v>262</v>
      </c>
      <c r="J119" s="15" t="s">
        <v>2191</v>
      </c>
      <c r="K119" s="15" t="s">
        <v>2192</v>
      </c>
      <c r="L119" s="15" t="s">
        <v>2184</v>
      </c>
      <c r="M119" s="15" t="s">
        <v>1478</v>
      </c>
      <c r="N119" s="15" t="s">
        <v>2201</v>
      </c>
    </row>
    <row r="120" customFormat="false" ht="39" hidden="false" customHeight="true" outlineLevel="0" collapsed="false">
      <c r="A120" s="15" t="s">
        <v>2255</v>
      </c>
      <c r="B120" s="15" t="s">
        <v>312</v>
      </c>
      <c r="C120" s="15" t="s">
        <v>313</v>
      </c>
      <c r="D120" s="15" t="s">
        <v>2256</v>
      </c>
      <c r="E120" s="15" t="s">
        <v>2106</v>
      </c>
      <c r="F120" s="15" t="s">
        <v>2190</v>
      </c>
      <c r="G120" s="15" t="s">
        <v>120</v>
      </c>
      <c r="H120" s="15" t="s">
        <v>1988</v>
      </c>
      <c r="I120" s="23" t="n">
        <v>3499</v>
      </c>
      <c r="J120" s="15" t="s">
        <v>2191</v>
      </c>
      <c r="K120" s="15" t="s">
        <v>2192</v>
      </c>
      <c r="L120" s="15" t="s">
        <v>2184</v>
      </c>
      <c r="M120" s="15" t="s">
        <v>1478</v>
      </c>
      <c r="N120" s="15"/>
    </row>
    <row r="121" customFormat="false" ht="39" hidden="false" customHeight="true" outlineLevel="0" collapsed="false">
      <c r="A121" s="15" t="s">
        <v>2257</v>
      </c>
      <c r="B121" s="15" t="s">
        <v>312</v>
      </c>
      <c r="C121" s="15" t="s">
        <v>313</v>
      </c>
      <c r="D121" s="15" t="s">
        <v>2258</v>
      </c>
      <c r="E121" s="15" t="s">
        <v>2106</v>
      </c>
      <c r="F121" s="15" t="s">
        <v>2190</v>
      </c>
      <c r="G121" s="15" t="s">
        <v>120</v>
      </c>
      <c r="H121" s="15" t="s">
        <v>1988</v>
      </c>
      <c r="I121" s="23" t="n">
        <v>3499</v>
      </c>
      <c r="J121" s="15" t="s">
        <v>2191</v>
      </c>
      <c r="K121" s="15" t="s">
        <v>2192</v>
      </c>
      <c r="L121" s="15" t="s">
        <v>2184</v>
      </c>
      <c r="M121" s="15" t="s">
        <v>1478</v>
      </c>
      <c r="N121" s="15"/>
    </row>
    <row r="122" customFormat="false" ht="39" hidden="false" customHeight="true" outlineLevel="0" collapsed="false">
      <c r="A122" s="15" t="s">
        <v>2259</v>
      </c>
      <c r="B122" s="15" t="s">
        <v>312</v>
      </c>
      <c r="C122" s="15" t="s">
        <v>313</v>
      </c>
      <c r="D122" s="15" t="s">
        <v>2260</v>
      </c>
      <c r="E122" s="15" t="s">
        <v>2002</v>
      </c>
      <c r="F122" s="15" t="s">
        <v>2190</v>
      </c>
      <c r="G122" s="15" t="s">
        <v>120</v>
      </c>
      <c r="H122" s="15" t="s">
        <v>1988</v>
      </c>
      <c r="I122" s="23" t="n">
        <v>3109</v>
      </c>
      <c r="J122" s="15" t="s">
        <v>2191</v>
      </c>
      <c r="K122" s="15" t="s">
        <v>2192</v>
      </c>
      <c r="L122" s="15" t="s">
        <v>2184</v>
      </c>
      <c r="M122" s="15" t="s">
        <v>1478</v>
      </c>
      <c r="N122" s="15" t="s">
        <v>2201</v>
      </c>
    </row>
    <row r="123" customFormat="false" ht="39" hidden="false" customHeight="true" outlineLevel="0" collapsed="false">
      <c r="A123" s="15" t="s">
        <v>2261</v>
      </c>
      <c r="B123" s="15" t="s">
        <v>312</v>
      </c>
      <c r="C123" s="15" t="s">
        <v>313</v>
      </c>
      <c r="D123" s="15" t="s">
        <v>2262</v>
      </c>
      <c r="E123" s="15" t="s">
        <v>2234</v>
      </c>
      <c r="F123" s="15" t="s">
        <v>2190</v>
      </c>
      <c r="G123" s="15" t="s">
        <v>120</v>
      </c>
      <c r="H123" s="15" t="s">
        <v>1988</v>
      </c>
      <c r="I123" s="23" t="n">
        <v>2005</v>
      </c>
      <c r="J123" s="15" t="s">
        <v>2191</v>
      </c>
      <c r="K123" s="15" t="s">
        <v>2192</v>
      </c>
      <c r="L123" s="15" t="s">
        <v>2184</v>
      </c>
      <c r="M123" s="15" t="s">
        <v>1478</v>
      </c>
      <c r="N123" s="15"/>
    </row>
    <row r="124" customFormat="false" ht="39" hidden="false" customHeight="true" outlineLevel="0" collapsed="false">
      <c r="A124" s="15" t="s">
        <v>2263</v>
      </c>
      <c r="B124" s="15" t="s">
        <v>312</v>
      </c>
      <c r="C124" s="15" t="s">
        <v>313</v>
      </c>
      <c r="D124" s="15" t="s">
        <v>2264</v>
      </c>
      <c r="E124" s="15" t="s">
        <v>2032</v>
      </c>
      <c r="F124" s="15" t="s">
        <v>2190</v>
      </c>
      <c r="G124" s="15" t="s">
        <v>120</v>
      </c>
      <c r="H124" s="15" t="s">
        <v>1988</v>
      </c>
      <c r="I124" s="23" t="n">
        <v>1999</v>
      </c>
      <c r="J124" s="15" t="s">
        <v>2191</v>
      </c>
      <c r="K124" s="15" t="s">
        <v>2192</v>
      </c>
      <c r="L124" s="15" t="s">
        <v>2184</v>
      </c>
      <c r="M124" s="15" t="s">
        <v>1478</v>
      </c>
      <c r="N124" s="15" t="s">
        <v>2201</v>
      </c>
    </row>
    <row r="125" customFormat="false" ht="39" hidden="false" customHeight="true" outlineLevel="0" collapsed="false">
      <c r="A125" s="15" t="s">
        <v>2265</v>
      </c>
      <c r="B125" s="15" t="s">
        <v>312</v>
      </c>
      <c r="C125" s="15" t="s">
        <v>313</v>
      </c>
      <c r="D125" s="15" t="s">
        <v>2266</v>
      </c>
      <c r="E125" s="15" t="s">
        <v>2032</v>
      </c>
      <c r="F125" s="15" t="s">
        <v>2190</v>
      </c>
      <c r="G125" s="15" t="s">
        <v>120</v>
      </c>
      <c r="H125" s="15" t="s">
        <v>1988</v>
      </c>
      <c r="I125" s="23" t="n">
        <v>1899</v>
      </c>
      <c r="J125" s="15" t="s">
        <v>2191</v>
      </c>
      <c r="K125" s="15" t="s">
        <v>2192</v>
      </c>
      <c r="L125" s="15" t="s">
        <v>2184</v>
      </c>
      <c r="M125" s="15" t="s">
        <v>1478</v>
      </c>
      <c r="N125" s="15" t="s">
        <v>2201</v>
      </c>
    </row>
    <row r="126" customFormat="false" ht="39" hidden="false" customHeight="true" outlineLevel="0" collapsed="false">
      <c r="A126" s="15" t="s">
        <v>2267</v>
      </c>
      <c r="B126" s="15" t="s">
        <v>312</v>
      </c>
      <c r="C126" s="15" t="s">
        <v>313</v>
      </c>
      <c r="D126" s="15" t="s">
        <v>2268</v>
      </c>
      <c r="E126" s="15" t="s">
        <v>2032</v>
      </c>
      <c r="F126" s="15" t="s">
        <v>2190</v>
      </c>
      <c r="G126" s="15" t="s">
        <v>120</v>
      </c>
      <c r="H126" s="15" t="s">
        <v>1988</v>
      </c>
      <c r="I126" s="23" t="n">
        <v>1499</v>
      </c>
      <c r="J126" s="15" t="s">
        <v>2191</v>
      </c>
      <c r="K126" s="15" t="s">
        <v>2192</v>
      </c>
      <c r="L126" s="15" t="s">
        <v>2184</v>
      </c>
      <c r="M126" s="15" t="s">
        <v>1478</v>
      </c>
      <c r="N126" s="15"/>
    </row>
    <row r="127" customFormat="false" ht="39" hidden="false" customHeight="true" outlineLevel="0" collapsed="false">
      <c r="A127" s="15" t="s">
        <v>2269</v>
      </c>
      <c r="B127" s="15" t="s">
        <v>312</v>
      </c>
      <c r="C127" s="15" t="s">
        <v>313</v>
      </c>
      <c r="D127" s="15" t="s">
        <v>2270</v>
      </c>
      <c r="E127" s="15" t="s">
        <v>2002</v>
      </c>
      <c r="F127" s="15" t="s">
        <v>2190</v>
      </c>
      <c r="G127" s="15" t="s">
        <v>120</v>
      </c>
      <c r="H127" s="15" t="s">
        <v>1988</v>
      </c>
      <c r="I127" s="23" t="n">
        <v>799</v>
      </c>
      <c r="J127" s="15" t="s">
        <v>2191</v>
      </c>
      <c r="K127" s="15" t="s">
        <v>2192</v>
      </c>
      <c r="L127" s="15" t="s">
        <v>2184</v>
      </c>
      <c r="M127" s="15" t="s">
        <v>1478</v>
      </c>
      <c r="N127" s="15" t="s">
        <v>2201</v>
      </c>
    </row>
    <row r="128" customFormat="false" ht="39" hidden="false" customHeight="true" outlineLevel="0" collapsed="false">
      <c r="A128" s="15" t="s">
        <v>2271</v>
      </c>
      <c r="B128" s="15" t="s">
        <v>312</v>
      </c>
      <c r="C128" s="15" t="s">
        <v>313</v>
      </c>
      <c r="D128" s="15" t="s">
        <v>2272</v>
      </c>
      <c r="E128" s="15" t="s">
        <v>2002</v>
      </c>
      <c r="F128" s="15" t="s">
        <v>2190</v>
      </c>
      <c r="G128" s="15" t="s">
        <v>120</v>
      </c>
      <c r="H128" s="15" t="s">
        <v>1988</v>
      </c>
      <c r="I128" s="23" t="n">
        <v>499</v>
      </c>
      <c r="J128" s="15" t="s">
        <v>2191</v>
      </c>
      <c r="K128" s="15" t="s">
        <v>2192</v>
      </c>
      <c r="L128" s="15" t="s">
        <v>2184</v>
      </c>
      <c r="M128" s="15" t="s">
        <v>1478</v>
      </c>
      <c r="N128" s="15"/>
    </row>
    <row r="129" customFormat="false" ht="39" hidden="false" customHeight="true" outlineLevel="0" collapsed="false">
      <c r="A129" s="15" t="s">
        <v>2273</v>
      </c>
      <c r="B129" s="15" t="s">
        <v>312</v>
      </c>
      <c r="C129" s="15" t="s">
        <v>313</v>
      </c>
      <c r="D129" s="15" t="s">
        <v>2274</v>
      </c>
      <c r="E129" s="15" t="s">
        <v>2002</v>
      </c>
      <c r="F129" s="15" t="s">
        <v>2190</v>
      </c>
      <c r="G129" s="15" t="s">
        <v>120</v>
      </c>
      <c r="H129" s="15" t="s">
        <v>1988</v>
      </c>
      <c r="I129" s="23" t="n">
        <v>449</v>
      </c>
      <c r="J129" s="15" t="s">
        <v>2191</v>
      </c>
      <c r="K129" s="15" t="s">
        <v>2192</v>
      </c>
      <c r="L129" s="15" t="s">
        <v>2184</v>
      </c>
      <c r="M129" s="15" t="s">
        <v>1478</v>
      </c>
      <c r="N129" s="15"/>
    </row>
    <row r="130" customFormat="false" ht="39" hidden="false" customHeight="true" outlineLevel="0" collapsed="false">
      <c r="A130" s="15" t="s">
        <v>2275</v>
      </c>
      <c r="B130" s="15" t="s">
        <v>312</v>
      </c>
      <c r="C130" s="15" t="s">
        <v>313</v>
      </c>
      <c r="D130" s="15" t="s">
        <v>2276</v>
      </c>
      <c r="E130" s="15" t="s">
        <v>2002</v>
      </c>
      <c r="F130" s="15" t="s">
        <v>2190</v>
      </c>
      <c r="G130" s="15" t="s">
        <v>120</v>
      </c>
      <c r="H130" s="15" t="s">
        <v>1988</v>
      </c>
      <c r="I130" s="23" t="n">
        <v>399</v>
      </c>
      <c r="J130" s="15" t="s">
        <v>2191</v>
      </c>
      <c r="K130" s="15" t="s">
        <v>2192</v>
      </c>
      <c r="L130" s="15" t="s">
        <v>2184</v>
      </c>
      <c r="M130" s="15" t="s">
        <v>1478</v>
      </c>
      <c r="N130" s="15" t="s">
        <v>2201</v>
      </c>
    </row>
    <row r="131" customFormat="false" ht="39" hidden="false" customHeight="true" outlineLevel="0" collapsed="false">
      <c r="A131" s="15" t="s">
        <v>2277</v>
      </c>
      <c r="B131" s="15" t="s">
        <v>312</v>
      </c>
      <c r="C131" s="15" t="s">
        <v>313</v>
      </c>
      <c r="D131" s="15" t="s">
        <v>2278</v>
      </c>
      <c r="E131" s="15" t="s">
        <v>2002</v>
      </c>
      <c r="F131" s="15" t="s">
        <v>2190</v>
      </c>
      <c r="G131" s="15" t="s">
        <v>120</v>
      </c>
      <c r="H131" s="15" t="s">
        <v>1988</v>
      </c>
      <c r="I131" s="23" t="n">
        <v>349</v>
      </c>
      <c r="J131" s="15" t="s">
        <v>2191</v>
      </c>
      <c r="K131" s="15" t="s">
        <v>2192</v>
      </c>
      <c r="L131" s="15" t="s">
        <v>2184</v>
      </c>
      <c r="M131" s="15" t="s">
        <v>1478</v>
      </c>
      <c r="N131" s="15"/>
    </row>
    <row r="132" customFormat="false" ht="39" hidden="false" customHeight="true" outlineLevel="0" collapsed="false">
      <c r="A132" s="15" t="s">
        <v>2279</v>
      </c>
      <c r="B132" s="15" t="s">
        <v>312</v>
      </c>
      <c r="C132" s="15" t="s">
        <v>313</v>
      </c>
      <c r="D132" s="15" t="s">
        <v>2280</v>
      </c>
      <c r="E132" s="15" t="s">
        <v>2002</v>
      </c>
      <c r="F132" s="15" t="s">
        <v>2190</v>
      </c>
      <c r="G132" s="15" t="s">
        <v>120</v>
      </c>
      <c r="H132" s="15" t="s">
        <v>1988</v>
      </c>
      <c r="I132" s="23" t="n">
        <v>339</v>
      </c>
      <c r="J132" s="15" t="s">
        <v>2191</v>
      </c>
      <c r="K132" s="15" t="s">
        <v>2192</v>
      </c>
      <c r="L132" s="15" t="s">
        <v>2184</v>
      </c>
      <c r="M132" s="15" t="s">
        <v>1478</v>
      </c>
      <c r="N132" s="15"/>
    </row>
    <row r="133" customFormat="false" ht="39" hidden="false" customHeight="true" outlineLevel="0" collapsed="false">
      <c r="A133" s="15" t="s">
        <v>2281</v>
      </c>
      <c r="B133" s="15" t="s">
        <v>312</v>
      </c>
      <c r="C133" s="15" t="s">
        <v>313</v>
      </c>
      <c r="D133" s="15" t="s">
        <v>2282</v>
      </c>
      <c r="E133" s="15" t="s">
        <v>2002</v>
      </c>
      <c r="F133" s="15" t="s">
        <v>2190</v>
      </c>
      <c r="G133" s="15" t="s">
        <v>120</v>
      </c>
      <c r="H133" s="15" t="s">
        <v>1988</v>
      </c>
      <c r="I133" s="23" t="n">
        <v>339</v>
      </c>
      <c r="J133" s="15" t="s">
        <v>2191</v>
      </c>
      <c r="K133" s="15" t="s">
        <v>2192</v>
      </c>
      <c r="L133" s="15" t="s">
        <v>2184</v>
      </c>
      <c r="M133" s="15" t="s">
        <v>1478</v>
      </c>
      <c r="N133" s="15"/>
    </row>
    <row r="134" customFormat="false" ht="39" hidden="false" customHeight="true" outlineLevel="0" collapsed="false">
      <c r="A134" s="15" t="s">
        <v>2283</v>
      </c>
      <c r="B134" s="15" t="s">
        <v>312</v>
      </c>
      <c r="C134" s="15" t="s">
        <v>313</v>
      </c>
      <c r="D134" s="15" t="s">
        <v>2284</v>
      </c>
      <c r="E134" s="15" t="s">
        <v>2002</v>
      </c>
      <c r="F134" s="15" t="s">
        <v>2190</v>
      </c>
      <c r="G134" s="15" t="s">
        <v>120</v>
      </c>
      <c r="H134" s="15" t="s">
        <v>1988</v>
      </c>
      <c r="I134" s="23" t="n">
        <v>339</v>
      </c>
      <c r="J134" s="15" t="s">
        <v>2191</v>
      </c>
      <c r="K134" s="15" t="s">
        <v>2192</v>
      </c>
      <c r="L134" s="15" t="s">
        <v>2184</v>
      </c>
      <c r="M134" s="15" t="s">
        <v>1478</v>
      </c>
      <c r="N134" s="15"/>
    </row>
    <row r="135" customFormat="false" ht="39" hidden="false" customHeight="true" outlineLevel="0" collapsed="false">
      <c r="A135" s="15" t="s">
        <v>2285</v>
      </c>
      <c r="B135" s="15" t="s">
        <v>312</v>
      </c>
      <c r="C135" s="15" t="s">
        <v>313</v>
      </c>
      <c r="D135" s="15" t="s">
        <v>2286</v>
      </c>
      <c r="E135" s="15" t="s">
        <v>2002</v>
      </c>
      <c r="F135" s="15" t="s">
        <v>2190</v>
      </c>
      <c r="G135" s="15" t="s">
        <v>120</v>
      </c>
      <c r="H135" s="15" t="s">
        <v>1988</v>
      </c>
      <c r="I135" s="23" t="n">
        <v>333</v>
      </c>
      <c r="J135" s="15" t="s">
        <v>2191</v>
      </c>
      <c r="K135" s="15" t="s">
        <v>2192</v>
      </c>
      <c r="L135" s="15" t="s">
        <v>2184</v>
      </c>
      <c r="M135" s="15" t="s">
        <v>1478</v>
      </c>
      <c r="N135" s="15"/>
    </row>
    <row r="136" customFormat="false" ht="39" hidden="false" customHeight="true" outlineLevel="0" collapsed="false">
      <c r="A136" s="15" t="s">
        <v>2287</v>
      </c>
      <c r="B136" s="15" t="s">
        <v>312</v>
      </c>
      <c r="C136" s="15" t="s">
        <v>313</v>
      </c>
      <c r="D136" s="15" t="s">
        <v>2288</v>
      </c>
      <c r="E136" s="15" t="s">
        <v>2002</v>
      </c>
      <c r="F136" s="15" t="s">
        <v>2190</v>
      </c>
      <c r="G136" s="15" t="s">
        <v>120</v>
      </c>
      <c r="H136" s="15" t="s">
        <v>1988</v>
      </c>
      <c r="I136" s="23" t="n">
        <v>299</v>
      </c>
      <c r="J136" s="15" t="s">
        <v>2191</v>
      </c>
      <c r="K136" s="15" t="s">
        <v>2192</v>
      </c>
      <c r="L136" s="15" t="s">
        <v>2184</v>
      </c>
      <c r="M136" s="15" t="s">
        <v>1478</v>
      </c>
      <c r="N136" s="15"/>
    </row>
    <row r="137" customFormat="false" ht="39" hidden="false" customHeight="true" outlineLevel="0" collapsed="false">
      <c r="A137" s="15" t="s">
        <v>2289</v>
      </c>
      <c r="B137" s="15" t="s">
        <v>312</v>
      </c>
      <c r="C137" s="15" t="s">
        <v>313</v>
      </c>
      <c r="D137" s="15" t="s">
        <v>2290</v>
      </c>
      <c r="E137" s="15" t="s">
        <v>2234</v>
      </c>
      <c r="F137" s="15" t="s">
        <v>2190</v>
      </c>
      <c r="G137" s="15" t="s">
        <v>120</v>
      </c>
      <c r="H137" s="15" t="s">
        <v>1988</v>
      </c>
      <c r="I137" s="23" t="n">
        <v>12999</v>
      </c>
      <c r="J137" s="15" t="s">
        <v>2191</v>
      </c>
      <c r="K137" s="15" t="s">
        <v>2192</v>
      </c>
      <c r="L137" s="15" t="s">
        <v>2184</v>
      </c>
      <c r="M137" s="15" t="s">
        <v>1478</v>
      </c>
      <c r="N137" s="15"/>
    </row>
    <row r="138" customFormat="false" ht="39" hidden="false" customHeight="true" outlineLevel="0" collapsed="false">
      <c r="A138" s="15" t="s">
        <v>2291</v>
      </c>
      <c r="B138" s="15" t="s">
        <v>312</v>
      </c>
      <c r="C138" s="15" t="s">
        <v>313</v>
      </c>
      <c r="D138" s="15" t="s">
        <v>2292</v>
      </c>
      <c r="E138" s="15" t="s">
        <v>2234</v>
      </c>
      <c r="F138" s="15" t="s">
        <v>2190</v>
      </c>
      <c r="G138" s="15" t="s">
        <v>120</v>
      </c>
      <c r="H138" s="15" t="s">
        <v>1988</v>
      </c>
      <c r="I138" s="23" t="n">
        <v>11999</v>
      </c>
      <c r="J138" s="15" t="s">
        <v>2191</v>
      </c>
      <c r="K138" s="15" t="s">
        <v>2192</v>
      </c>
      <c r="L138" s="15" t="s">
        <v>2184</v>
      </c>
      <c r="M138" s="15" t="s">
        <v>1478</v>
      </c>
      <c r="N138" s="15"/>
    </row>
    <row r="139" customFormat="false" ht="39" hidden="false" customHeight="true" outlineLevel="0" collapsed="false">
      <c r="A139" s="15" t="s">
        <v>2293</v>
      </c>
      <c r="B139" s="15" t="s">
        <v>312</v>
      </c>
      <c r="C139" s="15" t="s">
        <v>313</v>
      </c>
      <c r="D139" s="15" t="s">
        <v>2294</v>
      </c>
      <c r="E139" s="15" t="s">
        <v>2234</v>
      </c>
      <c r="F139" s="15" t="s">
        <v>2190</v>
      </c>
      <c r="G139" s="15" t="s">
        <v>120</v>
      </c>
      <c r="H139" s="15" t="s">
        <v>1988</v>
      </c>
      <c r="I139" s="23" t="n">
        <v>5999</v>
      </c>
      <c r="J139" s="15" t="s">
        <v>2191</v>
      </c>
      <c r="K139" s="15" t="s">
        <v>2192</v>
      </c>
      <c r="L139" s="15" t="s">
        <v>2184</v>
      </c>
      <c r="M139" s="15" t="s">
        <v>1478</v>
      </c>
      <c r="N139" s="15"/>
    </row>
    <row r="140" customFormat="false" ht="39" hidden="false" customHeight="true" outlineLevel="0" collapsed="false">
      <c r="A140" s="15" t="s">
        <v>2295</v>
      </c>
      <c r="B140" s="15" t="s">
        <v>312</v>
      </c>
      <c r="C140" s="15" t="s">
        <v>313</v>
      </c>
      <c r="D140" s="15" t="s">
        <v>2296</v>
      </c>
      <c r="E140" s="15" t="s">
        <v>2234</v>
      </c>
      <c r="F140" s="15" t="s">
        <v>2190</v>
      </c>
      <c r="G140" s="15" t="s">
        <v>120</v>
      </c>
      <c r="H140" s="15" t="s">
        <v>1988</v>
      </c>
      <c r="I140" s="23" t="n">
        <v>4099</v>
      </c>
      <c r="J140" s="15" t="s">
        <v>2191</v>
      </c>
      <c r="K140" s="15" t="s">
        <v>2192</v>
      </c>
      <c r="L140" s="15" t="s">
        <v>2184</v>
      </c>
      <c r="M140" s="15" t="s">
        <v>1478</v>
      </c>
      <c r="N140" s="15"/>
    </row>
    <row r="141" customFormat="false" ht="39" hidden="false" customHeight="true" outlineLevel="0" collapsed="false">
      <c r="A141" s="15" t="s">
        <v>2297</v>
      </c>
      <c r="B141" s="15" t="s">
        <v>312</v>
      </c>
      <c r="C141" s="15" t="s">
        <v>313</v>
      </c>
      <c r="D141" s="15" t="s">
        <v>2298</v>
      </c>
      <c r="E141" s="15" t="s">
        <v>2234</v>
      </c>
      <c r="F141" s="15" t="s">
        <v>2190</v>
      </c>
      <c r="G141" s="15" t="s">
        <v>120</v>
      </c>
      <c r="H141" s="15" t="s">
        <v>1988</v>
      </c>
      <c r="I141" s="23" t="n">
        <v>999</v>
      </c>
      <c r="J141" s="15" t="s">
        <v>2191</v>
      </c>
      <c r="K141" s="15" t="s">
        <v>2192</v>
      </c>
      <c r="L141" s="15" t="s">
        <v>2184</v>
      </c>
      <c r="M141" s="15" t="s">
        <v>1478</v>
      </c>
      <c r="N141" s="15"/>
    </row>
    <row r="142" customFormat="false" ht="39" hidden="false" customHeight="true" outlineLevel="0" collapsed="false">
      <c r="A142" s="15" t="s">
        <v>2299</v>
      </c>
      <c r="B142" s="15" t="s">
        <v>312</v>
      </c>
      <c r="C142" s="15" t="s">
        <v>313</v>
      </c>
      <c r="D142" s="15" t="s">
        <v>2300</v>
      </c>
      <c r="E142" s="15" t="s">
        <v>2234</v>
      </c>
      <c r="F142" s="15" t="s">
        <v>2190</v>
      </c>
      <c r="G142" s="15" t="s">
        <v>120</v>
      </c>
      <c r="H142" s="15" t="s">
        <v>1988</v>
      </c>
      <c r="I142" s="23" t="n">
        <v>699</v>
      </c>
      <c r="J142" s="15" t="s">
        <v>2191</v>
      </c>
      <c r="K142" s="15" t="s">
        <v>2192</v>
      </c>
      <c r="L142" s="15" t="s">
        <v>2184</v>
      </c>
      <c r="M142" s="15" t="s">
        <v>1478</v>
      </c>
      <c r="N142" s="15" t="s">
        <v>2201</v>
      </c>
    </row>
    <row r="143" customFormat="false" ht="39" hidden="false" customHeight="true" outlineLevel="0" collapsed="false">
      <c r="A143" s="15" t="s">
        <v>2301</v>
      </c>
      <c r="B143" s="15" t="s">
        <v>312</v>
      </c>
      <c r="C143" s="15" t="s">
        <v>313</v>
      </c>
      <c r="D143" s="15" t="s">
        <v>2302</v>
      </c>
      <c r="E143" s="15" t="s">
        <v>2234</v>
      </c>
      <c r="F143" s="15" t="s">
        <v>2190</v>
      </c>
      <c r="G143" s="15" t="s">
        <v>120</v>
      </c>
      <c r="H143" s="15" t="s">
        <v>1988</v>
      </c>
      <c r="I143" s="23" t="n">
        <v>699</v>
      </c>
      <c r="J143" s="15" t="s">
        <v>2191</v>
      </c>
      <c r="K143" s="15" t="s">
        <v>2192</v>
      </c>
      <c r="L143" s="15" t="s">
        <v>2184</v>
      </c>
      <c r="M143" s="15" t="s">
        <v>1478</v>
      </c>
      <c r="N143" s="15"/>
    </row>
    <row r="144" customFormat="false" ht="39" hidden="false" customHeight="true" outlineLevel="0" collapsed="false">
      <c r="A144" s="15" t="s">
        <v>2303</v>
      </c>
      <c r="B144" s="15" t="s">
        <v>312</v>
      </c>
      <c r="C144" s="15" t="s">
        <v>313</v>
      </c>
      <c r="D144" s="15" t="s">
        <v>2304</v>
      </c>
      <c r="E144" s="15" t="s">
        <v>2234</v>
      </c>
      <c r="F144" s="15" t="s">
        <v>2190</v>
      </c>
      <c r="G144" s="15" t="s">
        <v>120</v>
      </c>
      <c r="H144" s="15" t="s">
        <v>1988</v>
      </c>
      <c r="I144" s="23" t="n">
        <v>699</v>
      </c>
      <c r="J144" s="15" t="s">
        <v>2191</v>
      </c>
      <c r="K144" s="15" t="s">
        <v>2192</v>
      </c>
      <c r="L144" s="15" t="s">
        <v>2184</v>
      </c>
      <c r="M144" s="15" t="s">
        <v>1478</v>
      </c>
      <c r="N144" s="15" t="s">
        <v>2201</v>
      </c>
    </row>
    <row r="145" customFormat="false" ht="39" hidden="false" customHeight="true" outlineLevel="0" collapsed="false">
      <c r="A145" s="15" t="s">
        <v>2305</v>
      </c>
      <c r="B145" s="15" t="s">
        <v>312</v>
      </c>
      <c r="C145" s="15" t="s">
        <v>313</v>
      </c>
      <c r="D145" s="15" t="s">
        <v>2306</v>
      </c>
      <c r="E145" s="15" t="s">
        <v>2234</v>
      </c>
      <c r="F145" s="15" t="s">
        <v>2190</v>
      </c>
      <c r="G145" s="15" t="s">
        <v>120</v>
      </c>
      <c r="H145" s="15" t="s">
        <v>1988</v>
      </c>
      <c r="I145" s="23" t="n">
        <v>669</v>
      </c>
      <c r="J145" s="15" t="s">
        <v>2191</v>
      </c>
      <c r="K145" s="15" t="s">
        <v>2192</v>
      </c>
      <c r="L145" s="15" t="s">
        <v>2184</v>
      </c>
      <c r="M145" s="15" t="s">
        <v>1478</v>
      </c>
      <c r="N145" s="15"/>
    </row>
    <row r="146" customFormat="false" ht="39" hidden="false" customHeight="true" outlineLevel="0" collapsed="false">
      <c r="A146" s="15" t="s">
        <v>2307</v>
      </c>
      <c r="B146" s="15" t="s">
        <v>312</v>
      </c>
      <c r="C146" s="15" t="s">
        <v>313</v>
      </c>
      <c r="D146" s="15" t="s">
        <v>2308</v>
      </c>
      <c r="E146" s="15" t="s">
        <v>2002</v>
      </c>
      <c r="F146" s="15" t="s">
        <v>2190</v>
      </c>
      <c r="G146" s="15" t="s">
        <v>120</v>
      </c>
      <c r="H146" s="15" t="s">
        <v>1988</v>
      </c>
      <c r="I146" s="23" t="n">
        <v>599</v>
      </c>
      <c r="J146" s="15" t="s">
        <v>2191</v>
      </c>
      <c r="K146" s="15" t="s">
        <v>2192</v>
      </c>
      <c r="L146" s="15" t="s">
        <v>2184</v>
      </c>
      <c r="M146" s="15" t="s">
        <v>1478</v>
      </c>
      <c r="N146" s="15"/>
    </row>
    <row r="147" customFormat="false" ht="39" hidden="false" customHeight="true" outlineLevel="0" collapsed="false">
      <c r="A147" s="15" t="s">
        <v>2309</v>
      </c>
      <c r="B147" s="15" t="s">
        <v>312</v>
      </c>
      <c r="C147" s="15" t="s">
        <v>313</v>
      </c>
      <c r="D147" s="15" t="s">
        <v>2310</v>
      </c>
      <c r="E147" s="15" t="s">
        <v>2002</v>
      </c>
      <c r="F147" s="15" t="s">
        <v>2190</v>
      </c>
      <c r="G147" s="15" t="s">
        <v>120</v>
      </c>
      <c r="H147" s="15" t="s">
        <v>1988</v>
      </c>
      <c r="I147" s="23" t="n">
        <v>549</v>
      </c>
      <c r="J147" s="15" t="s">
        <v>2191</v>
      </c>
      <c r="K147" s="15" t="s">
        <v>2192</v>
      </c>
      <c r="L147" s="15" t="s">
        <v>2184</v>
      </c>
      <c r="M147" s="15" t="s">
        <v>1478</v>
      </c>
      <c r="N147" s="15"/>
    </row>
    <row r="148" customFormat="false" ht="39" hidden="false" customHeight="true" outlineLevel="0" collapsed="false">
      <c r="A148" s="15" t="s">
        <v>2311</v>
      </c>
      <c r="B148" s="15" t="s">
        <v>312</v>
      </c>
      <c r="C148" s="15" t="s">
        <v>313</v>
      </c>
      <c r="D148" s="15" t="s">
        <v>2312</v>
      </c>
      <c r="E148" s="15" t="s">
        <v>2002</v>
      </c>
      <c r="F148" s="15" t="s">
        <v>2190</v>
      </c>
      <c r="G148" s="15" t="s">
        <v>120</v>
      </c>
      <c r="H148" s="15" t="s">
        <v>1988</v>
      </c>
      <c r="I148" s="23" t="n">
        <v>549</v>
      </c>
      <c r="J148" s="15" t="s">
        <v>2191</v>
      </c>
      <c r="K148" s="15" t="s">
        <v>2192</v>
      </c>
      <c r="L148" s="15" t="s">
        <v>2184</v>
      </c>
      <c r="M148" s="15" t="s">
        <v>1478</v>
      </c>
      <c r="N148" s="15"/>
    </row>
    <row r="149" customFormat="false" ht="39" hidden="false" customHeight="true" outlineLevel="0" collapsed="false">
      <c r="A149" s="15" t="s">
        <v>2313</v>
      </c>
      <c r="B149" s="15" t="s">
        <v>312</v>
      </c>
      <c r="C149" s="15" t="s">
        <v>313</v>
      </c>
      <c r="D149" s="15" t="s">
        <v>2314</v>
      </c>
      <c r="E149" s="15" t="s">
        <v>2234</v>
      </c>
      <c r="F149" s="15" t="s">
        <v>2190</v>
      </c>
      <c r="G149" s="15" t="s">
        <v>120</v>
      </c>
      <c r="H149" s="15" t="s">
        <v>1988</v>
      </c>
      <c r="I149" s="23" t="n">
        <v>439</v>
      </c>
      <c r="J149" s="15" t="s">
        <v>2191</v>
      </c>
      <c r="K149" s="15" t="s">
        <v>2192</v>
      </c>
      <c r="L149" s="15" t="s">
        <v>2184</v>
      </c>
      <c r="M149" s="15" t="s">
        <v>1478</v>
      </c>
      <c r="N149" s="15"/>
    </row>
    <row r="150" customFormat="false" ht="39" hidden="false" customHeight="true" outlineLevel="0" collapsed="false">
      <c r="A150" s="15" t="s">
        <v>2315</v>
      </c>
      <c r="B150" s="15" t="s">
        <v>312</v>
      </c>
      <c r="C150" s="15" t="s">
        <v>313</v>
      </c>
      <c r="D150" s="15" t="s">
        <v>2316</v>
      </c>
      <c r="E150" s="15" t="s">
        <v>2002</v>
      </c>
      <c r="F150" s="15" t="s">
        <v>2190</v>
      </c>
      <c r="G150" s="15" t="s">
        <v>120</v>
      </c>
      <c r="H150" s="15" t="s">
        <v>1988</v>
      </c>
      <c r="I150" s="23" t="n">
        <v>239</v>
      </c>
      <c r="J150" s="15" t="s">
        <v>2191</v>
      </c>
      <c r="K150" s="15" t="s">
        <v>2192</v>
      </c>
      <c r="L150" s="15" t="s">
        <v>2184</v>
      </c>
      <c r="M150" s="15" t="s">
        <v>1478</v>
      </c>
      <c r="N150" s="15"/>
    </row>
    <row r="151" customFormat="false" ht="39" hidden="false" customHeight="true" outlineLevel="0" collapsed="false">
      <c r="A151" s="15" t="s">
        <v>2317</v>
      </c>
      <c r="B151" s="15" t="s">
        <v>312</v>
      </c>
      <c r="C151" s="15" t="s">
        <v>313</v>
      </c>
      <c r="D151" s="15" t="s">
        <v>2318</v>
      </c>
      <c r="E151" s="15" t="s">
        <v>2027</v>
      </c>
      <c r="F151" s="15" t="s">
        <v>2190</v>
      </c>
      <c r="G151" s="15" t="s">
        <v>120</v>
      </c>
      <c r="H151" s="15" t="s">
        <v>1988</v>
      </c>
      <c r="I151" s="23" t="n">
        <v>28999</v>
      </c>
      <c r="J151" s="15" t="s">
        <v>2191</v>
      </c>
      <c r="K151" s="15" t="s">
        <v>2192</v>
      </c>
      <c r="L151" s="15" t="s">
        <v>2184</v>
      </c>
      <c r="M151" s="15" t="s">
        <v>1478</v>
      </c>
      <c r="N151" s="15"/>
    </row>
    <row r="152" customFormat="false" ht="39" hidden="false" customHeight="true" outlineLevel="0" collapsed="false">
      <c r="A152" s="15" t="s">
        <v>2319</v>
      </c>
      <c r="B152" s="15" t="s">
        <v>312</v>
      </c>
      <c r="C152" s="15" t="s">
        <v>313</v>
      </c>
      <c r="D152" s="15" t="s">
        <v>2320</v>
      </c>
      <c r="E152" s="15" t="s">
        <v>2321</v>
      </c>
      <c r="F152" s="15" t="s">
        <v>2190</v>
      </c>
      <c r="G152" s="15" t="s">
        <v>120</v>
      </c>
      <c r="H152" s="15" t="s">
        <v>1988</v>
      </c>
      <c r="I152" s="23" t="n">
        <v>4299</v>
      </c>
      <c r="J152" s="15" t="s">
        <v>2191</v>
      </c>
      <c r="K152" s="15" t="s">
        <v>2192</v>
      </c>
      <c r="L152" s="15" t="s">
        <v>2184</v>
      </c>
      <c r="M152" s="15" t="s">
        <v>1478</v>
      </c>
      <c r="N152" s="15"/>
    </row>
    <row r="153" customFormat="false" ht="39" hidden="false" customHeight="true" outlineLevel="0" collapsed="false">
      <c r="A153" s="15" t="s">
        <v>2322</v>
      </c>
      <c r="B153" s="15" t="s">
        <v>312</v>
      </c>
      <c r="C153" s="15" t="s">
        <v>313</v>
      </c>
      <c r="D153" s="15" t="s">
        <v>2323</v>
      </c>
      <c r="E153" s="15" t="s">
        <v>2321</v>
      </c>
      <c r="F153" s="15" t="s">
        <v>2190</v>
      </c>
      <c r="G153" s="15" t="s">
        <v>120</v>
      </c>
      <c r="H153" s="15" t="s">
        <v>1988</v>
      </c>
      <c r="I153" s="23" t="n">
        <v>3999</v>
      </c>
      <c r="J153" s="15" t="s">
        <v>2191</v>
      </c>
      <c r="K153" s="15" t="s">
        <v>2192</v>
      </c>
      <c r="L153" s="15" t="s">
        <v>2184</v>
      </c>
      <c r="M153" s="15" t="s">
        <v>1478</v>
      </c>
      <c r="N153" s="15"/>
    </row>
    <row r="154" customFormat="false" ht="39" hidden="false" customHeight="true" outlineLevel="0" collapsed="false">
      <c r="A154" s="15" t="s">
        <v>2324</v>
      </c>
      <c r="B154" s="15" t="s">
        <v>312</v>
      </c>
      <c r="C154" s="15" t="s">
        <v>313</v>
      </c>
      <c r="D154" s="15" t="s">
        <v>2320</v>
      </c>
      <c r="E154" s="15" t="s">
        <v>2321</v>
      </c>
      <c r="F154" s="15" t="s">
        <v>2190</v>
      </c>
      <c r="G154" s="15" t="s">
        <v>120</v>
      </c>
      <c r="H154" s="15" t="s">
        <v>1988</v>
      </c>
      <c r="I154" s="23" t="n">
        <v>3399</v>
      </c>
      <c r="J154" s="15" t="s">
        <v>2191</v>
      </c>
      <c r="K154" s="15" t="s">
        <v>2192</v>
      </c>
      <c r="L154" s="15" t="s">
        <v>2184</v>
      </c>
      <c r="M154" s="15" t="s">
        <v>1478</v>
      </c>
      <c r="N154" s="15"/>
    </row>
    <row r="155" customFormat="false" ht="39" hidden="false" customHeight="true" outlineLevel="0" collapsed="false">
      <c r="A155" s="15" t="s">
        <v>2325</v>
      </c>
      <c r="B155" s="15" t="s">
        <v>312</v>
      </c>
      <c r="C155" s="15" t="s">
        <v>313</v>
      </c>
      <c r="D155" s="15" t="s">
        <v>2326</v>
      </c>
      <c r="E155" s="15" t="s">
        <v>2321</v>
      </c>
      <c r="F155" s="15" t="s">
        <v>2190</v>
      </c>
      <c r="G155" s="15" t="s">
        <v>120</v>
      </c>
      <c r="H155" s="15" t="s">
        <v>1988</v>
      </c>
      <c r="I155" s="23" t="n">
        <v>2099</v>
      </c>
      <c r="J155" s="15" t="s">
        <v>2191</v>
      </c>
      <c r="K155" s="15" t="s">
        <v>2192</v>
      </c>
      <c r="L155" s="15" t="s">
        <v>2184</v>
      </c>
      <c r="M155" s="15" t="s">
        <v>1478</v>
      </c>
      <c r="N155" s="15"/>
    </row>
    <row r="156" customFormat="false" ht="39" hidden="false" customHeight="true" outlineLevel="0" collapsed="false">
      <c r="A156" s="15" t="s">
        <v>2327</v>
      </c>
      <c r="B156" s="15" t="s">
        <v>312</v>
      </c>
      <c r="C156" s="15" t="s">
        <v>313</v>
      </c>
      <c r="D156" s="15" t="s">
        <v>2328</v>
      </c>
      <c r="E156" s="15" t="s">
        <v>2321</v>
      </c>
      <c r="F156" s="15" t="s">
        <v>2190</v>
      </c>
      <c r="G156" s="15" t="s">
        <v>120</v>
      </c>
      <c r="H156" s="15" t="s">
        <v>1988</v>
      </c>
      <c r="I156" s="23" t="n">
        <v>1999</v>
      </c>
      <c r="J156" s="15" t="s">
        <v>2191</v>
      </c>
      <c r="K156" s="15" t="s">
        <v>2192</v>
      </c>
      <c r="L156" s="15" t="s">
        <v>2184</v>
      </c>
      <c r="M156" s="15" t="s">
        <v>1478</v>
      </c>
      <c r="N156" s="15"/>
    </row>
    <row r="157" customFormat="false" ht="39" hidden="false" customHeight="true" outlineLevel="0" collapsed="false">
      <c r="A157" s="15" t="s">
        <v>2329</v>
      </c>
      <c r="B157" s="15" t="s">
        <v>312</v>
      </c>
      <c r="C157" s="15" t="s">
        <v>313</v>
      </c>
      <c r="D157" s="15" t="s">
        <v>2330</v>
      </c>
      <c r="E157" s="15" t="s">
        <v>2331</v>
      </c>
      <c r="F157" s="15" t="s">
        <v>2190</v>
      </c>
      <c r="G157" s="15" t="s">
        <v>2332</v>
      </c>
      <c r="H157" s="15" t="s">
        <v>2064</v>
      </c>
      <c r="I157" s="23" t="n">
        <v>27999</v>
      </c>
      <c r="J157" s="15" t="s">
        <v>2191</v>
      </c>
      <c r="K157" s="15" t="s">
        <v>2192</v>
      </c>
      <c r="L157" s="15" t="s">
        <v>2184</v>
      </c>
      <c r="M157" s="15" t="s">
        <v>1478</v>
      </c>
      <c r="N157" s="15" t="s">
        <v>2333</v>
      </c>
    </row>
    <row r="158" customFormat="false" ht="39" hidden="false" customHeight="true" outlineLevel="0" collapsed="false">
      <c r="A158" s="15" t="s">
        <v>2334</v>
      </c>
      <c r="B158" s="15" t="s">
        <v>312</v>
      </c>
      <c r="C158" s="15" t="s">
        <v>313</v>
      </c>
      <c r="D158" s="15" t="s">
        <v>2335</v>
      </c>
      <c r="E158" s="15" t="s">
        <v>2047</v>
      </c>
      <c r="F158" s="15" t="s">
        <v>2190</v>
      </c>
      <c r="G158" s="15" t="s">
        <v>120</v>
      </c>
      <c r="H158" s="15" t="s">
        <v>1988</v>
      </c>
      <c r="I158" s="23" t="n">
        <v>19999</v>
      </c>
      <c r="J158" s="15" t="s">
        <v>2191</v>
      </c>
      <c r="K158" s="15" t="s">
        <v>2192</v>
      </c>
      <c r="L158" s="15" t="s">
        <v>2184</v>
      </c>
      <c r="M158" s="15" t="s">
        <v>1478</v>
      </c>
      <c r="N158" s="15"/>
    </row>
    <row r="159" customFormat="false" ht="39" hidden="false" customHeight="true" outlineLevel="0" collapsed="false">
      <c r="A159" s="15" t="s">
        <v>2336</v>
      </c>
      <c r="B159" s="15" t="s">
        <v>312</v>
      </c>
      <c r="C159" s="15" t="s">
        <v>313</v>
      </c>
      <c r="D159" s="15" t="s">
        <v>2337</v>
      </c>
      <c r="E159" s="15" t="s">
        <v>2331</v>
      </c>
      <c r="F159" s="15" t="s">
        <v>2190</v>
      </c>
      <c r="G159" s="15" t="s">
        <v>2332</v>
      </c>
      <c r="H159" s="15" t="s">
        <v>2064</v>
      </c>
      <c r="I159" s="23" t="n">
        <v>14399</v>
      </c>
      <c r="J159" s="15" t="s">
        <v>2191</v>
      </c>
      <c r="K159" s="15" t="s">
        <v>2192</v>
      </c>
      <c r="L159" s="15" t="s">
        <v>2184</v>
      </c>
      <c r="M159" s="15" t="s">
        <v>1478</v>
      </c>
      <c r="N159" s="15" t="s">
        <v>2333</v>
      </c>
    </row>
    <row r="160" customFormat="false" ht="39" hidden="false" customHeight="true" outlineLevel="0" collapsed="false">
      <c r="A160" s="15" t="s">
        <v>2338</v>
      </c>
      <c r="B160" s="15" t="s">
        <v>312</v>
      </c>
      <c r="C160" s="15" t="s">
        <v>313</v>
      </c>
      <c r="D160" s="15" t="s">
        <v>2339</v>
      </c>
      <c r="E160" s="15" t="s">
        <v>2331</v>
      </c>
      <c r="F160" s="15" t="s">
        <v>2190</v>
      </c>
      <c r="G160" s="15" t="s">
        <v>2332</v>
      </c>
      <c r="H160" s="15" t="s">
        <v>2064</v>
      </c>
      <c r="I160" s="23" t="n">
        <v>9599</v>
      </c>
      <c r="J160" s="15" t="s">
        <v>2191</v>
      </c>
      <c r="K160" s="15" t="s">
        <v>2192</v>
      </c>
      <c r="L160" s="15" t="s">
        <v>2184</v>
      </c>
      <c r="M160" s="15" t="s">
        <v>1478</v>
      </c>
      <c r="N160" s="15" t="s">
        <v>2333</v>
      </c>
    </row>
    <row r="161" customFormat="false" ht="39" hidden="false" customHeight="true" outlineLevel="0" collapsed="false">
      <c r="A161" s="15" t="s">
        <v>2340</v>
      </c>
      <c r="B161" s="15" t="s">
        <v>312</v>
      </c>
      <c r="C161" s="15" t="s">
        <v>313</v>
      </c>
      <c r="D161" s="15" t="s">
        <v>2341</v>
      </c>
      <c r="E161" s="15" t="s">
        <v>2331</v>
      </c>
      <c r="F161" s="15" t="s">
        <v>2190</v>
      </c>
      <c r="G161" s="15" t="s">
        <v>120</v>
      </c>
      <c r="H161" s="15" t="s">
        <v>1988</v>
      </c>
      <c r="I161" s="23" t="n">
        <v>7254</v>
      </c>
      <c r="J161" s="15" t="s">
        <v>2191</v>
      </c>
      <c r="K161" s="15" t="s">
        <v>2192</v>
      </c>
      <c r="L161" s="15" t="s">
        <v>2184</v>
      </c>
      <c r="M161" s="15" t="s">
        <v>1478</v>
      </c>
      <c r="N161" s="15"/>
    </row>
    <row r="162" customFormat="false" ht="39" hidden="false" customHeight="true" outlineLevel="0" collapsed="false">
      <c r="A162" s="15" t="s">
        <v>2342</v>
      </c>
      <c r="B162" s="15" t="s">
        <v>312</v>
      </c>
      <c r="C162" s="15" t="s">
        <v>313</v>
      </c>
      <c r="D162" s="15" t="s">
        <v>2343</v>
      </c>
      <c r="E162" s="15" t="s">
        <v>2331</v>
      </c>
      <c r="F162" s="15" t="s">
        <v>2190</v>
      </c>
      <c r="G162" s="15" t="s">
        <v>120</v>
      </c>
      <c r="H162" s="15" t="s">
        <v>1988</v>
      </c>
      <c r="I162" s="23" t="n">
        <v>6599</v>
      </c>
      <c r="J162" s="15" t="s">
        <v>2191</v>
      </c>
      <c r="K162" s="15" t="s">
        <v>2192</v>
      </c>
      <c r="L162" s="15" t="s">
        <v>2184</v>
      </c>
      <c r="M162" s="15" t="s">
        <v>1478</v>
      </c>
      <c r="N162" s="15"/>
    </row>
    <row r="163" customFormat="false" ht="39" hidden="false" customHeight="true" outlineLevel="0" collapsed="false">
      <c r="A163" s="15" t="s">
        <v>2344</v>
      </c>
      <c r="B163" s="15" t="s">
        <v>312</v>
      </c>
      <c r="C163" s="15" t="s">
        <v>313</v>
      </c>
      <c r="D163" s="15" t="s">
        <v>2345</v>
      </c>
      <c r="E163" s="15" t="s">
        <v>2117</v>
      </c>
      <c r="F163" s="15" t="s">
        <v>2190</v>
      </c>
      <c r="G163" s="15" t="s">
        <v>120</v>
      </c>
      <c r="H163" s="15" t="s">
        <v>1988</v>
      </c>
      <c r="I163" s="23" t="n">
        <v>3999</v>
      </c>
      <c r="J163" s="15" t="s">
        <v>2191</v>
      </c>
      <c r="K163" s="15" t="s">
        <v>2192</v>
      </c>
      <c r="L163" s="15" t="s">
        <v>2184</v>
      </c>
      <c r="M163" s="15" t="s">
        <v>1478</v>
      </c>
      <c r="N163" s="15"/>
    </row>
    <row r="164" customFormat="false" ht="39" hidden="false" customHeight="true" outlineLevel="0" collapsed="false">
      <c r="A164" s="15" t="s">
        <v>2346</v>
      </c>
      <c r="B164" s="15" t="s">
        <v>312</v>
      </c>
      <c r="C164" s="15" t="s">
        <v>313</v>
      </c>
      <c r="D164" s="15" t="s">
        <v>2347</v>
      </c>
      <c r="E164" s="15" t="s">
        <v>2234</v>
      </c>
      <c r="F164" s="15" t="s">
        <v>2190</v>
      </c>
      <c r="G164" s="15" t="s">
        <v>120</v>
      </c>
      <c r="H164" s="15" t="s">
        <v>1988</v>
      </c>
      <c r="I164" s="23" t="n">
        <v>3999</v>
      </c>
      <c r="J164" s="15" t="s">
        <v>2191</v>
      </c>
      <c r="K164" s="15" t="s">
        <v>2192</v>
      </c>
      <c r="L164" s="15" t="s">
        <v>2184</v>
      </c>
      <c r="M164" s="15" t="s">
        <v>1478</v>
      </c>
      <c r="N164" s="15"/>
    </row>
    <row r="165" customFormat="false" ht="39" hidden="false" customHeight="true" outlineLevel="0" collapsed="false">
      <c r="A165" s="15" t="s">
        <v>2348</v>
      </c>
      <c r="B165" s="15" t="s">
        <v>312</v>
      </c>
      <c r="C165" s="15" t="s">
        <v>313</v>
      </c>
      <c r="D165" s="15" t="s">
        <v>2349</v>
      </c>
      <c r="E165" s="15" t="s">
        <v>2106</v>
      </c>
      <c r="F165" s="15" t="s">
        <v>2190</v>
      </c>
      <c r="G165" s="15" t="s">
        <v>2350</v>
      </c>
      <c r="H165" s="15" t="s">
        <v>1998</v>
      </c>
      <c r="I165" s="23" t="n">
        <v>3549</v>
      </c>
      <c r="J165" s="15" t="s">
        <v>2191</v>
      </c>
      <c r="K165" s="15" t="s">
        <v>2192</v>
      </c>
      <c r="L165" s="15" t="s">
        <v>2184</v>
      </c>
      <c r="M165" s="15" t="s">
        <v>1478</v>
      </c>
      <c r="N165" s="15" t="s">
        <v>2351</v>
      </c>
    </row>
    <row r="166" customFormat="false" ht="39" hidden="false" customHeight="true" outlineLevel="0" collapsed="false">
      <c r="A166" s="15" t="s">
        <v>2352</v>
      </c>
      <c r="B166" s="15" t="s">
        <v>312</v>
      </c>
      <c r="C166" s="15" t="s">
        <v>313</v>
      </c>
      <c r="D166" s="15" t="s">
        <v>2353</v>
      </c>
      <c r="E166" s="15" t="s">
        <v>2099</v>
      </c>
      <c r="F166" s="15" t="s">
        <v>2190</v>
      </c>
      <c r="G166" s="15" t="s">
        <v>120</v>
      </c>
      <c r="H166" s="15" t="s">
        <v>1988</v>
      </c>
      <c r="I166" s="23" t="n">
        <v>3499</v>
      </c>
      <c r="J166" s="15" t="s">
        <v>2191</v>
      </c>
      <c r="K166" s="15" t="s">
        <v>2192</v>
      </c>
      <c r="L166" s="15" t="s">
        <v>2184</v>
      </c>
      <c r="M166" s="15" t="s">
        <v>1478</v>
      </c>
      <c r="N166" s="15"/>
    </row>
    <row r="167" customFormat="false" ht="39" hidden="false" customHeight="true" outlineLevel="0" collapsed="false">
      <c r="A167" s="15" t="s">
        <v>2354</v>
      </c>
      <c r="B167" s="15" t="s">
        <v>312</v>
      </c>
      <c r="C167" s="15" t="s">
        <v>313</v>
      </c>
      <c r="D167" s="15" t="s">
        <v>2355</v>
      </c>
      <c r="E167" s="15" t="s">
        <v>2047</v>
      </c>
      <c r="F167" s="15" t="s">
        <v>2190</v>
      </c>
      <c r="G167" s="15" t="s">
        <v>120</v>
      </c>
      <c r="H167" s="15" t="s">
        <v>1988</v>
      </c>
      <c r="I167" s="23" t="n">
        <v>3199</v>
      </c>
      <c r="J167" s="15" t="s">
        <v>2191</v>
      </c>
      <c r="K167" s="15" t="s">
        <v>2192</v>
      </c>
      <c r="L167" s="15" t="s">
        <v>2184</v>
      </c>
      <c r="M167" s="15" t="s">
        <v>1478</v>
      </c>
      <c r="N167" s="15"/>
    </row>
    <row r="168" customFormat="false" ht="39" hidden="false" customHeight="true" outlineLevel="0" collapsed="false">
      <c r="A168" s="15" t="s">
        <v>2356</v>
      </c>
      <c r="B168" s="15" t="s">
        <v>312</v>
      </c>
      <c r="C168" s="15" t="s">
        <v>313</v>
      </c>
      <c r="D168" s="15" t="s">
        <v>2357</v>
      </c>
      <c r="E168" s="15" t="s">
        <v>2321</v>
      </c>
      <c r="F168" s="15" t="s">
        <v>2190</v>
      </c>
      <c r="G168" s="15" t="s">
        <v>120</v>
      </c>
      <c r="H168" s="15" t="s">
        <v>1988</v>
      </c>
      <c r="I168" s="23" t="n">
        <v>2838</v>
      </c>
      <c r="J168" s="15" t="s">
        <v>2191</v>
      </c>
      <c r="K168" s="15" t="s">
        <v>2192</v>
      </c>
      <c r="L168" s="15" t="s">
        <v>2184</v>
      </c>
      <c r="M168" s="15" t="s">
        <v>1478</v>
      </c>
      <c r="N168" s="15"/>
    </row>
    <row r="169" customFormat="false" ht="39" hidden="false" customHeight="true" outlineLevel="0" collapsed="false">
      <c r="A169" s="15" t="s">
        <v>2358</v>
      </c>
      <c r="B169" s="15" t="s">
        <v>312</v>
      </c>
      <c r="C169" s="15" t="s">
        <v>313</v>
      </c>
      <c r="D169" s="15" t="s">
        <v>2359</v>
      </c>
      <c r="E169" s="15" t="s">
        <v>2099</v>
      </c>
      <c r="F169" s="15" t="s">
        <v>2190</v>
      </c>
      <c r="G169" s="15" t="s">
        <v>120</v>
      </c>
      <c r="H169" s="15" t="s">
        <v>1988</v>
      </c>
      <c r="I169" s="23" t="n">
        <v>2599</v>
      </c>
      <c r="J169" s="15" t="s">
        <v>2191</v>
      </c>
      <c r="K169" s="15" t="s">
        <v>2192</v>
      </c>
      <c r="L169" s="15" t="s">
        <v>2184</v>
      </c>
      <c r="M169" s="15" t="s">
        <v>1478</v>
      </c>
      <c r="N169" s="15"/>
    </row>
    <row r="170" customFormat="false" ht="39" hidden="false" customHeight="true" outlineLevel="0" collapsed="false">
      <c r="A170" s="15" t="s">
        <v>2360</v>
      </c>
      <c r="B170" s="15" t="s">
        <v>312</v>
      </c>
      <c r="C170" s="15" t="s">
        <v>313</v>
      </c>
      <c r="D170" s="15" t="s">
        <v>2361</v>
      </c>
      <c r="E170" s="15" t="s">
        <v>2002</v>
      </c>
      <c r="F170" s="15" t="s">
        <v>2190</v>
      </c>
      <c r="G170" s="15" t="s">
        <v>120</v>
      </c>
      <c r="H170" s="15" t="s">
        <v>1988</v>
      </c>
      <c r="I170" s="23" t="n">
        <v>2599</v>
      </c>
      <c r="J170" s="15" t="s">
        <v>2191</v>
      </c>
      <c r="K170" s="15" t="s">
        <v>2192</v>
      </c>
      <c r="L170" s="15" t="s">
        <v>2184</v>
      </c>
      <c r="M170" s="15" t="s">
        <v>1478</v>
      </c>
      <c r="N170" s="15" t="s">
        <v>2201</v>
      </c>
    </row>
    <row r="171" customFormat="false" ht="39" hidden="false" customHeight="true" outlineLevel="0" collapsed="false">
      <c r="A171" s="15" t="s">
        <v>2362</v>
      </c>
      <c r="B171" s="15" t="s">
        <v>312</v>
      </c>
      <c r="C171" s="15" t="s">
        <v>313</v>
      </c>
      <c r="D171" s="15" t="s">
        <v>2363</v>
      </c>
      <c r="E171" s="15" t="s">
        <v>2234</v>
      </c>
      <c r="F171" s="15" t="s">
        <v>2190</v>
      </c>
      <c r="G171" s="15" t="s">
        <v>120</v>
      </c>
      <c r="H171" s="15" t="s">
        <v>1988</v>
      </c>
      <c r="I171" s="23" t="n">
        <v>1899</v>
      </c>
      <c r="J171" s="15" t="s">
        <v>2191</v>
      </c>
      <c r="K171" s="15" t="s">
        <v>2192</v>
      </c>
      <c r="L171" s="15" t="s">
        <v>2184</v>
      </c>
      <c r="M171" s="15" t="s">
        <v>1478</v>
      </c>
      <c r="N171" s="15"/>
    </row>
    <row r="172" customFormat="false" ht="39" hidden="false" customHeight="true" outlineLevel="0" collapsed="false">
      <c r="A172" s="15" t="s">
        <v>2364</v>
      </c>
      <c r="B172" s="15" t="s">
        <v>312</v>
      </c>
      <c r="C172" s="15" t="s">
        <v>313</v>
      </c>
      <c r="D172" s="15" t="s">
        <v>2363</v>
      </c>
      <c r="E172" s="15" t="s">
        <v>2234</v>
      </c>
      <c r="F172" s="15" t="s">
        <v>2190</v>
      </c>
      <c r="G172" s="15" t="s">
        <v>120</v>
      </c>
      <c r="H172" s="15" t="s">
        <v>1988</v>
      </c>
      <c r="I172" s="23" t="n">
        <v>1799</v>
      </c>
      <c r="J172" s="15" t="s">
        <v>2191</v>
      </c>
      <c r="K172" s="15" t="s">
        <v>2192</v>
      </c>
      <c r="L172" s="15" t="s">
        <v>2184</v>
      </c>
      <c r="M172" s="15" t="s">
        <v>1478</v>
      </c>
      <c r="N172" s="15"/>
    </row>
    <row r="173" customFormat="false" ht="39" hidden="false" customHeight="true" outlineLevel="0" collapsed="false">
      <c r="A173" s="15" t="s">
        <v>2365</v>
      </c>
      <c r="B173" s="15" t="s">
        <v>312</v>
      </c>
      <c r="C173" s="15" t="s">
        <v>313</v>
      </c>
      <c r="D173" s="15" t="s">
        <v>2366</v>
      </c>
      <c r="E173" s="15" t="s">
        <v>2099</v>
      </c>
      <c r="F173" s="15" t="s">
        <v>2190</v>
      </c>
      <c r="G173" s="15" t="s">
        <v>120</v>
      </c>
      <c r="H173" s="15" t="s">
        <v>1988</v>
      </c>
      <c r="I173" s="23" t="n">
        <v>1199</v>
      </c>
      <c r="J173" s="15" t="s">
        <v>2191</v>
      </c>
      <c r="K173" s="15" t="s">
        <v>2192</v>
      </c>
      <c r="L173" s="15" t="s">
        <v>2184</v>
      </c>
      <c r="M173" s="15" t="s">
        <v>1478</v>
      </c>
      <c r="N173" s="15"/>
    </row>
    <row r="174" customFormat="false" ht="39" hidden="false" customHeight="true" outlineLevel="0" collapsed="false">
      <c r="A174" s="15" t="s">
        <v>2367</v>
      </c>
      <c r="B174" s="15" t="s">
        <v>312</v>
      </c>
      <c r="C174" s="15" t="s">
        <v>313</v>
      </c>
      <c r="D174" s="15" t="s">
        <v>2366</v>
      </c>
      <c r="E174" s="15" t="s">
        <v>2099</v>
      </c>
      <c r="F174" s="15" t="s">
        <v>2190</v>
      </c>
      <c r="G174" s="15" t="s">
        <v>120</v>
      </c>
      <c r="H174" s="15" t="s">
        <v>1988</v>
      </c>
      <c r="I174" s="23" t="n">
        <v>1063</v>
      </c>
      <c r="J174" s="15" t="s">
        <v>2191</v>
      </c>
      <c r="K174" s="15" t="s">
        <v>2192</v>
      </c>
      <c r="L174" s="15" t="s">
        <v>2184</v>
      </c>
      <c r="M174" s="15" t="s">
        <v>1478</v>
      </c>
      <c r="N174" s="15"/>
    </row>
    <row r="175" customFormat="false" ht="39" hidden="false" customHeight="true" outlineLevel="0" collapsed="false">
      <c r="A175" s="15" t="s">
        <v>2368</v>
      </c>
      <c r="B175" s="15" t="s">
        <v>312</v>
      </c>
      <c r="C175" s="15" t="s">
        <v>313</v>
      </c>
      <c r="D175" s="15" t="s">
        <v>2369</v>
      </c>
      <c r="E175" s="15" t="s">
        <v>2234</v>
      </c>
      <c r="F175" s="15" t="s">
        <v>2190</v>
      </c>
      <c r="G175" s="15" t="s">
        <v>120</v>
      </c>
      <c r="H175" s="15" t="s">
        <v>1988</v>
      </c>
      <c r="I175" s="23" t="n">
        <v>999</v>
      </c>
      <c r="J175" s="15" t="s">
        <v>2191</v>
      </c>
      <c r="K175" s="15" t="s">
        <v>2192</v>
      </c>
      <c r="L175" s="15" t="s">
        <v>2184</v>
      </c>
      <c r="M175" s="15" t="s">
        <v>1478</v>
      </c>
      <c r="N175" s="15"/>
    </row>
    <row r="176" customFormat="false" ht="39" hidden="false" customHeight="true" outlineLevel="0" collapsed="false">
      <c r="A176" s="15" t="s">
        <v>2370</v>
      </c>
      <c r="B176" s="15" t="s">
        <v>312</v>
      </c>
      <c r="C176" s="15" t="s">
        <v>313</v>
      </c>
      <c r="D176" s="15" t="s">
        <v>2371</v>
      </c>
      <c r="E176" s="15" t="s">
        <v>2032</v>
      </c>
      <c r="F176" s="15" t="s">
        <v>2190</v>
      </c>
      <c r="G176" s="15" t="s">
        <v>120</v>
      </c>
      <c r="H176" s="15" t="s">
        <v>1988</v>
      </c>
      <c r="I176" s="23" t="n">
        <v>799</v>
      </c>
      <c r="J176" s="15" t="s">
        <v>2191</v>
      </c>
      <c r="K176" s="15" t="s">
        <v>2192</v>
      </c>
      <c r="L176" s="15" t="s">
        <v>2184</v>
      </c>
      <c r="M176" s="15" t="s">
        <v>1478</v>
      </c>
      <c r="N176" s="15"/>
    </row>
    <row r="177" customFormat="false" ht="39" hidden="false" customHeight="true" outlineLevel="0" collapsed="false">
      <c r="A177" s="15" t="s">
        <v>2372</v>
      </c>
      <c r="B177" s="15" t="s">
        <v>312</v>
      </c>
      <c r="C177" s="15" t="s">
        <v>313</v>
      </c>
      <c r="D177" s="15" t="s">
        <v>2373</v>
      </c>
      <c r="E177" s="15" t="s">
        <v>2047</v>
      </c>
      <c r="F177" s="15" t="s">
        <v>2190</v>
      </c>
      <c r="G177" s="15" t="s">
        <v>120</v>
      </c>
      <c r="H177" s="15" t="s">
        <v>1988</v>
      </c>
      <c r="I177" s="23" t="n">
        <v>799</v>
      </c>
      <c r="J177" s="15" t="s">
        <v>2191</v>
      </c>
      <c r="K177" s="15" t="s">
        <v>2192</v>
      </c>
      <c r="L177" s="15" t="s">
        <v>2184</v>
      </c>
      <c r="M177" s="15" t="s">
        <v>1478</v>
      </c>
      <c r="N177" s="15"/>
    </row>
    <row r="178" customFormat="false" ht="39" hidden="false" customHeight="true" outlineLevel="0" collapsed="false">
      <c r="A178" s="15" t="s">
        <v>2374</v>
      </c>
      <c r="B178" s="15" t="s">
        <v>312</v>
      </c>
      <c r="C178" s="15" t="s">
        <v>313</v>
      </c>
      <c r="D178" s="15" t="s">
        <v>2375</v>
      </c>
      <c r="E178" s="15" t="s">
        <v>2234</v>
      </c>
      <c r="F178" s="15" t="s">
        <v>2190</v>
      </c>
      <c r="G178" s="15" t="s">
        <v>120</v>
      </c>
      <c r="H178" s="15" t="s">
        <v>1988</v>
      </c>
      <c r="I178" s="23" t="n">
        <v>799</v>
      </c>
      <c r="J178" s="15" t="s">
        <v>2191</v>
      </c>
      <c r="K178" s="15" t="s">
        <v>2192</v>
      </c>
      <c r="L178" s="15" t="s">
        <v>2184</v>
      </c>
      <c r="M178" s="15" t="s">
        <v>1478</v>
      </c>
      <c r="N178" s="15"/>
    </row>
    <row r="179" customFormat="false" ht="39" hidden="false" customHeight="true" outlineLevel="0" collapsed="false">
      <c r="A179" s="15" t="s">
        <v>2376</v>
      </c>
      <c r="B179" s="15" t="s">
        <v>312</v>
      </c>
      <c r="C179" s="15" t="s">
        <v>313</v>
      </c>
      <c r="D179" s="15" t="s">
        <v>2377</v>
      </c>
      <c r="E179" s="15" t="s">
        <v>2234</v>
      </c>
      <c r="F179" s="15" t="s">
        <v>2190</v>
      </c>
      <c r="G179" s="15" t="s">
        <v>120</v>
      </c>
      <c r="H179" s="15" t="s">
        <v>1988</v>
      </c>
      <c r="I179" s="23" t="n">
        <v>752</v>
      </c>
      <c r="J179" s="15" t="s">
        <v>2191</v>
      </c>
      <c r="K179" s="15" t="s">
        <v>2192</v>
      </c>
      <c r="L179" s="15" t="s">
        <v>2184</v>
      </c>
      <c r="M179" s="15" t="s">
        <v>1478</v>
      </c>
      <c r="N179" s="15"/>
    </row>
    <row r="180" customFormat="false" ht="39" hidden="false" customHeight="true" outlineLevel="0" collapsed="false">
      <c r="A180" s="15" t="s">
        <v>2378</v>
      </c>
      <c r="B180" s="15" t="s">
        <v>312</v>
      </c>
      <c r="C180" s="15" t="s">
        <v>313</v>
      </c>
      <c r="D180" s="15" t="s">
        <v>2379</v>
      </c>
      <c r="E180" s="15" t="s">
        <v>2234</v>
      </c>
      <c r="F180" s="15" t="s">
        <v>2190</v>
      </c>
      <c r="G180" s="15" t="s">
        <v>120</v>
      </c>
      <c r="H180" s="15" t="s">
        <v>1988</v>
      </c>
      <c r="I180" s="23" t="n">
        <v>752</v>
      </c>
      <c r="J180" s="15" t="s">
        <v>2191</v>
      </c>
      <c r="K180" s="15" t="s">
        <v>2192</v>
      </c>
      <c r="L180" s="15" t="s">
        <v>2184</v>
      </c>
      <c r="M180" s="15" t="s">
        <v>1478</v>
      </c>
      <c r="N180" s="15"/>
    </row>
    <row r="181" customFormat="false" ht="39" hidden="false" customHeight="true" outlineLevel="0" collapsed="false">
      <c r="A181" s="15" t="s">
        <v>2380</v>
      </c>
      <c r="B181" s="15" t="s">
        <v>312</v>
      </c>
      <c r="C181" s="15" t="s">
        <v>313</v>
      </c>
      <c r="D181" s="15" t="s">
        <v>2381</v>
      </c>
      <c r="E181" s="15" t="s">
        <v>2234</v>
      </c>
      <c r="F181" s="15" t="s">
        <v>2190</v>
      </c>
      <c r="G181" s="15" t="s">
        <v>120</v>
      </c>
      <c r="H181" s="15" t="s">
        <v>1988</v>
      </c>
      <c r="I181" s="23" t="n">
        <v>739</v>
      </c>
      <c r="J181" s="15" t="s">
        <v>2191</v>
      </c>
      <c r="K181" s="15" t="s">
        <v>2192</v>
      </c>
      <c r="L181" s="15" t="s">
        <v>2184</v>
      </c>
      <c r="M181" s="15" t="s">
        <v>1478</v>
      </c>
      <c r="N181" s="15"/>
    </row>
    <row r="182" customFormat="false" ht="39" hidden="false" customHeight="true" outlineLevel="0" collapsed="false">
      <c r="A182" s="15" t="s">
        <v>2382</v>
      </c>
      <c r="B182" s="15" t="s">
        <v>312</v>
      </c>
      <c r="C182" s="15" t="s">
        <v>313</v>
      </c>
      <c r="D182" s="15" t="s">
        <v>2383</v>
      </c>
      <c r="E182" s="15" t="s">
        <v>2234</v>
      </c>
      <c r="F182" s="15" t="s">
        <v>2190</v>
      </c>
      <c r="G182" s="15" t="s">
        <v>120</v>
      </c>
      <c r="H182" s="15" t="s">
        <v>1988</v>
      </c>
      <c r="I182" s="23" t="n">
        <v>659</v>
      </c>
      <c r="J182" s="15" t="s">
        <v>2191</v>
      </c>
      <c r="K182" s="15" t="s">
        <v>2192</v>
      </c>
      <c r="L182" s="15" t="s">
        <v>2184</v>
      </c>
      <c r="M182" s="15" t="s">
        <v>1478</v>
      </c>
      <c r="N182" s="15"/>
    </row>
    <row r="183" customFormat="false" ht="39" hidden="false" customHeight="true" outlineLevel="0" collapsed="false">
      <c r="A183" s="15" t="s">
        <v>2384</v>
      </c>
      <c r="B183" s="15" t="s">
        <v>312</v>
      </c>
      <c r="C183" s="15" t="s">
        <v>313</v>
      </c>
      <c r="D183" s="15" t="s">
        <v>2385</v>
      </c>
      <c r="E183" s="15" t="s">
        <v>2047</v>
      </c>
      <c r="F183" s="15" t="s">
        <v>2190</v>
      </c>
      <c r="G183" s="15" t="s">
        <v>120</v>
      </c>
      <c r="H183" s="15" t="s">
        <v>1988</v>
      </c>
      <c r="I183" s="23" t="n">
        <v>579</v>
      </c>
      <c r="J183" s="15" t="s">
        <v>2191</v>
      </c>
      <c r="K183" s="15" t="s">
        <v>2192</v>
      </c>
      <c r="L183" s="15" t="s">
        <v>2184</v>
      </c>
      <c r="M183" s="15" t="s">
        <v>1478</v>
      </c>
      <c r="N183" s="15"/>
    </row>
    <row r="184" customFormat="false" ht="39" hidden="false" customHeight="true" outlineLevel="0" collapsed="false">
      <c r="A184" s="15" t="s">
        <v>2386</v>
      </c>
      <c r="B184" s="15" t="s">
        <v>312</v>
      </c>
      <c r="C184" s="15" t="s">
        <v>313</v>
      </c>
      <c r="D184" s="15" t="s">
        <v>2387</v>
      </c>
      <c r="E184" s="15" t="s">
        <v>2234</v>
      </c>
      <c r="F184" s="15" t="s">
        <v>2190</v>
      </c>
      <c r="G184" s="15" t="s">
        <v>120</v>
      </c>
      <c r="H184" s="15" t="s">
        <v>1988</v>
      </c>
      <c r="I184" s="23" t="n">
        <v>549</v>
      </c>
      <c r="J184" s="15" t="s">
        <v>2191</v>
      </c>
      <c r="K184" s="15" t="s">
        <v>2192</v>
      </c>
      <c r="L184" s="15" t="s">
        <v>2184</v>
      </c>
      <c r="M184" s="15" t="s">
        <v>1478</v>
      </c>
      <c r="N184" s="15"/>
    </row>
    <row r="185" customFormat="false" ht="39" hidden="false" customHeight="true" outlineLevel="0" collapsed="false">
      <c r="A185" s="15" t="s">
        <v>2388</v>
      </c>
      <c r="B185" s="15" t="s">
        <v>312</v>
      </c>
      <c r="C185" s="15" t="s">
        <v>313</v>
      </c>
      <c r="D185" s="15" t="s">
        <v>2389</v>
      </c>
      <c r="E185" s="15" t="s">
        <v>2234</v>
      </c>
      <c r="F185" s="15" t="s">
        <v>2190</v>
      </c>
      <c r="G185" s="15" t="s">
        <v>120</v>
      </c>
      <c r="H185" s="15" t="s">
        <v>1988</v>
      </c>
      <c r="I185" s="23" t="n">
        <v>499</v>
      </c>
      <c r="J185" s="15" t="s">
        <v>2191</v>
      </c>
      <c r="K185" s="15" t="s">
        <v>2192</v>
      </c>
      <c r="L185" s="15" t="s">
        <v>2184</v>
      </c>
      <c r="M185" s="15" t="s">
        <v>1478</v>
      </c>
      <c r="N185" s="15"/>
    </row>
    <row r="186" customFormat="false" ht="39" hidden="false" customHeight="true" outlineLevel="0" collapsed="false">
      <c r="A186" s="15" t="s">
        <v>2390</v>
      </c>
      <c r="B186" s="15" t="s">
        <v>312</v>
      </c>
      <c r="C186" s="15" t="s">
        <v>313</v>
      </c>
      <c r="D186" s="15" t="s">
        <v>2391</v>
      </c>
      <c r="E186" s="15" t="s">
        <v>2234</v>
      </c>
      <c r="F186" s="15" t="s">
        <v>2190</v>
      </c>
      <c r="G186" s="15" t="s">
        <v>120</v>
      </c>
      <c r="H186" s="15" t="s">
        <v>1988</v>
      </c>
      <c r="I186" s="23" t="n">
        <v>444</v>
      </c>
      <c r="J186" s="15" t="s">
        <v>2191</v>
      </c>
      <c r="K186" s="15" t="s">
        <v>2192</v>
      </c>
      <c r="L186" s="15" t="s">
        <v>2184</v>
      </c>
      <c r="M186" s="15" t="s">
        <v>1478</v>
      </c>
      <c r="N186" s="15"/>
    </row>
    <row r="187" customFormat="false" ht="39" hidden="false" customHeight="true" outlineLevel="0" collapsed="false">
      <c r="A187" s="15" t="s">
        <v>2392</v>
      </c>
      <c r="B187" s="15" t="s">
        <v>312</v>
      </c>
      <c r="C187" s="15" t="s">
        <v>313</v>
      </c>
      <c r="D187" s="15" t="s">
        <v>2393</v>
      </c>
      <c r="E187" s="15" t="s">
        <v>2234</v>
      </c>
      <c r="F187" s="15" t="s">
        <v>2190</v>
      </c>
      <c r="G187" s="15" t="s">
        <v>120</v>
      </c>
      <c r="H187" s="15" t="s">
        <v>1988</v>
      </c>
      <c r="I187" s="23" t="n">
        <v>431</v>
      </c>
      <c r="J187" s="15" t="s">
        <v>2191</v>
      </c>
      <c r="K187" s="15" t="s">
        <v>2192</v>
      </c>
      <c r="L187" s="15" t="s">
        <v>2184</v>
      </c>
      <c r="M187" s="15" t="s">
        <v>1478</v>
      </c>
      <c r="N187" s="15"/>
    </row>
    <row r="188" customFormat="false" ht="39" hidden="false" customHeight="true" outlineLevel="0" collapsed="false">
      <c r="A188" s="15" t="s">
        <v>2394</v>
      </c>
      <c r="B188" s="15" t="s">
        <v>312</v>
      </c>
      <c r="C188" s="15" t="s">
        <v>313</v>
      </c>
      <c r="D188" s="15" t="s">
        <v>2395</v>
      </c>
      <c r="E188" s="15" t="s">
        <v>2234</v>
      </c>
      <c r="F188" s="15" t="s">
        <v>2190</v>
      </c>
      <c r="G188" s="15" t="s">
        <v>120</v>
      </c>
      <c r="H188" s="15" t="s">
        <v>1988</v>
      </c>
      <c r="I188" s="23" t="n">
        <v>419</v>
      </c>
      <c r="J188" s="15" t="s">
        <v>2191</v>
      </c>
      <c r="K188" s="15" t="s">
        <v>2192</v>
      </c>
      <c r="L188" s="15" t="s">
        <v>2184</v>
      </c>
      <c r="M188" s="15" t="s">
        <v>1478</v>
      </c>
      <c r="N188" s="15"/>
    </row>
    <row r="189" customFormat="false" ht="39" hidden="false" customHeight="true" outlineLevel="0" collapsed="false">
      <c r="A189" s="15" t="s">
        <v>2396</v>
      </c>
      <c r="B189" s="15" t="s">
        <v>312</v>
      </c>
      <c r="C189" s="15" t="s">
        <v>313</v>
      </c>
      <c r="D189" s="15" t="s">
        <v>2397</v>
      </c>
      <c r="E189" s="15" t="s">
        <v>2234</v>
      </c>
      <c r="F189" s="15" t="s">
        <v>2190</v>
      </c>
      <c r="G189" s="15" t="s">
        <v>120</v>
      </c>
      <c r="H189" s="15" t="s">
        <v>1988</v>
      </c>
      <c r="I189" s="23" t="n">
        <v>419</v>
      </c>
      <c r="J189" s="15" t="s">
        <v>2191</v>
      </c>
      <c r="K189" s="15" t="s">
        <v>2192</v>
      </c>
      <c r="L189" s="15" t="s">
        <v>2184</v>
      </c>
      <c r="M189" s="15" t="s">
        <v>1478</v>
      </c>
      <c r="N189" s="15"/>
    </row>
    <row r="190" customFormat="false" ht="39" hidden="false" customHeight="true" outlineLevel="0" collapsed="false">
      <c r="A190" s="15" t="s">
        <v>2398</v>
      </c>
      <c r="B190" s="15" t="s">
        <v>312</v>
      </c>
      <c r="C190" s="15" t="s">
        <v>313</v>
      </c>
      <c r="D190" s="15" t="s">
        <v>2399</v>
      </c>
      <c r="E190" s="15" t="s">
        <v>2234</v>
      </c>
      <c r="F190" s="15" t="s">
        <v>2190</v>
      </c>
      <c r="G190" s="15" t="s">
        <v>120</v>
      </c>
      <c r="H190" s="15" t="s">
        <v>1988</v>
      </c>
      <c r="I190" s="23" t="n">
        <v>399</v>
      </c>
      <c r="J190" s="15" t="s">
        <v>2191</v>
      </c>
      <c r="K190" s="15" t="s">
        <v>2192</v>
      </c>
      <c r="L190" s="15" t="s">
        <v>2184</v>
      </c>
      <c r="M190" s="15" t="s">
        <v>1478</v>
      </c>
      <c r="N190" s="15"/>
    </row>
    <row r="191" customFormat="false" ht="39" hidden="false" customHeight="true" outlineLevel="0" collapsed="false">
      <c r="A191" s="15" t="s">
        <v>2400</v>
      </c>
      <c r="B191" s="15" t="s">
        <v>312</v>
      </c>
      <c r="C191" s="15" t="s">
        <v>313</v>
      </c>
      <c r="D191" s="15" t="s">
        <v>2401</v>
      </c>
      <c r="E191" s="15" t="s">
        <v>2331</v>
      </c>
      <c r="F191" s="15" t="s">
        <v>2190</v>
      </c>
      <c r="G191" s="15" t="s">
        <v>120</v>
      </c>
      <c r="H191" s="15" t="s">
        <v>1988</v>
      </c>
      <c r="I191" s="23" t="n">
        <v>399</v>
      </c>
      <c r="J191" s="15" t="s">
        <v>2191</v>
      </c>
      <c r="K191" s="15" t="s">
        <v>2192</v>
      </c>
      <c r="L191" s="15" t="s">
        <v>2184</v>
      </c>
      <c r="M191" s="15" t="s">
        <v>1478</v>
      </c>
      <c r="N191" s="15"/>
    </row>
    <row r="192" customFormat="false" ht="39" hidden="false" customHeight="true" outlineLevel="0" collapsed="false">
      <c r="A192" s="15" t="s">
        <v>2402</v>
      </c>
      <c r="B192" s="15" t="s">
        <v>312</v>
      </c>
      <c r="C192" s="15" t="s">
        <v>313</v>
      </c>
      <c r="D192" s="15" t="s">
        <v>2403</v>
      </c>
      <c r="E192" s="15" t="s">
        <v>2234</v>
      </c>
      <c r="F192" s="15" t="s">
        <v>2190</v>
      </c>
      <c r="G192" s="15" t="s">
        <v>120</v>
      </c>
      <c r="H192" s="15" t="s">
        <v>1988</v>
      </c>
      <c r="I192" s="23" t="n">
        <v>330</v>
      </c>
      <c r="J192" s="15" t="s">
        <v>2191</v>
      </c>
      <c r="K192" s="15" t="s">
        <v>2192</v>
      </c>
      <c r="L192" s="15" t="s">
        <v>2184</v>
      </c>
      <c r="M192" s="15" t="s">
        <v>1478</v>
      </c>
      <c r="N192" s="15"/>
    </row>
    <row r="193" customFormat="false" ht="39" hidden="false" customHeight="true" outlineLevel="0" collapsed="false">
      <c r="A193" s="15" t="s">
        <v>2404</v>
      </c>
      <c r="B193" s="15" t="s">
        <v>312</v>
      </c>
      <c r="C193" s="15" t="s">
        <v>313</v>
      </c>
      <c r="D193" s="15" t="s">
        <v>2405</v>
      </c>
      <c r="E193" s="15" t="s">
        <v>2002</v>
      </c>
      <c r="F193" s="15" t="s">
        <v>2190</v>
      </c>
      <c r="G193" s="15" t="s">
        <v>120</v>
      </c>
      <c r="H193" s="15" t="s">
        <v>1988</v>
      </c>
      <c r="I193" s="23" t="n">
        <v>329</v>
      </c>
      <c r="J193" s="15" t="s">
        <v>2191</v>
      </c>
      <c r="K193" s="15" t="s">
        <v>2192</v>
      </c>
      <c r="L193" s="15" t="s">
        <v>2184</v>
      </c>
      <c r="M193" s="15" t="s">
        <v>1478</v>
      </c>
      <c r="N193" s="15"/>
    </row>
    <row r="194" customFormat="false" ht="39" hidden="false" customHeight="true" outlineLevel="0" collapsed="false">
      <c r="A194" s="15" t="s">
        <v>2406</v>
      </c>
      <c r="B194" s="15" t="s">
        <v>312</v>
      </c>
      <c r="C194" s="15" t="s">
        <v>313</v>
      </c>
      <c r="D194" s="15" t="s">
        <v>2407</v>
      </c>
      <c r="E194" s="15" t="s">
        <v>2234</v>
      </c>
      <c r="F194" s="15" t="s">
        <v>2190</v>
      </c>
      <c r="G194" s="15" t="s">
        <v>120</v>
      </c>
      <c r="H194" s="15" t="s">
        <v>1988</v>
      </c>
      <c r="I194" s="23" t="n">
        <v>319</v>
      </c>
      <c r="J194" s="15" t="s">
        <v>2191</v>
      </c>
      <c r="K194" s="15" t="s">
        <v>2192</v>
      </c>
      <c r="L194" s="15" t="s">
        <v>2184</v>
      </c>
      <c r="M194" s="15" t="s">
        <v>1478</v>
      </c>
      <c r="N194" s="15"/>
    </row>
    <row r="195" customFormat="false" ht="39" hidden="false" customHeight="true" outlineLevel="0" collapsed="false">
      <c r="A195" s="15" t="s">
        <v>2408</v>
      </c>
      <c r="B195" s="15" t="s">
        <v>312</v>
      </c>
      <c r="C195" s="15" t="s">
        <v>313</v>
      </c>
      <c r="D195" s="15" t="s">
        <v>2409</v>
      </c>
      <c r="E195" s="15" t="s">
        <v>2234</v>
      </c>
      <c r="F195" s="15" t="s">
        <v>2190</v>
      </c>
      <c r="G195" s="15" t="s">
        <v>120</v>
      </c>
      <c r="H195" s="15" t="s">
        <v>1988</v>
      </c>
      <c r="I195" s="23" t="n">
        <v>319</v>
      </c>
      <c r="J195" s="15" t="s">
        <v>2191</v>
      </c>
      <c r="K195" s="15" t="s">
        <v>2192</v>
      </c>
      <c r="L195" s="15" t="s">
        <v>2184</v>
      </c>
      <c r="M195" s="15" t="s">
        <v>1478</v>
      </c>
      <c r="N195" s="15"/>
    </row>
    <row r="196" customFormat="false" ht="39" hidden="false" customHeight="true" outlineLevel="0" collapsed="false">
      <c r="A196" s="15" t="s">
        <v>2410</v>
      </c>
      <c r="B196" s="15" t="s">
        <v>312</v>
      </c>
      <c r="C196" s="15" t="s">
        <v>313</v>
      </c>
      <c r="D196" s="15" t="s">
        <v>2411</v>
      </c>
      <c r="E196" s="15" t="s">
        <v>2234</v>
      </c>
      <c r="F196" s="15" t="s">
        <v>2190</v>
      </c>
      <c r="G196" s="15" t="s">
        <v>120</v>
      </c>
      <c r="H196" s="15" t="s">
        <v>1988</v>
      </c>
      <c r="I196" s="23" t="n">
        <v>319</v>
      </c>
      <c r="J196" s="15" t="s">
        <v>2191</v>
      </c>
      <c r="K196" s="15" t="s">
        <v>2192</v>
      </c>
      <c r="L196" s="15" t="s">
        <v>2184</v>
      </c>
      <c r="M196" s="15" t="s">
        <v>1478</v>
      </c>
      <c r="N196" s="15"/>
    </row>
    <row r="197" customFormat="false" ht="39" hidden="false" customHeight="true" outlineLevel="0" collapsed="false">
      <c r="A197" s="15" t="s">
        <v>2412</v>
      </c>
      <c r="B197" s="15" t="s">
        <v>312</v>
      </c>
      <c r="C197" s="15" t="s">
        <v>313</v>
      </c>
      <c r="D197" s="15" t="s">
        <v>2413</v>
      </c>
      <c r="E197" s="15" t="s">
        <v>2234</v>
      </c>
      <c r="F197" s="15" t="s">
        <v>2190</v>
      </c>
      <c r="G197" s="15" t="s">
        <v>120</v>
      </c>
      <c r="H197" s="15" t="s">
        <v>1988</v>
      </c>
      <c r="I197" s="23" t="n">
        <v>289</v>
      </c>
      <c r="J197" s="15" t="s">
        <v>2191</v>
      </c>
      <c r="K197" s="15" t="s">
        <v>2192</v>
      </c>
      <c r="L197" s="15" t="s">
        <v>2184</v>
      </c>
      <c r="M197" s="15" t="s">
        <v>1478</v>
      </c>
      <c r="N197" s="15"/>
    </row>
    <row r="198" customFormat="false" ht="39" hidden="false" customHeight="true" outlineLevel="0" collapsed="false">
      <c r="A198" s="15" t="s">
        <v>2414</v>
      </c>
      <c r="B198" s="15" t="s">
        <v>312</v>
      </c>
      <c r="C198" s="15" t="s">
        <v>313</v>
      </c>
      <c r="D198" s="15" t="s">
        <v>2415</v>
      </c>
      <c r="E198" s="15" t="s">
        <v>2234</v>
      </c>
      <c r="F198" s="15" t="s">
        <v>2190</v>
      </c>
      <c r="G198" s="15" t="s">
        <v>120</v>
      </c>
      <c r="H198" s="15" t="s">
        <v>1988</v>
      </c>
      <c r="I198" s="23" t="n">
        <v>269</v>
      </c>
      <c r="J198" s="15" t="s">
        <v>2191</v>
      </c>
      <c r="K198" s="15" t="s">
        <v>2192</v>
      </c>
      <c r="L198" s="15" t="s">
        <v>2184</v>
      </c>
      <c r="M198" s="15" t="s">
        <v>1478</v>
      </c>
      <c r="N198" s="15"/>
    </row>
    <row r="199" customFormat="false" ht="39" hidden="false" customHeight="true" outlineLevel="0" collapsed="false">
      <c r="A199" s="15" t="s">
        <v>2416</v>
      </c>
      <c r="B199" s="15" t="s">
        <v>312</v>
      </c>
      <c r="C199" s="15" t="s">
        <v>313</v>
      </c>
      <c r="D199" s="15" t="s">
        <v>2417</v>
      </c>
      <c r="E199" s="15" t="s">
        <v>2234</v>
      </c>
      <c r="F199" s="15" t="s">
        <v>2190</v>
      </c>
      <c r="G199" s="15" t="s">
        <v>120</v>
      </c>
      <c r="H199" s="15" t="s">
        <v>1988</v>
      </c>
      <c r="I199" s="23" t="n">
        <v>249</v>
      </c>
      <c r="J199" s="15" t="s">
        <v>2191</v>
      </c>
      <c r="K199" s="15" t="s">
        <v>2192</v>
      </c>
      <c r="L199" s="15" t="s">
        <v>2184</v>
      </c>
      <c r="M199" s="15" t="s">
        <v>1478</v>
      </c>
      <c r="N199" s="15"/>
    </row>
    <row r="200" customFormat="false" ht="39" hidden="false" customHeight="true" outlineLevel="0" collapsed="false">
      <c r="A200" s="15" t="s">
        <v>2418</v>
      </c>
      <c r="B200" s="15" t="s">
        <v>312</v>
      </c>
      <c r="C200" s="15" t="s">
        <v>313</v>
      </c>
      <c r="D200" s="15" t="s">
        <v>2419</v>
      </c>
      <c r="E200" s="15" t="s">
        <v>2234</v>
      </c>
      <c r="F200" s="15" t="s">
        <v>2190</v>
      </c>
      <c r="G200" s="15" t="s">
        <v>120</v>
      </c>
      <c r="H200" s="15" t="s">
        <v>1988</v>
      </c>
      <c r="I200" s="23" t="n">
        <v>243</v>
      </c>
      <c r="J200" s="15" t="s">
        <v>2191</v>
      </c>
      <c r="K200" s="15" t="s">
        <v>2192</v>
      </c>
      <c r="L200" s="15" t="s">
        <v>2184</v>
      </c>
      <c r="M200" s="15" t="s">
        <v>1478</v>
      </c>
      <c r="N200" s="15"/>
    </row>
    <row r="201" customFormat="false" ht="39" hidden="false" customHeight="true" outlineLevel="0" collapsed="false">
      <c r="A201" s="15" t="s">
        <v>2420</v>
      </c>
      <c r="B201" s="15" t="s">
        <v>312</v>
      </c>
      <c r="C201" s="15" t="s">
        <v>313</v>
      </c>
      <c r="D201" s="15" t="s">
        <v>2421</v>
      </c>
      <c r="E201" s="15" t="s">
        <v>2234</v>
      </c>
      <c r="F201" s="15" t="s">
        <v>2190</v>
      </c>
      <c r="G201" s="15" t="s">
        <v>120</v>
      </c>
      <c r="H201" s="15" t="s">
        <v>1988</v>
      </c>
      <c r="I201" s="23" t="n">
        <v>222</v>
      </c>
      <c r="J201" s="15" t="s">
        <v>2191</v>
      </c>
      <c r="K201" s="15" t="s">
        <v>2192</v>
      </c>
      <c r="L201" s="15" t="s">
        <v>2184</v>
      </c>
      <c r="M201" s="15" t="s">
        <v>1478</v>
      </c>
      <c r="N201" s="15"/>
    </row>
    <row r="202" customFormat="false" ht="39" hidden="false" customHeight="true" outlineLevel="0" collapsed="false">
      <c r="A202" s="15" t="s">
        <v>2422</v>
      </c>
      <c r="B202" s="15" t="s">
        <v>312</v>
      </c>
      <c r="C202" s="15" t="s">
        <v>313</v>
      </c>
      <c r="D202" s="15" t="s">
        <v>2423</v>
      </c>
      <c r="E202" s="15" t="s">
        <v>2234</v>
      </c>
      <c r="F202" s="15" t="s">
        <v>2190</v>
      </c>
      <c r="G202" s="15" t="s">
        <v>120</v>
      </c>
      <c r="H202" s="15" t="s">
        <v>1988</v>
      </c>
      <c r="I202" s="23" t="n">
        <v>222</v>
      </c>
      <c r="J202" s="15" t="s">
        <v>2191</v>
      </c>
      <c r="K202" s="15" t="s">
        <v>2192</v>
      </c>
      <c r="L202" s="15" t="s">
        <v>2184</v>
      </c>
      <c r="M202" s="15" t="s">
        <v>1478</v>
      </c>
      <c r="N202" s="15"/>
    </row>
    <row r="203" customFormat="false" ht="39" hidden="false" customHeight="true" outlineLevel="0" collapsed="false">
      <c r="A203" s="15" t="s">
        <v>2424</v>
      </c>
      <c r="B203" s="15" t="s">
        <v>312</v>
      </c>
      <c r="C203" s="15" t="s">
        <v>313</v>
      </c>
      <c r="D203" s="15" t="s">
        <v>2425</v>
      </c>
      <c r="E203" s="15" t="s">
        <v>2234</v>
      </c>
      <c r="F203" s="15" t="s">
        <v>2190</v>
      </c>
      <c r="G203" s="15" t="s">
        <v>120</v>
      </c>
      <c r="H203" s="15" t="s">
        <v>1988</v>
      </c>
      <c r="I203" s="23" t="n">
        <v>221</v>
      </c>
      <c r="J203" s="15" t="s">
        <v>2191</v>
      </c>
      <c r="K203" s="15" t="s">
        <v>2192</v>
      </c>
      <c r="L203" s="15" t="s">
        <v>2184</v>
      </c>
      <c r="M203" s="15" t="s">
        <v>1478</v>
      </c>
      <c r="N203" s="15"/>
    </row>
    <row r="204" customFormat="false" ht="39" hidden="false" customHeight="true" outlineLevel="0" collapsed="false">
      <c r="A204" s="15" t="s">
        <v>2426</v>
      </c>
      <c r="B204" s="15" t="s">
        <v>312</v>
      </c>
      <c r="C204" s="15" t="s">
        <v>313</v>
      </c>
      <c r="D204" s="15" t="s">
        <v>2427</v>
      </c>
      <c r="E204" s="15" t="s">
        <v>2234</v>
      </c>
      <c r="F204" s="15" t="s">
        <v>2190</v>
      </c>
      <c r="G204" s="15" t="s">
        <v>120</v>
      </c>
      <c r="H204" s="15" t="s">
        <v>1988</v>
      </c>
      <c r="I204" s="23" t="n">
        <v>199</v>
      </c>
      <c r="J204" s="15" t="s">
        <v>2191</v>
      </c>
      <c r="K204" s="15" t="s">
        <v>2192</v>
      </c>
      <c r="L204" s="15" t="s">
        <v>2184</v>
      </c>
      <c r="M204" s="15" t="s">
        <v>1478</v>
      </c>
      <c r="N204" s="15"/>
    </row>
    <row r="205" customFormat="false" ht="39" hidden="false" customHeight="true" outlineLevel="0" collapsed="false">
      <c r="A205" s="15" t="s">
        <v>2428</v>
      </c>
      <c r="B205" s="15" t="s">
        <v>312</v>
      </c>
      <c r="C205" s="15" t="s">
        <v>313</v>
      </c>
      <c r="D205" s="15" t="s">
        <v>2429</v>
      </c>
      <c r="E205" s="15" t="s">
        <v>2234</v>
      </c>
      <c r="F205" s="15" t="s">
        <v>2190</v>
      </c>
      <c r="G205" s="15" t="s">
        <v>120</v>
      </c>
      <c r="H205" s="15" t="s">
        <v>1988</v>
      </c>
      <c r="I205" s="23" t="n">
        <v>195</v>
      </c>
      <c r="J205" s="15" t="s">
        <v>2191</v>
      </c>
      <c r="K205" s="15" t="s">
        <v>2192</v>
      </c>
      <c r="L205" s="15" t="s">
        <v>2184</v>
      </c>
      <c r="M205" s="15" t="s">
        <v>1478</v>
      </c>
      <c r="N205" s="15"/>
    </row>
    <row r="206" customFormat="false" ht="39" hidden="false" customHeight="true" outlineLevel="0" collapsed="false">
      <c r="A206" s="15" t="s">
        <v>2430</v>
      </c>
      <c r="B206" s="15" t="s">
        <v>312</v>
      </c>
      <c r="C206" s="15" t="s">
        <v>313</v>
      </c>
      <c r="D206" s="15" t="s">
        <v>2431</v>
      </c>
      <c r="E206" s="15" t="s">
        <v>2234</v>
      </c>
      <c r="F206" s="15" t="s">
        <v>2190</v>
      </c>
      <c r="G206" s="15" t="s">
        <v>120</v>
      </c>
      <c r="H206" s="15" t="s">
        <v>1988</v>
      </c>
      <c r="I206" s="23" t="n">
        <v>195</v>
      </c>
      <c r="J206" s="15" t="s">
        <v>2191</v>
      </c>
      <c r="K206" s="15" t="s">
        <v>2192</v>
      </c>
      <c r="L206" s="15" t="s">
        <v>2184</v>
      </c>
      <c r="M206" s="15" t="s">
        <v>1478</v>
      </c>
      <c r="N206" s="15"/>
    </row>
    <row r="207" customFormat="false" ht="39" hidden="false" customHeight="true" outlineLevel="0" collapsed="false">
      <c r="A207" s="15" t="s">
        <v>2432</v>
      </c>
      <c r="B207" s="15" t="s">
        <v>312</v>
      </c>
      <c r="C207" s="15" t="s">
        <v>313</v>
      </c>
      <c r="D207" s="15" t="s">
        <v>2433</v>
      </c>
      <c r="E207" s="15" t="s">
        <v>2234</v>
      </c>
      <c r="F207" s="15" t="s">
        <v>2190</v>
      </c>
      <c r="G207" s="15" t="s">
        <v>120</v>
      </c>
      <c r="H207" s="15" t="s">
        <v>1988</v>
      </c>
      <c r="I207" s="23" t="n">
        <v>195</v>
      </c>
      <c r="J207" s="15" t="s">
        <v>2191</v>
      </c>
      <c r="K207" s="15" t="s">
        <v>2192</v>
      </c>
      <c r="L207" s="15" t="s">
        <v>2184</v>
      </c>
      <c r="M207" s="15" t="s">
        <v>1478</v>
      </c>
      <c r="N207" s="15"/>
    </row>
    <row r="208" customFormat="false" ht="39" hidden="false" customHeight="true" outlineLevel="0" collapsed="false">
      <c r="A208" s="15" t="s">
        <v>2434</v>
      </c>
      <c r="B208" s="15" t="s">
        <v>312</v>
      </c>
      <c r="C208" s="15" t="s">
        <v>313</v>
      </c>
      <c r="D208" s="15" t="s">
        <v>2435</v>
      </c>
      <c r="E208" s="15" t="s">
        <v>2234</v>
      </c>
      <c r="F208" s="15" t="s">
        <v>2190</v>
      </c>
      <c r="G208" s="15" t="s">
        <v>120</v>
      </c>
      <c r="H208" s="15" t="s">
        <v>1988</v>
      </c>
      <c r="I208" s="23" t="n">
        <v>190</v>
      </c>
      <c r="J208" s="15" t="s">
        <v>2191</v>
      </c>
      <c r="K208" s="15" t="s">
        <v>2192</v>
      </c>
      <c r="L208" s="15" t="s">
        <v>2184</v>
      </c>
      <c r="M208" s="15" t="s">
        <v>1478</v>
      </c>
      <c r="N208" s="15"/>
    </row>
    <row r="209" customFormat="false" ht="39" hidden="false" customHeight="true" outlineLevel="0" collapsed="false">
      <c r="A209" s="15" t="s">
        <v>2436</v>
      </c>
      <c r="B209" s="15" t="s">
        <v>312</v>
      </c>
      <c r="C209" s="15" t="s">
        <v>313</v>
      </c>
      <c r="D209" s="15" t="s">
        <v>2437</v>
      </c>
      <c r="E209" s="15" t="s">
        <v>2234</v>
      </c>
      <c r="F209" s="15" t="s">
        <v>2190</v>
      </c>
      <c r="G209" s="15" t="s">
        <v>120</v>
      </c>
      <c r="H209" s="15" t="s">
        <v>1988</v>
      </c>
      <c r="I209" s="23" t="n">
        <v>177</v>
      </c>
      <c r="J209" s="15" t="s">
        <v>2191</v>
      </c>
      <c r="K209" s="15" t="s">
        <v>2192</v>
      </c>
      <c r="L209" s="15" t="s">
        <v>2184</v>
      </c>
      <c r="M209" s="15" t="s">
        <v>1478</v>
      </c>
      <c r="N209" s="15"/>
    </row>
    <row r="210" customFormat="false" ht="39" hidden="false" customHeight="true" outlineLevel="0" collapsed="false">
      <c r="A210" s="15" t="s">
        <v>2438</v>
      </c>
      <c r="B210" s="15" t="s">
        <v>312</v>
      </c>
      <c r="C210" s="15" t="s">
        <v>313</v>
      </c>
      <c r="D210" s="15" t="s">
        <v>2439</v>
      </c>
      <c r="E210" s="15" t="s">
        <v>2234</v>
      </c>
      <c r="F210" s="15" t="s">
        <v>2190</v>
      </c>
      <c r="G210" s="15" t="s">
        <v>120</v>
      </c>
      <c r="H210" s="15" t="s">
        <v>1988</v>
      </c>
      <c r="I210" s="23" t="n">
        <v>174</v>
      </c>
      <c r="J210" s="15" t="s">
        <v>2191</v>
      </c>
      <c r="K210" s="15" t="s">
        <v>2192</v>
      </c>
      <c r="L210" s="15" t="s">
        <v>2184</v>
      </c>
      <c r="M210" s="15" t="s">
        <v>1478</v>
      </c>
      <c r="N210" s="15"/>
    </row>
    <row r="211" customFormat="false" ht="39" hidden="false" customHeight="true" outlineLevel="0" collapsed="false">
      <c r="A211" s="15" t="s">
        <v>2440</v>
      </c>
      <c r="B211" s="15" t="s">
        <v>312</v>
      </c>
      <c r="C211" s="15" t="s">
        <v>313</v>
      </c>
      <c r="D211" s="15" t="s">
        <v>2441</v>
      </c>
      <c r="E211" s="15" t="s">
        <v>2234</v>
      </c>
      <c r="F211" s="15" t="s">
        <v>2190</v>
      </c>
      <c r="G211" s="15" t="s">
        <v>120</v>
      </c>
      <c r="H211" s="15" t="s">
        <v>1988</v>
      </c>
      <c r="I211" s="23" t="n">
        <v>159</v>
      </c>
      <c r="J211" s="15" t="s">
        <v>2191</v>
      </c>
      <c r="K211" s="15" t="s">
        <v>2192</v>
      </c>
      <c r="L211" s="15" t="s">
        <v>2184</v>
      </c>
      <c r="M211" s="15" t="s">
        <v>1478</v>
      </c>
      <c r="N211" s="15"/>
    </row>
    <row r="212" customFormat="false" ht="39" hidden="false" customHeight="true" outlineLevel="0" collapsed="false">
      <c r="A212" s="15" t="s">
        <v>2442</v>
      </c>
      <c r="B212" s="15" t="s">
        <v>312</v>
      </c>
      <c r="C212" s="15" t="s">
        <v>313</v>
      </c>
      <c r="D212" s="15" t="s">
        <v>2443</v>
      </c>
      <c r="E212" s="15" t="s">
        <v>2234</v>
      </c>
      <c r="F212" s="15" t="s">
        <v>2190</v>
      </c>
      <c r="G212" s="15" t="s">
        <v>120</v>
      </c>
      <c r="H212" s="15" t="s">
        <v>1988</v>
      </c>
      <c r="I212" s="23" t="n">
        <v>99</v>
      </c>
      <c r="J212" s="15" t="s">
        <v>2191</v>
      </c>
      <c r="K212" s="15" t="s">
        <v>2192</v>
      </c>
      <c r="L212" s="15" t="s">
        <v>2184</v>
      </c>
      <c r="M212" s="15" t="s">
        <v>1478</v>
      </c>
      <c r="N212" s="15"/>
    </row>
    <row r="213" customFormat="false" ht="39" hidden="false" customHeight="true" outlineLevel="0" collapsed="false">
      <c r="A213" s="15" t="s">
        <v>2444</v>
      </c>
      <c r="B213" s="15" t="s">
        <v>312</v>
      </c>
      <c r="C213" s="15" t="s">
        <v>313</v>
      </c>
      <c r="D213" s="15" t="s">
        <v>2445</v>
      </c>
      <c r="E213" s="15" t="s">
        <v>2234</v>
      </c>
      <c r="F213" s="15" t="s">
        <v>2190</v>
      </c>
      <c r="G213" s="15" t="s">
        <v>120</v>
      </c>
      <c r="H213" s="15" t="s">
        <v>1988</v>
      </c>
      <c r="I213" s="23" t="n">
        <v>43</v>
      </c>
      <c r="J213" s="15" t="s">
        <v>2191</v>
      </c>
      <c r="K213" s="15" t="s">
        <v>2192</v>
      </c>
      <c r="L213" s="15" t="s">
        <v>2184</v>
      </c>
      <c r="M213" s="15" t="s">
        <v>1478</v>
      </c>
      <c r="N213" s="15"/>
    </row>
    <row r="214" customFormat="false" ht="39" hidden="false" customHeight="true" outlineLevel="0" collapsed="false">
      <c r="A214" s="15" t="s">
        <v>2446</v>
      </c>
      <c r="B214" s="15" t="s">
        <v>312</v>
      </c>
      <c r="C214" s="15" t="s">
        <v>313</v>
      </c>
      <c r="D214" s="15" t="s">
        <v>2447</v>
      </c>
      <c r="E214" s="15" t="s">
        <v>2234</v>
      </c>
      <c r="F214" s="15" t="s">
        <v>2190</v>
      </c>
      <c r="G214" s="15" t="s">
        <v>120</v>
      </c>
      <c r="H214" s="15" t="s">
        <v>1988</v>
      </c>
      <c r="I214" s="23" t="n">
        <v>30</v>
      </c>
      <c r="J214" s="15" t="s">
        <v>2191</v>
      </c>
      <c r="K214" s="15" t="s">
        <v>2192</v>
      </c>
      <c r="L214" s="15" t="s">
        <v>2184</v>
      </c>
      <c r="M214" s="15" t="s">
        <v>1478</v>
      </c>
      <c r="N214" s="15"/>
    </row>
    <row r="215" customFormat="false" ht="39" hidden="false" customHeight="true" outlineLevel="0" collapsed="false">
      <c r="A215" s="15" t="s">
        <v>2448</v>
      </c>
      <c r="B215" s="15" t="s">
        <v>312</v>
      </c>
      <c r="C215" s="15" t="s">
        <v>353</v>
      </c>
      <c r="D215" s="15" t="s">
        <v>2318</v>
      </c>
      <c r="E215" s="15" t="s">
        <v>2027</v>
      </c>
      <c r="F215" s="15" t="s">
        <v>2190</v>
      </c>
      <c r="G215" s="15" t="s">
        <v>120</v>
      </c>
      <c r="H215" s="15" t="s">
        <v>1988</v>
      </c>
      <c r="I215" s="23" t="n">
        <v>28999</v>
      </c>
      <c r="J215" s="15" t="s">
        <v>2191</v>
      </c>
      <c r="K215" s="15" t="s">
        <v>2192</v>
      </c>
      <c r="L215" s="15" t="s">
        <v>2184</v>
      </c>
      <c r="M215" s="15" t="s">
        <v>1478</v>
      </c>
      <c r="N215" s="15"/>
    </row>
    <row r="216" customFormat="false" ht="39" hidden="false" customHeight="true" outlineLevel="0" collapsed="false">
      <c r="A216" s="15" t="s">
        <v>2449</v>
      </c>
      <c r="B216" s="15" t="s">
        <v>312</v>
      </c>
      <c r="C216" s="15" t="s">
        <v>353</v>
      </c>
      <c r="D216" s="15" t="s">
        <v>2330</v>
      </c>
      <c r="E216" s="15" t="s">
        <v>2331</v>
      </c>
      <c r="F216" s="15" t="s">
        <v>2190</v>
      </c>
      <c r="G216" s="15" t="s">
        <v>2332</v>
      </c>
      <c r="H216" s="15" t="s">
        <v>2064</v>
      </c>
      <c r="I216" s="23" t="n">
        <v>27999</v>
      </c>
      <c r="J216" s="15" t="s">
        <v>2191</v>
      </c>
      <c r="K216" s="15" t="s">
        <v>2192</v>
      </c>
      <c r="L216" s="15" t="s">
        <v>2184</v>
      </c>
      <c r="M216" s="15" t="s">
        <v>1478</v>
      </c>
      <c r="N216" s="15" t="s">
        <v>2333</v>
      </c>
    </row>
    <row r="217" customFormat="false" ht="39" hidden="false" customHeight="true" outlineLevel="0" collapsed="false">
      <c r="A217" s="15" t="s">
        <v>2450</v>
      </c>
      <c r="B217" s="15" t="s">
        <v>312</v>
      </c>
      <c r="C217" s="15" t="s">
        <v>353</v>
      </c>
      <c r="D217" s="15" t="s">
        <v>2335</v>
      </c>
      <c r="E217" s="15" t="s">
        <v>2047</v>
      </c>
      <c r="F217" s="15" t="s">
        <v>2190</v>
      </c>
      <c r="G217" s="15" t="s">
        <v>120</v>
      </c>
      <c r="H217" s="15" t="s">
        <v>1988</v>
      </c>
      <c r="I217" s="23" t="n">
        <v>19999</v>
      </c>
      <c r="J217" s="15" t="s">
        <v>2191</v>
      </c>
      <c r="K217" s="15" t="s">
        <v>2192</v>
      </c>
      <c r="L217" s="15" t="s">
        <v>2184</v>
      </c>
      <c r="M217" s="15" t="s">
        <v>1478</v>
      </c>
      <c r="N217" s="15"/>
    </row>
    <row r="218" customFormat="false" ht="39" hidden="false" customHeight="true" outlineLevel="0" collapsed="false">
      <c r="A218" s="15" t="s">
        <v>2451</v>
      </c>
      <c r="B218" s="15" t="s">
        <v>312</v>
      </c>
      <c r="C218" s="15" t="s">
        <v>353</v>
      </c>
      <c r="D218" s="15" t="s">
        <v>2189</v>
      </c>
      <c r="E218" s="15" t="s">
        <v>2002</v>
      </c>
      <c r="F218" s="15" t="s">
        <v>2190</v>
      </c>
      <c r="G218" s="15" t="s">
        <v>120</v>
      </c>
      <c r="H218" s="15" t="s">
        <v>1988</v>
      </c>
      <c r="I218" s="23" t="n">
        <v>17999</v>
      </c>
      <c r="J218" s="15" t="s">
        <v>2191</v>
      </c>
      <c r="K218" s="15" t="s">
        <v>2192</v>
      </c>
      <c r="L218" s="15" t="s">
        <v>2184</v>
      </c>
      <c r="M218" s="15" t="s">
        <v>1478</v>
      </c>
      <c r="N218" s="15"/>
    </row>
    <row r="219" customFormat="false" ht="39" hidden="false" customHeight="true" outlineLevel="0" collapsed="false">
      <c r="A219" s="15" t="s">
        <v>2452</v>
      </c>
      <c r="B219" s="15" t="s">
        <v>312</v>
      </c>
      <c r="C219" s="15" t="s">
        <v>353</v>
      </c>
      <c r="D219" s="15" t="s">
        <v>2337</v>
      </c>
      <c r="E219" s="15" t="s">
        <v>2331</v>
      </c>
      <c r="F219" s="15" t="s">
        <v>2190</v>
      </c>
      <c r="G219" s="15" t="s">
        <v>2332</v>
      </c>
      <c r="H219" s="15" t="s">
        <v>2064</v>
      </c>
      <c r="I219" s="23" t="n">
        <v>14399</v>
      </c>
      <c r="J219" s="15" t="s">
        <v>2191</v>
      </c>
      <c r="K219" s="15" t="s">
        <v>2192</v>
      </c>
      <c r="L219" s="15" t="s">
        <v>2184</v>
      </c>
      <c r="M219" s="15" t="s">
        <v>1478</v>
      </c>
      <c r="N219" s="15" t="s">
        <v>2333</v>
      </c>
    </row>
    <row r="220" customFormat="false" ht="39" hidden="false" customHeight="true" outlineLevel="0" collapsed="false">
      <c r="A220" s="15" t="s">
        <v>2453</v>
      </c>
      <c r="B220" s="15" t="s">
        <v>312</v>
      </c>
      <c r="C220" s="15" t="s">
        <v>353</v>
      </c>
      <c r="D220" s="15" t="s">
        <v>2290</v>
      </c>
      <c r="E220" s="15" t="s">
        <v>2234</v>
      </c>
      <c r="F220" s="15" t="s">
        <v>2190</v>
      </c>
      <c r="G220" s="15" t="s">
        <v>120</v>
      </c>
      <c r="H220" s="15" t="s">
        <v>1988</v>
      </c>
      <c r="I220" s="23" t="n">
        <v>12999</v>
      </c>
      <c r="J220" s="15" t="s">
        <v>2191</v>
      </c>
      <c r="K220" s="15" t="s">
        <v>2192</v>
      </c>
      <c r="L220" s="15" t="s">
        <v>2184</v>
      </c>
      <c r="M220" s="15" t="s">
        <v>1478</v>
      </c>
      <c r="N220" s="15" t="s">
        <v>2454</v>
      </c>
    </row>
    <row r="221" customFormat="false" ht="39" hidden="false" customHeight="true" outlineLevel="0" collapsed="false">
      <c r="A221" s="15" t="s">
        <v>2455</v>
      </c>
      <c r="B221" s="15" t="s">
        <v>312</v>
      </c>
      <c r="C221" s="15" t="s">
        <v>353</v>
      </c>
      <c r="D221" s="15" t="s">
        <v>2194</v>
      </c>
      <c r="E221" s="15" t="s">
        <v>1996</v>
      </c>
      <c r="F221" s="15" t="s">
        <v>2190</v>
      </c>
      <c r="G221" s="15" t="s">
        <v>2195</v>
      </c>
      <c r="H221" s="15" t="s">
        <v>2196</v>
      </c>
      <c r="I221" s="23" t="n">
        <v>11999</v>
      </c>
      <c r="J221" s="15" t="s">
        <v>2191</v>
      </c>
      <c r="K221" s="15" t="s">
        <v>2192</v>
      </c>
      <c r="L221" s="15" t="s">
        <v>2184</v>
      </c>
      <c r="M221" s="15" t="s">
        <v>1478</v>
      </c>
      <c r="N221" s="15" t="s">
        <v>2456</v>
      </c>
    </row>
    <row r="222" customFormat="false" ht="39" hidden="false" customHeight="true" outlineLevel="0" collapsed="false">
      <c r="A222" s="15" t="s">
        <v>2457</v>
      </c>
      <c r="B222" s="15" t="s">
        <v>312</v>
      </c>
      <c r="C222" s="15" t="s">
        <v>353</v>
      </c>
      <c r="D222" s="15" t="s">
        <v>2292</v>
      </c>
      <c r="E222" s="15" t="s">
        <v>2234</v>
      </c>
      <c r="F222" s="15" t="s">
        <v>2190</v>
      </c>
      <c r="G222" s="15" t="s">
        <v>120</v>
      </c>
      <c r="H222" s="15" t="s">
        <v>1988</v>
      </c>
      <c r="I222" s="23" t="n">
        <v>11999</v>
      </c>
      <c r="J222" s="15" t="s">
        <v>2191</v>
      </c>
      <c r="K222" s="15" t="s">
        <v>2192</v>
      </c>
      <c r="L222" s="15" t="s">
        <v>2184</v>
      </c>
      <c r="M222" s="15" t="s">
        <v>1478</v>
      </c>
      <c r="N222" s="15"/>
    </row>
    <row r="223" customFormat="false" ht="39" hidden="false" customHeight="true" outlineLevel="0" collapsed="false">
      <c r="A223" s="15" t="s">
        <v>2458</v>
      </c>
      <c r="B223" s="15" t="s">
        <v>312</v>
      </c>
      <c r="C223" s="15" t="s">
        <v>353</v>
      </c>
      <c r="D223" s="15" t="s">
        <v>2339</v>
      </c>
      <c r="E223" s="15" t="s">
        <v>2331</v>
      </c>
      <c r="F223" s="15" t="s">
        <v>2190</v>
      </c>
      <c r="G223" s="15" t="s">
        <v>2332</v>
      </c>
      <c r="H223" s="15" t="s">
        <v>2064</v>
      </c>
      <c r="I223" s="23" t="n">
        <v>9599</v>
      </c>
      <c r="J223" s="15" t="s">
        <v>2191</v>
      </c>
      <c r="K223" s="15" t="s">
        <v>2192</v>
      </c>
      <c r="L223" s="15" t="s">
        <v>2184</v>
      </c>
      <c r="M223" s="15" t="s">
        <v>1478</v>
      </c>
      <c r="N223" s="15" t="s">
        <v>2333</v>
      </c>
    </row>
    <row r="224" customFormat="false" ht="39" hidden="false" customHeight="true" outlineLevel="0" collapsed="false">
      <c r="A224" s="15" t="s">
        <v>2459</v>
      </c>
      <c r="B224" s="15" t="s">
        <v>312</v>
      </c>
      <c r="C224" s="15" t="s">
        <v>353</v>
      </c>
      <c r="D224" s="15" t="s">
        <v>2341</v>
      </c>
      <c r="E224" s="15" t="s">
        <v>2331</v>
      </c>
      <c r="F224" s="15" t="s">
        <v>2190</v>
      </c>
      <c r="G224" s="15" t="s">
        <v>120</v>
      </c>
      <c r="H224" s="15" t="s">
        <v>1988</v>
      </c>
      <c r="I224" s="23" t="n">
        <v>7254</v>
      </c>
      <c r="J224" s="15" t="s">
        <v>2191</v>
      </c>
      <c r="K224" s="15" t="s">
        <v>2192</v>
      </c>
      <c r="L224" s="15" t="s">
        <v>2184</v>
      </c>
      <c r="M224" s="15" t="s">
        <v>1478</v>
      </c>
      <c r="N224" s="15"/>
    </row>
    <row r="225" customFormat="false" ht="39" hidden="false" customHeight="true" outlineLevel="0" collapsed="false">
      <c r="A225" s="15" t="s">
        <v>2460</v>
      </c>
      <c r="B225" s="15" t="s">
        <v>312</v>
      </c>
      <c r="C225" s="15" t="s">
        <v>353</v>
      </c>
      <c r="D225" s="15" t="s">
        <v>2199</v>
      </c>
      <c r="E225" s="15" t="s">
        <v>1986</v>
      </c>
      <c r="F225" s="15" t="s">
        <v>2190</v>
      </c>
      <c r="G225" s="15" t="s">
        <v>2200</v>
      </c>
      <c r="H225" s="15" t="s">
        <v>1988</v>
      </c>
      <c r="I225" s="23" t="n">
        <v>7099</v>
      </c>
      <c r="J225" s="15" t="s">
        <v>2191</v>
      </c>
      <c r="K225" s="15" t="s">
        <v>2192</v>
      </c>
      <c r="L225" s="15" t="s">
        <v>2184</v>
      </c>
      <c r="M225" s="15" t="s">
        <v>1478</v>
      </c>
      <c r="N225" s="15"/>
    </row>
    <row r="226" customFormat="false" ht="39" hidden="false" customHeight="true" outlineLevel="0" collapsed="false">
      <c r="A226" s="15" t="s">
        <v>2461</v>
      </c>
      <c r="B226" s="15" t="s">
        <v>312</v>
      </c>
      <c r="C226" s="15" t="s">
        <v>353</v>
      </c>
      <c r="D226" s="15" t="s">
        <v>2225</v>
      </c>
      <c r="E226" s="15" t="s">
        <v>2027</v>
      </c>
      <c r="F226" s="15" t="s">
        <v>2190</v>
      </c>
      <c r="G226" s="15" t="s">
        <v>2226</v>
      </c>
      <c r="H226" s="15" t="s">
        <v>2064</v>
      </c>
      <c r="I226" s="23" t="n">
        <v>6999</v>
      </c>
      <c r="J226" s="15" t="s">
        <v>2191</v>
      </c>
      <c r="K226" s="15" t="s">
        <v>2192</v>
      </c>
      <c r="L226" s="15" t="s">
        <v>2184</v>
      </c>
      <c r="M226" s="15" t="s">
        <v>1478</v>
      </c>
      <c r="N226" s="15" t="s">
        <v>2227</v>
      </c>
    </row>
    <row r="227" customFormat="false" ht="39" hidden="false" customHeight="true" outlineLevel="0" collapsed="false">
      <c r="A227" s="15" t="s">
        <v>2462</v>
      </c>
      <c r="B227" s="15" t="s">
        <v>312</v>
      </c>
      <c r="C227" s="15" t="s">
        <v>353</v>
      </c>
      <c r="D227" s="15" t="s">
        <v>2229</v>
      </c>
      <c r="E227" s="15" t="s">
        <v>2027</v>
      </c>
      <c r="F227" s="15" t="s">
        <v>2190</v>
      </c>
      <c r="G227" s="15" t="s">
        <v>2230</v>
      </c>
      <c r="H227" s="15" t="s">
        <v>2064</v>
      </c>
      <c r="I227" s="23" t="n">
        <v>6699</v>
      </c>
      <c r="J227" s="15" t="s">
        <v>2191</v>
      </c>
      <c r="K227" s="15" t="s">
        <v>2192</v>
      </c>
      <c r="L227" s="15" t="s">
        <v>2184</v>
      </c>
      <c r="M227" s="15" t="s">
        <v>1478</v>
      </c>
      <c r="N227" s="15" t="s">
        <v>2231</v>
      </c>
    </row>
    <row r="228" customFormat="false" ht="39" hidden="false" customHeight="true" outlineLevel="0" collapsed="false">
      <c r="A228" s="15" t="s">
        <v>2463</v>
      </c>
      <c r="B228" s="15" t="s">
        <v>312</v>
      </c>
      <c r="C228" s="15" t="s">
        <v>353</v>
      </c>
      <c r="D228" s="15" t="s">
        <v>2343</v>
      </c>
      <c r="E228" s="15" t="s">
        <v>2331</v>
      </c>
      <c r="F228" s="15" t="s">
        <v>2190</v>
      </c>
      <c r="G228" s="15" t="s">
        <v>120</v>
      </c>
      <c r="H228" s="15" t="s">
        <v>1988</v>
      </c>
      <c r="I228" s="23" t="n">
        <v>6599</v>
      </c>
      <c r="J228" s="15" t="s">
        <v>2191</v>
      </c>
      <c r="K228" s="15" t="s">
        <v>2192</v>
      </c>
      <c r="L228" s="15" t="s">
        <v>2184</v>
      </c>
      <c r="M228" s="15" t="s">
        <v>1478</v>
      </c>
      <c r="N228" s="15"/>
    </row>
    <row r="229" customFormat="false" ht="39" hidden="false" customHeight="true" outlineLevel="0" collapsed="false">
      <c r="A229" s="15" t="s">
        <v>2464</v>
      </c>
      <c r="B229" s="15" t="s">
        <v>312</v>
      </c>
      <c r="C229" s="15" t="s">
        <v>353</v>
      </c>
      <c r="D229" s="15" t="s">
        <v>2294</v>
      </c>
      <c r="E229" s="15" t="s">
        <v>2234</v>
      </c>
      <c r="F229" s="15" t="s">
        <v>2190</v>
      </c>
      <c r="G229" s="15" t="s">
        <v>120</v>
      </c>
      <c r="H229" s="15" t="s">
        <v>1988</v>
      </c>
      <c r="I229" s="23" t="n">
        <v>5999</v>
      </c>
      <c r="J229" s="15" t="s">
        <v>2191</v>
      </c>
      <c r="K229" s="15" t="s">
        <v>2192</v>
      </c>
      <c r="L229" s="15" t="s">
        <v>2184</v>
      </c>
      <c r="M229" s="15" t="s">
        <v>1478</v>
      </c>
      <c r="N229" s="15"/>
    </row>
    <row r="230" customFormat="false" ht="39" hidden="false" customHeight="true" outlineLevel="0" collapsed="false">
      <c r="A230" s="15" t="s">
        <v>2465</v>
      </c>
      <c r="B230" s="15" t="s">
        <v>312</v>
      </c>
      <c r="C230" s="15" t="s">
        <v>353</v>
      </c>
      <c r="D230" s="15" t="s">
        <v>2320</v>
      </c>
      <c r="E230" s="15" t="s">
        <v>2321</v>
      </c>
      <c r="F230" s="15" t="s">
        <v>2190</v>
      </c>
      <c r="G230" s="15" t="s">
        <v>120</v>
      </c>
      <c r="H230" s="15" t="s">
        <v>1988</v>
      </c>
      <c r="I230" s="23" t="n">
        <v>4299</v>
      </c>
      <c r="J230" s="15" t="s">
        <v>2191</v>
      </c>
      <c r="K230" s="15" t="s">
        <v>2192</v>
      </c>
      <c r="L230" s="15" t="s">
        <v>2184</v>
      </c>
      <c r="M230" s="15" t="s">
        <v>1478</v>
      </c>
      <c r="N230" s="15"/>
    </row>
    <row r="231" customFormat="false" ht="39" hidden="false" customHeight="true" outlineLevel="0" collapsed="false">
      <c r="A231" s="15" t="s">
        <v>2466</v>
      </c>
      <c r="B231" s="15" t="s">
        <v>312</v>
      </c>
      <c r="C231" s="15" t="s">
        <v>353</v>
      </c>
      <c r="D231" s="15" t="s">
        <v>2296</v>
      </c>
      <c r="E231" s="15" t="s">
        <v>2234</v>
      </c>
      <c r="F231" s="15" t="s">
        <v>2190</v>
      </c>
      <c r="G231" s="15" t="s">
        <v>120</v>
      </c>
      <c r="H231" s="15" t="s">
        <v>1988</v>
      </c>
      <c r="I231" s="23" t="n">
        <v>4099</v>
      </c>
      <c r="J231" s="15" t="s">
        <v>2191</v>
      </c>
      <c r="K231" s="15" t="s">
        <v>2192</v>
      </c>
      <c r="L231" s="15" t="s">
        <v>2184</v>
      </c>
      <c r="M231" s="15" t="s">
        <v>1478</v>
      </c>
      <c r="N231" s="15"/>
    </row>
    <row r="232" customFormat="false" ht="39" hidden="false" customHeight="true" outlineLevel="0" collapsed="false">
      <c r="A232" s="15" t="s">
        <v>2467</v>
      </c>
      <c r="B232" s="15" t="s">
        <v>312</v>
      </c>
      <c r="C232" s="15" t="s">
        <v>353</v>
      </c>
      <c r="D232" s="15" t="s">
        <v>2347</v>
      </c>
      <c r="E232" s="15" t="s">
        <v>2234</v>
      </c>
      <c r="F232" s="15" t="s">
        <v>2190</v>
      </c>
      <c r="G232" s="15" t="s">
        <v>120</v>
      </c>
      <c r="H232" s="15" t="s">
        <v>1988</v>
      </c>
      <c r="I232" s="23" t="n">
        <v>3999</v>
      </c>
      <c r="J232" s="15" t="s">
        <v>2191</v>
      </c>
      <c r="K232" s="15" t="s">
        <v>2192</v>
      </c>
      <c r="L232" s="15" t="s">
        <v>2184</v>
      </c>
      <c r="M232" s="15" t="s">
        <v>1478</v>
      </c>
      <c r="N232" s="15"/>
    </row>
    <row r="233" customFormat="false" ht="39" hidden="false" customHeight="true" outlineLevel="0" collapsed="false">
      <c r="A233" s="15" t="s">
        <v>2468</v>
      </c>
      <c r="B233" s="15" t="s">
        <v>312</v>
      </c>
      <c r="C233" s="15" t="s">
        <v>353</v>
      </c>
      <c r="D233" s="15" t="s">
        <v>2323</v>
      </c>
      <c r="E233" s="15" t="s">
        <v>2321</v>
      </c>
      <c r="F233" s="15" t="s">
        <v>2190</v>
      </c>
      <c r="G233" s="15" t="s">
        <v>120</v>
      </c>
      <c r="H233" s="15" t="s">
        <v>1988</v>
      </c>
      <c r="I233" s="23" t="n">
        <v>3999</v>
      </c>
      <c r="J233" s="15" t="s">
        <v>2191</v>
      </c>
      <c r="K233" s="15" t="s">
        <v>2192</v>
      </c>
      <c r="L233" s="15" t="s">
        <v>2184</v>
      </c>
      <c r="M233" s="15" t="s">
        <v>1478</v>
      </c>
      <c r="N233" s="15"/>
    </row>
    <row r="234" customFormat="false" ht="39" hidden="false" customHeight="true" outlineLevel="0" collapsed="false">
      <c r="A234" s="15" t="s">
        <v>2469</v>
      </c>
      <c r="B234" s="15" t="s">
        <v>312</v>
      </c>
      <c r="C234" s="15" t="s">
        <v>353</v>
      </c>
      <c r="D234" s="15" t="s">
        <v>2345</v>
      </c>
      <c r="E234" s="15" t="s">
        <v>2117</v>
      </c>
      <c r="F234" s="15" t="s">
        <v>2190</v>
      </c>
      <c r="G234" s="15" t="s">
        <v>120</v>
      </c>
      <c r="H234" s="15" t="s">
        <v>1988</v>
      </c>
      <c r="I234" s="23" t="n">
        <v>3999</v>
      </c>
      <c r="J234" s="15" t="s">
        <v>2191</v>
      </c>
      <c r="K234" s="15" t="s">
        <v>2192</v>
      </c>
      <c r="L234" s="15" t="s">
        <v>2184</v>
      </c>
      <c r="M234" s="15" t="s">
        <v>1478</v>
      </c>
      <c r="N234" s="15" t="s">
        <v>2454</v>
      </c>
    </row>
    <row r="235" customFormat="false" ht="39" hidden="false" customHeight="true" outlineLevel="0" collapsed="false">
      <c r="A235" s="15" t="s">
        <v>2470</v>
      </c>
      <c r="B235" s="15" t="s">
        <v>312</v>
      </c>
      <c r="C235" s="15" t="s">
        <v>353</v>
      </c>
      <c r="D235" s="15" t="s">
        <v>2349</v>
      </c>
      <c r="E235" s="15" t="s">
        <v>2106</v>
      </c>
      <c r="F235" s="15" t="s">
        <v>2190</v>
      </c>
      <c r="G235" s="15" t="s">
        <v>2350</v>
      </c>
      <c r="H235" s="15" t="s">
        <v>1998</v>
      </c>
      <c r="I235" s="23" t="n">
        <v>3549</v>
      </c>
      <c r="J235" s="15" t="s">
        <v>2191</v>
      </c>
      <c r="K235" s="15" t="s">
        <v>2192</v>
      </c>
      <c r="L235" s="15" t="s">
        <v>2184</v>
      </c>
      <c r="M235" s="15" t="s">
        <v>1478</v>
      </c>
      <c r="N235" s="15" t="s">
        <v>2351</v>
      </c>
    </row>
    <row r="236" customFormat="false" ht="39" hidden="false" customHeight="true" outlineLevel="0" collapsed="false">
      <c r="A236" s="15" t="s">
        <v>2471</v>
      </c>
      <c r="B236" s="15" t="s">
        <v>312</v>
      </c>
      <c r="C236" s="15" t="s">
        <v>353</v>
      </c>
      <c r="D236" s="15" t="s">
        <v>2258</v>
      </c>
      <c r="E236" s="15" t="s">
        <v>2106</v>
      </c>
      <c r="F236" s="15" t="s">
        <v>2190</v>
      </c>
      <c r="G236" s="15" t="s">
        <v>120</v>
      </c>
      <c r="H236" s="15" t="s">
        <v>1988</v>
      </c>
      <c r="I236" s="23" t="n">
        <v>3499</v>
      </c>
      <c r="J236" s="15" t="s">
        <v>2191</v>
      </c>
      <c r="K236" s="15" t="s">
        <v>2192</v>
      </c>
      <c r="L236" s="15" t="s">
        <v>2184</v>
      </c>
      <c r="M236" s="15" t="s">
        <v>1478</v>
      </c>
      <c r="N236" s="15"/>
    </row>
    <row r="237" customFormat="false" ht="39" hidden="false" customHeight="true" outlineLevel="0" collapsed="false">
      <c r="A237" s="15" t="s">
        <v>2472</v>
      </c>
      <c r="B237" s="15" t="s">
        <v>312</v>
      </c>
      <c r="C237" s="15" t="s">
        <v>353</v>
      </c>
      <c r="D237" s="15" t="s">
        <v>2256</v>
      </c>
      <c r="E237" s="15" t="s">
        <v>2106</v>
      </c>
      <c r="F237" s="15" t="s">
        <v>2190</v>
      </c>
      <c r="G237" s="15" t="s">
        <v>120</v>
      </c>
      <c r="H237" s="15" t="s">
        <v>1988</v>
      </c>
      <c r="I237" s="23" t="n">
        <v>3499</v>
      </c>
      <c r="J237" s="15" t="s">
        <v>2191</v>
      </c>
      <c r="K237" s="15" t="s">
        <v>2192</v>
      </c>
      <c r="L237" s="15" t="s">
        <v>2184</v>
      </c>
      <c r="M237" s="15" t="s">
        <v>1478</v>
      </c>
      <c r="N237" s="15"/>
    </row>
    <row r="238" customFormat="false" ht="39" hidden="false" customHeight="true" outlineLevel="0" collapsed="false">
      <c r="A238" s="15" t="s">
        <v>2473</v>
      </c>
      <c r="B238" s="15" t="s">
        <v>312</v>
      </c>
      <c r="C238" s="15" t="s">
        <v>353</v>
      </c>
      <c r="D238" s="15" t="s">
        <v>2353</v>
      </c>
      <c r="E238" s="15" t="s">
        <v>2099</v>
      </c>
      <c r="F238" s="15" t="s">
        <v>2190</v>
      </c>
      <c r="G238" s="15" t="s">
        <v>120</v>
      </c>
      <c r="H238" s="15" t="s">
        <v>1988</v>
      </c>
      <c r="I238" s="23" t="n">
        <v>3499</v>
      </c>
      <c r="J238" s="15" t="s">
        <v>2191</v>
      </c>
      <c r="K238" s="15" t="s">
        <v>2192</v>
      </c>
      <c r="L238" s="15" t="s">
        <v>2184</v>
      </c>
      <c r="M238" s="15" t="s">
        <v>1478</v>
      </c>
      <c r="N238" s="15"/>
    </row>
    <row r="239" customFormat="false" ht="39" hidden="false" customHeight="true" outlineLevel="0" collapsed="false">
      <c r="A239" s="15" t="s">
        <v>2474</v>
      </c>
      <c r="B239" s="15" t="s">
        <v>312</v>
      </c>
      <c r="C239" s="15" t="s">
        <v>353</v>
      </c>
      <c r="D239" s="15" t="s">
        <v>2320</v>
      </c>
      <c r="E239" s="15" t="s">
        <v>2321</v>
      </c>
      <c r="F239" s="15" t="s">
        <v>2190</v>
      </c>
      <c r="G239" s="15" t="s">
        <v>120</v>
      </c>
      <c r="H239" s="15" t="s">
        <v>1988</v>
      </c>
      <c r="I239" s="23" t="n">
        <v>3399</v>
      </c>
      <c r="J239" s="15" t="s">
        <v>2191</v>
      </c>
      <c r="K239" s="15" t="s">
        <v>2192</v>
      </c>
      <c r="L239" s="15" t="s">
        <v>2184</v>
      </c>
      <c r="M239" s="15" t="s">
        <v>1478</v>
      </c>
      <c r="N239" s="15"/>
    </row>
    <row r="240" customFormat="false" ht="39" hidden="false" customHeight="true" outlineLevel="0" collapsed="false">
      <c r="A240" s="15" t="s">
        <v>2475</v>
      </c>
      <c r="B240" s="15" t="s">
        <v>312</v>
      </c>
      <c r="C240" s="15" t="s">
        <v>353</v>
      </c>
      <c r="D240" s="15" t="s">
        <v>2203</v>
      </c>
      <c r="E240" s="15" t="s">
        <v>2002</v>
      </c>
      <c r="F240" s="15" t="s">
        <v>2190</v>
      </c>
      <c r="G240" s="15" t="s">
        <v>120</v>
      </c>
      <c r="H240" s="15" t="s">
        <v>1988</v>
      </c>
      <c r="I240" s="23" t="n">
        <v>3299</v>
      </c>
      <c r="J240" s="15" t="s">
        <v>2191</v>
      </c>
      <c r="K240" s="15" t="s">
        <v>2192</v>
      </c>
      <c r="L240" s="15" t="s">
        <v>2184</v>
      </c>
      <c r="M240" s="15" t="s">
        <v>1478</v>
      </c>
      <c r="N240" s="15"/>
    </row>
    <row r="241" customFormat="false" ht="39" hidden="false" customHeight="true" outlineLevel="0" collapsed="false">
      <c r="A241" s="15" t="s">
        <v>2476</v>
      </c>
      <c r="B241" s="15" t="s">
        <v>312</v>
      </c>
      <c r="C241" s="15" t="s">
        <v>353</v>
      </c>
      <c r="D241" s="15" t="s">
        <v>2355</v>
      </c>
      <c r="E241" s="15" t="s">
        <v>2047</v>
      </c>
      <c r="F241" s="15" t="s">
        <v>2190</v>
      </c>
      <c r="G241" s="15" t="s">
        <v>120</v>
      </c>
      <c r="H241" s="15" t="s">
        <v>1988</v>
      </c>
      <c r="I241" s="23" t="n">
        <v>3199</v>
      </c>
      <c r="J241" s="15" t="s">
        <v>2191</v>
      </c>
      <c r="K241" s="15" t="s">
        <v>2192</v>
      </c>
      <c r="L241" s="15" t="s">
        <v>2184</v>
      </c>
      <c r="M241" s="15" t="s">
        <v>1478</v>
      </c>
      <c r="N241" s="15"/>
    </row>
    <row r="242" customFormat="false" ht="39" hidden="false" customHeight="true" outlineLevel="0" collapsed="false">
      <c r="A242" s="15" t="s">
        <v>2477</v>
      </c>
      <c r="B242" s="15" t="s">
        <v>312</v>
      </c>
      <c r="C242" s="15" t="s">
        <v>353</v>
      </c>
      <c r="D242" s="15" t="s">
        <v>2260</v>
      </c>
      <c r="E242" s="15" t="s">
        <v>2002</v>
      </c>
      <c r="F242" s="15" t="s">
        <v>2190</v>
      </c>
      <c r="G242" s="15" t="s">
        <v>120</v>
      </c>
      <c r="H242" s="15" t="s">
        <v>1988</v>
      </c>
      <c r="I242" s="23" t="n">
        <v>3109</v>
      </c>
      <c r="J242" s="15" t="s">
        <v>2191</v>
      </c>
      <c r="K242" s="15" t="s">
        <v>2192</v>
      </c>
      <c r="L242" s="15" t="s">
        <v>2184</v>
      </c>
      <c r="M242" s="15" t="s">
        <v>1478</v>
      </c>
      <c r="N242" s="15"/>
    </row>
    <row r="243" customFormat="false" ht="39" hidden="false" customHeight="true" outlineLevel="0" collapsed="false">
      <c r="A243" s="15" t="s">
        <v>2478</v>
      </c>
      <c r="B243" s="15" t="s">
        <v>312</v>
      </c>
      <c r="C243" s="15" t="s">
        <v>353</v>
      </c>
      <c r="D243" s="15" t="s">
        <v>2205</v>
      </c>
      <c r="E243" s="15" t="s">
        <v>1986</v>
      </c>
      <c r="F243" s="15" t="s">
        <v>2190</v>
      </c>
      <c r="G243" s="15" t="s">
        <v>120</v>
      </c>
      <c r="H243" s="15" t="s">
        <v>1988</v>
      </c>
      <c r="I243" s="23" t="n">
        <v>3099</v>
      </c>
      <c r="J243" s="15" t="s">
        <v>2191</v>
      </c>
      <c r="K243" s="15" t="s">
        <v>2192</v>
      </c>
      <c r="L243" s="15" t="s">
        <v>2184</v>
      </c>
      <c r="M243" s="15" t="s">
        <v>1478</v>
      </c>
      <c r="N243" s="15"/>
    </row>
    <row r="244" customFormat="false" ht="39" hidden="false" customHeight="true" outlineLevel="0" collapsed="false">
      <c r="A244" s="15" t="s">
        <v>2479</v>
      </c>
      <c r="B244" s="15" t="s">
        <v>312</v>
      </c>
      <c r="C244" s="15" t="s">
        <v>353</v>
      </c>
      <c r="D244" s="15" t="s">
        <v>2233</v>
      </c>
      <c r="E244" s="15" t="s">
        <v>2234</v>
      </c>
      <c r="F244" s="15" t="s">
        <v>2190</v>
      </c>
      <c r="G244" s="15" t="s">
        <v>120</v>
      </c>
      <c r="H244" s="15" t="s">
        <v>1988</v>
      </c>
      <c r="I244" s="23" t="n">
        <v>3099</v>
      </c>
      <c r="J244" s="15" t="s">
        <v>2191</v>
      </c>
      <c r="K244" s="15" t="s">
        <v>2192</v>
      </c>
      <c r="L244" s="15" t="s">
        <v>2184</v>
      </c>
      <c r="M244" s="15" t="s">
        <v>1478</v>
      </c>
      <c r="N244" s="15"/>
    </row>
    <row r="245" customFormat="false" ht="39" hidden="false" customHeight="true" outlineLevel="0" collapsed="false">
      <c r="A245" s="15" t="s">
        <v>2480</v>
      </c>
      <c r="B245" s="15" t="s">
        <v>312</v>
      </c>
      <c r="C245" s="15" t="s">
        <v>353</v>
      </c>
      <c r="D245" s="15" t="s">
        <v>2236</v>
      </c>
      <c r="E245" s="15" t="s">
        <v>2027</v>
      </c>
      <c r="F245" s="15" t="s">
        <v>2190</v>
      </c>
      <c r="G245" s="15" t="s">
        <v>120</v>
      </c>
      <c r="H245" s="15" t="s">
        <v>1988</v>
      </c>
      <c r="I245" s="23" t="n">
        <v>2999</v>
      </c>
      <c r="J245" s="15" t="s">
        <v>2191</v>
      </c>
      <c r="K245" s="15" t="s">
        <v>2192</v>
      </c>
      <c r="L245" s="15" t="s">
        <v>2184</v>
      </c>
      <c r="M245" s="15" t="s">
        <v>1478</v>
      </c>
      <c r="N245" s="15"/>
    </row>
    <row r="246" customFormat="false" ht="39" hidden="false" customHeight="true" outlineLevel="0" collapsed="false">
      <c r="A246" s="15" t="s">
        <v>2481</v>
      </c>
      <c r="B246" s="15" t="s">
        <v>312</v>
      </c>
      <c r="C246" s="15" t="s">
        <v>353</v>
      </c>
      <c r="D246" s="15" t="s">
        <v>2357</v>
      </c>
      <c r="E246" s="15" t="s">
        <v>2321</v>
      </c>
      <c r="F246" s="15" t="s">
        <v>2190</v>
      </c>
      <c r="G246" s="15" t="s">
        <v>120</v>
      </c>
      <c r="H246" s="15" t="s">
        <v>1988</v>
      </c>
      <c r="I246" s="23" t="n">
        <v>2838</v>
      </c>
      <c r="J246" s="15" t="s">
        <v>2191</v>
      </c>
      <c r="K246" s="15" t="s">
        <v>2192</v>
      </c>
      <c r="L246" s="15" t="s">
        <v>2184</v>
      </c>
      <c r="M246" s="15" t="s">
        <v>1478</v>
      </c>
      <c r="N246" s="15"/>
    </row>
    <row r="247" customFormat="false" ht="39" hidden="false" customHeight="true" outlineLevel="0" collapsed="false">
      <c r="A247" s="15" t="s">
        <v>2482</v>
      </c>
      <c r="B247" s="15" t="s">
        <v>312</v>
      </c>
      <c r="C247" s="15" t="s">
        <v>353</v>
      </c>
      <c r="D247" s="15" t="s">
        <v>2207</v>
      </c>
      <c r="E247" s="15" t="s">
        <v>1986</v>
      </c>
      <c r="F247" s="15" t="s">
        <v>2190</v>
      </c>
      <c r="G247" s="15" t="s">
        <v>120</v>
      </c>
      <c r="H247" s="15" t="s">
        <v>1988</v>
      </c>
      <c r="I247" s="23" t="n">
        <v>2699</v>
      </c>
      <c r="J247" s="15" t="s">
        <v>2191</v>
      </c>
      <c r="K247" s="15" t="s">
        <v>2192</v>
      </c>
      <c r="L247" s="15" t="s">
        <v>2184</v>
      </c>
      <c r="M247" s="15" t="s">
        <v>1478</v>
      </c>
      <c r="N247" s="15"/>
    </row>
    <row r="248" customFormat="false" ht="39" hidden="false" customHeight="true" outlineLevel="0" collapsed="false">
      <c r="A248" s="15" t="s">
        <v>2483</v>
      </c>
      <c r="B248" s="15" t="s">
        <v>312</v>
      </c>
      <c r="C248" s="15" t="s">
        <v>353</v>
      </c>
      <c r="D248" s="15" t="s">
        <v>2359</v>
      </c>
      <c r="E248" s="15" t="s">
        <v>2099</v>
      </c>
      <c r="F248" s="15" t="s">
        <v>2190</v>
      </c>
      <c r="G248" s="15" t="s">
        <v>120</v>
      </c>
      <c r="H248" s="15" t="s">
        <v>1988</v>
      </c>
      <c r="I248" s="23" t="n">
        <v>2599</v>
      </c>
      <c r="J248" s="15" t="s">
        <v>2191</v>
      </c>
      <c r="K248" s="15" t="s">
        <v>2192</v>
      </c>
      <c r="L248" s="15" t="s">
        <v>2184</v>
      </c>
      <c r="M248" s="15" t="s">
        <v>1478</v>
      </c>
      <c r="N248" s="15"/>
    </row>
    <row r="249" customFormat="false" ht="39" hidden="false" customHeight="true" outlineLevel="0" collapsed="false">
      <c r="A249" s="15" t="s">
        <v>2484</v>
      </c>
      <c r="B249" s="15" t="s">
        <v>312</v>
      </c>
      <c r="C249" s="15" t="s">
        <v>353</v>
      </c>
      <c r="D249" s="15" t="s">
        <v>2238</v>
      </c>
      <c r="E249" s="15" t="s">
        <v>2027</v>
      </c>
      <c r="F249" s="15" t="s">
        <v>2190</v>
      </c>
      <c r="G249" s="15" t="s">
        <v>120</v>
      </c>
      <c r="H249" s="15" t="s">
        <v>1988</v>
      </c>
      <c r="I249" s="23" t="n">
        <v>2599</v>
      </c>
      <c r="J249" s="15" t="s">
        <v>2191</v>
      </c>
      <c r="K249" s="15" t="s">
        <v>2192</v>
      </c>
      <c r="L249" s="15" t="s">
        <v>2184</v>
      </c>
      <c r="M249" s="15" t="s">
        <v>1478</v>
      </c>
      <c r="N249" s="15"/>
    </row>
    <row r="250" customFormat="false" ht="39" hidden="false" customHeight="true" outlineLevel="0" collapsed="false">
      <c r="A250" s="15" t="s">
        <v>2485</v>
      </c>
      <c r="B250" s="15" t="s">
        <v>312</v>
      </c>
      <c r="C250" s="15" t="s">
        <v>353</v>
      </c>
      <c r="D250" s="15" t="s">
        <v>2361</v>
      </c>
      <c r="E250" s="15" t="s">
        <v>2002</v>
      </c>
      <c r="F250" s="15" t="s">
        <v>2190</v>
      </c>
      <c r="G250" s="15" t="s">
        <v>120</v>
      </c>
      <c r="H250" s="15" t="s">
        <v>1988</v>
      </c>
      <c r="I250" s="23" t="n">
        <v>2599</v>
      </c>
      <c r="J250" s="15" t="s">
        <v>2191</v>
      </c>
      <c r="K250" s="15" t="s">
        <v>2192</v>
      </c>
      <c r="L250" s="15" t="s">
        <v>2184</v>
      </c>
      <c r="M250" s="15" t="s">
        <v>1478</v>
      </c>
      <c r="N250" s="15"/>
    </row>
    <row r="251" customFormat="false" ht="39" hidden="false" customHeight="true" outlineLevel="0" collapsed="false">
      <c r="A251" s="15" t="s">
        <v>2486</v>
      </c>
      <c r="B251" s="15" t="s">
        <v>312</v>
      </c>
      <c r="C251" s="15" t="s">
        <v>353</v>
      </c>
      <c r="D251" s="15" t="s">
        <v>2209</v>
      </c>
      <c r="E251" s="15" t="s">
        <v>2002</v>
      </c>
      <c r="F251" s="15" t="s">
        <v>2190</v>
      </c>
      <c r="G251" s="15" t="s">
        <v>120</v>
      </c>
      <c r="H251" s="15" t="s">
        <v>1988</v>
      </c>
      <c r="I251" s="23" t="n">
        <v>2499</v>
      </c>
      <c r="J251" s="15" t="s">
        <v>2191</v>
      </c>
      <c r="K251" s="15" t="s">
        <v>2192</v>
      </c>
      <c r="L251" s="15" t="s">
        <v>2184</v>
      </c>
      <c r="M251" s="15" t="s">
        <v>1478</v>
      </c>
      <c r="N251" s="15"/>
    </row>
    <row r="252" customFormat="false" ht="39" hidden="false" customHeight="true" outlineLevel="0" collapsed="false">
      <c r="A252" s="15" t="s">
        <v>2487</v>
      </c>
      <c r="B252" s="15" t="s">
        <v>312</v>
      </c>
      <c r="C252" s="15" t="s">
        <v>353</v>
      </c>
      <c r="D252" s="15" t="s">
        <v>2211</v>
      </c>
      <c r="E252" s="15" t="s">
        <v>1986</v>
      </c>
      <c r="F252" s="15" t="s">
        <v>2190</v>
      </c>
      <c r="G252" s="15" t="s">
        <v>120</v>
      </c>
      <c r="H252" s="15" t="s">
        <v>1988</v>
      </c>
      <c r="I252" s="23" t="n">
        <v>2099</v>
      </c>
      <c r="J252" s="15" t="s">
        <v>2191</v>
      </c>
      <c r="K252" s="15" t="s">
        <v>2192</v>
      </c>
      <c r="L252" s="15" t="s">
        <v>2184</v>
      </c>
      <c r="M252" s="15" t="s">
        <v>1478</v>
      </c>
      <c r="N252" s="15"/>
    </row>
    <row r="253" customFormat="false" ht="39" hidden="false" customHeight="true" outlineLevel="0" collapsed="false">
      <c r="A253" s="15" t="s">
        <v>2488</v>
      </c>
      <c r="B253" s="15" t="s">
        <v>312</v>
      </c>
      <c r="C253" s="15" t="s">
        <v>353</v>
      </c>
      <c r="D253" s="15" t="s">
        <v>2326</v>
      </c>
      <c r="E253" s="15" t="s">
        <v>2321</v>
      </c>
      <c r="F253" s="15" t="s">
        <v>2190</v>
      </c>
      <c r="G253" s="15" t="s">
        <v>120</v>
      </c>
      <c r="H253" s="15" t="s">
        <v>1988</v>
      </c>
      <c r="I253" s="23" t="n">
        <v>2099</v>
      </c>
      <c r="J253" s="15" t="s">
        <v>2191</v>
      </c>
      <c r="K253" s="15" t="s">
        <v>2192</v>
      </c>
      <c r="L253" s="15" t="s">
        <v>2184</v>
      </c>
      <c r="M253" s="15" t="s">
        <v>1478</v>
      </c>
      <c r="N253" s="15"/>
    </row>
    <row r="254" customFormat="false" ht="39" hidden="false" customHeight="true" outlineLevel="0" collapsed="false">
      <c r="A254" s="15" t="s">
        <v>2489</v>
      </c>
      <c r="B254" s="15" t="s">
        <v>312</v>
      </c>
      <c r="C254" s="15" t="s">
        <v>353</v>
      </c>
      <c r="D254" s="15" t="s">
        <v>2262</v>
      </c>
      <c r="E254" s="15" t="s">
        <v>2234</v>
      </c>
      <c r="F254" s="15" t="s">
        <v>2190</v>
      </c>
      <c r="G254" s="15" t="s">
        <v>120</v>
      </c>
      <c r="H254" s="15" t="s">
        <v>1988</v>
      </c>
      <c r="I254" s="23" t="n">
        <v>2005</v>
      </c>
      <c r="J254" s="15" t="s">
        <v>2191</v>
      </c>
      <c r="K254" s="15" t="s">
        <v>2192</v>
      </c>
      <c r="L254" s="15" t="s">
        <v>2184</v>
      </c>
      <c r="M254" s="15" t="s">
        <v>1478</v>
      </c>
      <c r="N254" s="15"/>
    </row>
    <row r="255" customFormat="false" ht="39" hidden="false" customHeight="true" outlineLevel="0" collapsed="false">
      <c r="A255" s="15" t="s">
        <v>2490</v>
      </c>
      <c r="B255" s="15" t="s">
        <v>312</v>
      </c>
      <c r="C255" s="15" t="s">
        <v>353</v>
      </c>
      <c r="D255" s="15" t="s">
        <v>2328</v>
      </c>
      <c r="E255" s="15" t="s">
        <v>2321</v>
      </c>
      <c r="F255" s="15" t="s">
        <v>2190</v>
      </c>
      <c r="G255" s="15" t="s">
        <v>120</v>
      </c>
      <c r="H255" s="15" t="s">
        <v>1988</v>
      </c>
      <c r="I255" s="23" t="n">
        <v>1999</v>
      </c>
      <c r="J255" s="15" t="s">
        <v>2191</v>
      </c>
      <c r="K255" s="15" t="s">
        <v>2192</v>
      </c>
      <c r="L255" s="15" t="s">
        <v>2184</v>
      </c>
      <c r="M255" s="15" t="s">
        <v>1478</v>
      </c>
      <c r="N255" s="15"/>
    </row>
    <row r="256" customFormat="false" ht="39" hidden="false" customHeight="true" outlineLevel="0" collapsed="false">
      <c r="A256" s="15" t="s">
        <v>2491</v>
      </c>
      <c r="B256" s="15" t="s">
        <v>312</v>
      </c>
      <c r="C256" s="15" t="s">
        <v>353</v>
      </c>
      <c r="D256" s="15" t="s">
        <v>2264</v>
      </c>
      <c r="E256" s="15" t="s">
        <v>2032</v>
      </c>
      <c r="F256" s="15" t="s">
        <v>2190</v>
      </c>
      <c r="G256" s="15" t="s">
        <v>120</v>
      </c>
      <c r="H256" s="15" t="s">
        <v>1988</v>
      </c>
      <c r="I256" s="23" t="n">
        <v>1999</v>
      </c>
      <c r="J256" s="15" t="s">
        <v>2191</v>
      </c>
      <c r="K256" s="15" t="s">
        <v>2192</v>
      </c>
      <c r="L256" s="15" t="s">
        <v>2184</v>
      </c>
      <c r="M256" s="15" t="s">
        <v>1478</v>
      </c>
      <c r="N256" s="15"/>
    </row>
    <row r="257" customFormat="false" ht="39" hidden="false" customHeight="true" outlineLevel="0" collapsed="false">
      <c r="A257" s="15" t="s">
        <v>2492</v>
      </c>
      <c r="B257" s="15" t="s">
        <v>312</v>
      </c>
      <c r="C257" s="15" t="s">
        <v>353</v>
      </c>
      <c r="D257" s="15" t="s">
        <v>2240</v>
      </c>
      <c r="E257" s="15" t="s">
        <v>2027</v>
      </c>
      <c r="F257" s="15" t="s">
        <v>2190</v>
      </c>
      <c r="G257" s="15" t="s">
        <v>120</v>
      </c>
      <c r="H257" s="15" t="s">
        <v>1988</v>
      </c>
      <c r="I257" s="23" t="n">
        <v>1999</v>
      </c>
      <c r="J257" s="15" t="s">
        <v>2191</v>
      </c>
      <c r="K257" s="15" t="s">
        <v>2192</v>
      </c>
      <c r="L257" s="15" t="s">
        <v>2184</v>
      </c>
      <c r="M257" s="15" t="s">
        <v>1478</v>
      </c>
      <c r="N257" s="15" t="s">
        <v>2493</v>
      </c>
    </row>
    <row r="258" customFormat="false" ht="39" hidden="false" customHeight="true" outlineLevel="0" collapsed="false">
      <c r="A258" s="15" t="s">
        <v>2494</v>
      </c>
      <c r="B258" s="15" t="s">
        <v>312</v>
      </c>
      <c r="C258" s="15" t="s">
        <v>353</v>
      </c>
      <c r="D258" s="15" t="s">
        <v>2213</v>
      </c>
      <c r="E258" s="15" t="s">
        <v>1986</v>
      </c>
      <c r="F258" s="15" t="s">
        <v>2190</v>
      </c>
      <c r="G258" s="15" t="s">
        <v>120</v>
      </c>
      <c r="H258" s="15" t="s">
        <v>1988</v>
      </c>
      <c r="I258" s="23" t="n">
        <v>1899</v>
      </c>
      <c r="J258" s="15" t="s">
        <v>2191</v>
      </c>
      <c r="K258" s="15" t="s">
        <v>2192</v>
      </c>
      <c r="L258" s="15" t="s">
        <v>2184</v>
      </c>
      <c r="M258" s="15" t="s">
        <v>1478</v>
      </c>
      <c r="N258" s="15" t="s">
        <v>2495</v>
      </c>
    </row>
    <row r="259" customFormat="false" ht="39" hidden="false" customHeight="true" outlineLevel="0" collapsed="false">
      <c r="A259" s="15" t="s">
        <v>2496</v>
      </c>
      <c r="B259" s="15" t="s">
        <v>312</v>
      </c>
      <c r="C259" s="15" t="s">
        <v>353</v>
      </c>
      <c r="D259" s="15" t="s">
        <v>2363</v>
      </c>
      <c r="E259" s="15" t="s">
        <v>2234</v>
      </c>
      <c r="F259" s="15" t="s">
        <v>2190</v>
      </c>
      <c r="G259" s="15" t="s">
        <v>120</v>
      </c>
      <c r="H259" s="15" t="s">
        <v>1988</v>
      </c>
      <c r="I259" s="23" t="n">
        <v>1899</v>
      </c>
      <c r="J259" s="15" t="s">
        <v>2191</v>
      </c>
      <c r="K259" s="15" t="s">
        <v>2192</v>
      </c>
      <c r="L259" s="15" t="s">
        <v>2184</v>
      </c>
      <c r="M259" s="15" t="s">
        <v>1478</v>
      </c>
      <c r="N259" s="15"/>
    </row>
    <row r="260" customFormat="false" ht="39" hidden="false" customHeight="true" outlineLevel="0" collapsed="false">
      <c r="A260" s="15" t="s">
        <v>2497</v>
      </c>
      <c r="B260" s="15" t="s">
        <v>312</v>
      </c>
      <c r="C260" s="15" t="s">
        <v>353</v>
      </c>
      <c r="D260" s="15" t="s">
        <v>2266</v>
      </c>
      <c r="E260" s="15" t="s">
        <v>2032</v>
      </c>
      <c r="F260" s="15" t="s">
        <v>2190</v>
      </c>
      <c r="G260" s="15" t="s">
        <v>120</v>
      </c>
      <c r="H260" s="15" t="s">
        <v>1988</v>
      </c>
      <c r="I260" s="23" t="n">
        <v>1899</v>
      </c>
      <c r="J260" s="15" t="s">
        <v>2191</v>
      </c>
      <c r="K260" s="15" t="s">
        <v>2192</v>
      </c>
      <c r="L260" s="15" t="s">
        <v>2184</v>
      </c>
      <c r="M260" s="15" t="s">
        <v>1478</v>
      </c>
      <c r="N260" s="15"/>
    </row>
    <row r="261" customFormat="false" ht="39" hidden="false" customHeight="true" outlineLevel="0" collapsed="false">
      <c r="A261" s="15" t="s">
        <v>2498</v>
      </c>
      <c r="B261" s="15" t="s">
        <v>312</v>
      </c>
      <c r="C261" s="15" t="s">
        <v>353</v>
      </c>
      <c r="D261" s="15" t="s">
        <v>2363</v>
      </c>
      <c r="E261" s="15" t="s">
        <v>2234</v>
      </c>
      <c r="F261" s="15" t="s">
        <v>2190</v>
      </c>
      <c r="G261" s="15" t="s">
        <v>120</v>
      </c>
      <c r="H261" s="15" t="s">
        <v>1988</v>
      </c>
      <c r="I261" s="23" t="n">
        <v>1799</v>
      </c>
      <c r="J261" s="15" t="s">
        <v>2191</v>
      </c>
      <c r="K261" s="15" t="s">
        <v>2192</v>
      </c>
      <c r="L261" s="15" t="s">
        <v>2184</v>
      </c>
      <c r="M261" s="15" t="s">
        <v>1478</v>
      </c>
      <c r="N261" s="15"/>
    </row>
    <row r="262" customFormat="false" ht="39" hidden="false" customHeight="true" outlineLevel="0" collapsed="false">
      <c r="A262" s="15" t="s">
        <v>2499</v>
      </c>
      <c r="B262" s="15" t="s">
        <v>312</v>
      </c>
      <c r="C262" s="15" t="s">
        <v>353</v>
      </c>
      <c r="D262" s="15" t="s">
        <v>2216</v>
      </c>
      <c r="E262" s="15" t="s">
        <v>1986</v>
      </c>
      <c r="F262" s="15" t="s">
        <v>2190</v>
      </c>
      <c r="G262" s="15" t="s">
        <v>120</v>
      </c>
      <c r="H262" s="15" t="s">
        <v>1988</v>
      </c>
      <c r="I262" s="23" t="n">
        <v>1799</v>
      </c>
      <c r="J262" s="15" t="s">
        <v>2191</v>
      </c>
      <c r="K262" s="15" t="s">
        <v>2192</v>
      </c>
      <c r="L262" s="15" t="s">
        <v>2184</v>
      </c>
      <c r="M262" s="15" t="s">
        <v>1478</v>
      </c>
      <c r="N262" s="15" t="s">
        <v>2495</v>
      </c>
    </row>
    <row r="263" customFormat="false" ht="39" hidden="false" customHeight="true" outlineLevel="0" collapsed="false">
      <c r="A263" s="15" t="s">
        <v>2500</v>
      </c>
      <c r="B263" s="15" t="s">
        <v>312</v>
      </c>
      <c r="C263" s="15" t="s">
        <v>353</v>
      </c>
      <c r="D263" s="15" t="s">
        <v>2243</v>
      </c>
      <c r="E263" s="15" t="s">
        <v>2027</v>
      </c>
      <c r="F263" s="15" t="s">
        <v>2190</v>
      </c>
      <c r="G263" s="15" t="s">
        <v>120</v>
      </c>
      <c r="H263" s="15" t="s">
        <v>1988</v>
      </c>
      <c r="I263" s="23" t="n">
        <v>1599</v>
      </c>
      <c r="J263" s="15" t="s">
        <v>2191</v>
      </c>
      <c r="K263" s="15" t="s">
        <v>2192</v>
      </c>
      <c r="L263" s="15" t="s">
        <v>2184</v>
      </c>
      <c r="M263" s="15" t="s">
        <v>1478</v>
      </c>
      <c r="N263" s="15"/>
    </row>
    <row r="264" customFormat="false" ht="39" hidden="false" customHeight="true" outlineLevel="0" collapsed="false">
      <c r="A264" s="15" t="s">
        <v>2501</v>
      </c>
      <c r="B264" s="15" t="s">
        <v>312</v>
      </c>
      <c r="C264" s="15" t="s">
        <v>353</v>
      </c>
      <c r="D264" s="15" t="s">
        <v>2218</v>
      </c>
      <c r="E264" s="15" t="s">
        <v>1986</v>
      </c>
      <c r="F264" s="15" t="s">
        <v>2190</v>
      </c>
      <c r="G264" s="15" t="s">
        <v>120</v>
      </c>
      <c r="H264" s="15" t="s">
        <v>1988</v>
      </c>
      <c r="I264" s="23" t="n">
        <v>1499</v>
      </c>
      <c r="J264" s="15" t="s">
        <v>2191</v>
      </c>
      <c r="K264" s="15" t="s">
        <v>2192</v>
      </c>
      <c r="L264" s="15" t="s">
        <v>2184</v>
      </c>
      <c r="M264" s="15" t="s">
        <v>1478</v>
      </c>
      <c r="N264" s="15" t="s">
        <v>2502</v>
      </c>
    </row>
    <row r="265" customFormat="false" ht="39" hidden="false" customHeight="true" outlineLevel="0" collapsed="false">
      <c r="A265" s="15" t="s">
        <v>2503</v>
      </c>
      <c r="B265" s="15" t="s">
        <v>312</v>
      </c>
      <c r="C265" s="15" t="s">
        <v>353</v>
      </c>
      <c r="D265" s="15" t="s">
        <v>2245</v>
      </c>
      <c r="E265" s="15" t="s">
        <v>2027</v>
      </c>
      <c r="F265" s="15" t="s">
        <v>2190</v>
      </c>
      <c r="G265" s="15" t="s">
        <v>120</v>
      </c>
      <c r="H265" s="15" t="s">
        <v>1988</v>
      </c>
      <c r="I265" s="23" t="n">
        <v>1499</v>
      </c>
      <c r="J265" s="15" t="s">
        <v>2191</v>
      </c>
      <c r="K265" s="15" t="s">
        <v>2192</v>
      </c>
      <c r="L265" s="15" t="s">
        <v>2184</v>
      </c>
      <c r="M265" s="15" t="s">
        <v>1478</v>
      </c>
      <c r="N265" s="15" t="s">
        <v>2454</v>
      </c>
    </row>
    <row r="266" customFormat="false" ht="39" hidden="false" customHeight="true" outlineLevel="0" collapsed="false">
      <c r="A266" s="15" t="s">
        <v>2504</v>
      </c>
      <c r="B266" s="15" t="s">
        <v>312</v>
      </c>
      <c r="C266" s="15" t="s">
        <v>353</v>
      </c>
      <c r="D266" s="15" t="s">
        <v>2268</v>
      </c>
      <c r="E266" s="15" t="s">
        <v>2032</v>
      </c>
      <c r="F266" s="15" t="s">
        <v>2190</v>
      </c>
      <c r="G266" s="15" t="s">
        <v>120</v>
      </c>
      <c r="H266" s="15" t="s">
        <v>1988</v>
      </c>
      <c r="I266" s="23" t="n">
        <v>1499</v>
      </c>
      <c r="J266" s="15" t="s">
        <v>2191</v>
      </c>
      <c r="K266" s="15" t="s">
        <v>2192</v>
      </c>
      <c r="L266" s="15" t="s">
        <v>2184</v>
      </c>
      <c r="M266" s="15" t="s">
        <v>1478</v>
      </c>
      <c r="N266" s="15"/>
    </row>
    <row r="267" customFormat="false" ht="39" hidden="false" customHeight="true" outlineLevel="0" collapsed="false">
      <c r="A267" s="15" t="s">
        <v>2505</v>
      </c>
      <c r="B267" s="15" t="s">
        <v>312</v>
      </c>
      <c r="C267" s="15" t="s">
        <v>353</v>
      </c>
      <c r="D267" s="15" t="s">
        <v>2221</v>
      </c>
      <c r="E267" s="15" t="s">
        <v>1986</v>
      </c>
      <c r="F267" s="15" t="s">
        <v>2190</v>
      </c>
      <c r="G267" s="15" t="s">
        <v>120</v>
      </c>
      <c r="H267" s="15" t="s">
        <v>1988</v>
      </c>
      <c r="I267" s="23" t="n">
        <v>1299</v>
      </c>
      <c r="J267" s="15" t="s">
        <v>2191</v>
      </c>
      <c r="K267" s="15" t="s">
        <v>2192</v>
      </c>
      <c r="L267" s="15" t="s">
        <v>2184</v>
      </c>
      <c r="M267" s="15" t="s">
        <v>1478</v>
      </c>
      <c r="N267" s="15"/>
    </row>
    <row r="268" customFormat="false" ht="39" hidden="false" customHeight="true" outlineLevel="0" collapsed="false">
      <c r="A268" s="15" t="s">
        <v>2506</v>
      </c>
      <c r="B268" s="15" t="s">
        <v>312</v>
      </c>
      <c r="C268" s="15" t="s">
        <v>353</v>
      </c>
      <c r="D268" s="15" t="s">
        <v>2366</v>
      </c>
      <c r="E268" s="15" t="s">
        <v>2099</v>
      </c>
      <c r="F268" s="15" t="s">
        <v>2190</v>
      </c>
      <c r="G268" s="15" t="s">
        <v>120</v>
      </c>
      <c r="H268" s="15" t="s">
        <v>1988</v>
      </c>
      <c r="I268" s="23" t="n">
        <v>1199</v>
      </c>
      <c r="J268" s="15" t="s">
        <v>2191</v>
      </c>
      <c r="K268" s="15" t="s">
        <v>2192</v>
      </c>
      <c r="L268" s="15" t="s">
        <v>2184</v>
      </c>
      <c r="M268" s="15" t="s">
        <v>1478</v>
      </c>
      <c r="N268" s="15"/>
    </row>
    <row r="269" customFormat="false" ht="39" hidden="false" customHeight="true" outlineLevel="0" collapsed="false">
      <c r="A269" s="15" t="s">
        <v>2507</v>
      </c>
      <c r="B269" s="15" t="s">
        <v>312</v>
      </c>
      <c r="C269" s="15" t="s">
        <v>353</v>
      </c>
      <c r="D269" s="15" t="s">
        <v>2247</v>
      </c>
      <c r="E269" s="15" t="s">
        <v>2032</v>
      </c>
      <c r="F269" s="15" t="s">
        <v>2190</v>
      </c>
      <c r="G269" s="15" t="s">
        <v>120</v>
      </c>
      <c r="H269" s="15" t="s">
        <v>1988</v>
      </c>
      <c r="I269" s="23" t="n">
        <v>1096</v>
      </c>
      <c r="J269" s="15" t="s">
        <v>2191</v>
      </c>
      <c r="K269" s="15" t="s">
        <v>2192</v>
      </c>
      <c r="L269" s="15" t="s">
        <v>2184</v>
      </c>
      <c r="M269" s="15" t="s">
        <v>1478</v>
      </c>
      <c r="N269" s="15"/>
    </row>
    <row r="270" customFormat="false" ht="39" hidden="false" customHeight="true" outlineLevel="0" collapsed="false">
      <c r="A270" s="15" t="s">
        <v>2508</v>
      </c>
      <c r="B270" s="15" t="s">
        <v>312</v>
      </c>
      <c r="C270" s="15" t="s">
        <v>353</v>
      </c>
      <c r="D270" s="15" t="s">
        <v>2366</v>
      </c>
      <c r="E270" s="15" t="s">
        <v>2099</v>
      </c>
      <c r="F270" s="15" t="s">
        <v>2190</v>
      </c>
      <c r="G270" s="15" t="s">
        <v>120</v>
      </c>
      <c r="H270" s="15" t="s">
        <v>1988</v>
      </c>
      <c r="I270" s="23" t="n">
        <v>1063</v>
      </c>
      <c r="J270" s="15" t="s">
        <v>2191</v>
      </c>
      <c r="K270" s="15" t="s">
        <v>2192</v>
      </c>
      <c r="L270" s="15" t="s">
        <v>2184</v>
      </c>
      <c r="M270" s="15" t="s">
        <v>1478</v>
      </c>
      <c r="N270" s="15"/>
    </row>
    <row r="271" customFormat="false" ht="39" hidden="false" customHeight="true" outlineLevel="0" collapsed="false">
      <c r="A271" s="15" t="s">
        <v>2509</v>
      </c>
      <c r="B271" s="15" t="s">
        <v>312</v>
      </c>
      <c r="C271" s="15" t="s">
        <v>353</v>
      </c>
      <c r="D271" s="15" t="s">
        <v>2298</v>
      </c>
      <c r="E271" s="15" t="s">
        <v>2234</v>
      </c>
      <c r="F271" s="15" t="s">
        <v>2190</v>
      </c>
      <c r="G271" s="15" t="s">
        <v>120</v>
      </c>
      <c r="H271" s="15" t="s">
        <v>1988</v>
      </c>
      <c r="I271" s="23" t="n">
        <v>999</v>
      </c>
      <c r="J271" s="15" t="s">
        <v>2191</v>
      </c>
      <c r="K271" s="15" t="s">
        <v>2192</v>
      </c>
      <c r="L271" s="15" t="s">
        <v>2184</v>
      </c>
      <c r="M271" s="15" t="s">
        <v>1478</v>
      </c>
      <c r="N271" s="15"/>
    </row>
    <row r="272" customFormat="false" ht="39" hidden="false" customHeight="true" outlineLevel="0" collapsed="false">
      <c r="A272" s="15" t="s">
        <v>2510</v>
      </c>
      <c r="B272" s="15" t="s">
        <v>312</v>
      </c>
      <c r="C272" s="15" t="s">
        <v>353</v>
      </c>
      <c r="D272" s="15" t="s">
        <v>2369</v>
      </c>
      <c r="E272" s="15" t="s">
        <v>2234</v>
      </c>
      <c r="F272" s="15" t="s">
        <v>2190</v>
      </c>
      <c r="G272" s="15" t="s">
        <v>120</v>
      </c>
      <c r="H272" s="15" t="s">
        <v>1988</v>
      </c>
      <c r="I272" s="23" t="n">
        <v>999</v>
      </c>
      <c r="J272" s="15" t="s">
        <v>2191</v>
      </c>
      <c r="K272" s="15" t="s">
        <v>2192</v>
      </c>
      <c r="L272" s="15" t="s">
        <v>2184</v>
      </c>
      <c r="M272" s="15" t="s">
        <v>1478</v>
      </c>
      <c r="N272" s="15"/>
    </row>
    <row r="273" customFormat="false" ht="39" hidden="false" customHeight="true" outlineLevel="0" collapsed="false">
      <c r="A273" s="15" t="s">
        <v>2511</v>
      </c>
      <c r="B273" s="15" t="s">
        <v>312</v>
      </c>
      <c r="C273" s="15" t="s">
        <v>353</v>
      </c>
      <c r="D273" s="15" t="s">
        <v>2243</v>
      </c>
      <c r="E273" s="15" t="s">
        <v>2027</v>
      </c>
      <c r="F273" s="15" t="s">
        <v>2190</v>
      </c>
      <c r="G273" s="15" t="s">
        <v>120</v>
      </c>
      <c r="H273" s="15" t="s">
        <v>1988</v>
      </c>
      <c r="I273" s="23" t="n">
        <v>899</v>
      </c>
      <c r="J273" s="15" t="s">
        <v>2191</v>
      </c>
      <c r="K273" s="15" t="s">
        <v>2192</v>
      </c>
      <c r="L273" s="15" t="s">
        <v>2184</v>
      </c>
      <c r="M273" s="15" t="s">
        <v>1478</v>
      </c>
      <c r="N273" s="15"/>
    </row>
    <row r="274" customFormat="false" ht="39" hidden="false" customHeight="true" outlineLevel="0" collapsed="false">
      <c r="A274" s="15" t="s">
        <v>2512</v>
      </c>
      <c r="B274" s="15" t="s">
        <v>312</v>
      </c>
      <c r="C274" s="15" t="s">
        <v>353</v>
      </c>
      <c r="D274" s="15" t="s">
        <v>2373</v>
      </c>
      <c r="E274" s="15" t="s">
        <v>2047</v>
      </c>
      <c r="F274" s="15" t="s">
        <v>2190</v>
      </c>
      <c r="G274" s="15" t="s">
        <v>120</v>
      </c>
      <c r="H274" s="15" t="s">
        <v>1988</v>
      </c>
      <c r="I274" s="23" t="n">
        <v>799</v>
      </c>
      <c r="J274" s="15" t="s">
        <v>2191</v>
      </c>
      <c r="K274" s="15" t="s">
        <v>2192</v>
      </c>
      <c r="L274" s="15" t="s">
        <v>2184</v>
      </c>
      <c r="M274" s="15" t="s">
        <v>1478</v>
      </c>
      <c r="N274" s="15"/>
    </row>
    <row r="275" customFormat="false" ht="39" hidden="false" customHeight="true" outlineLevel="0" collapsed="false">
      <c r="A275" s="15" t="s">
        <v>2513</v>
      </c>
      <c r="B275" s="15" t="s">
        <v>312</v>
      </c>
      <c r="C275" s="15" t="s">
        <v>353</v>
      </c>
      <c r="D275" s="15" t="s">
        <v>2270</v>
      </c>
      <c r="E275" s="15" t="s">
        <v>2002</v>
      </c>
      <c r="F275" s="15" t="s">
        <v>2190</v>
      </c>
      <c r="G275" s="15" t="s">
        <v>120</v>
      </c>
      <c r="H275" s="15" t="s">
        <v>1988</v>
      </c>
      <c r="I275" s="23" t="n">
        <v>799</v>
      </c>
      <c r="J275" s="15" t="s">
        <v>2191</v>
      </c>
      <c r="K275" s="15" t="s">
        <v>2192</v>
      </c>
      <c r="L275" s="15" t="s">
        <v>2184</v>
      </c>
      <c r="M275" s="15" t="s">
        <v>1478</v>
      </c>
      <c r="N275" s="15"/>
    </row>
    <row r="276" customFormat="false" ht="39" hidden="false" customHeight="true" outlineLevel="0" collapsed="false">
      <c r="A276" s="15" t="s">
        <v>2514</v>
      </c>
      <c r="B276" s="15" t="s">
        <v>312</v>
      </c>
      <c r="C276" s="15" t="s">
        <v>353</v>
      </c>
      <c r="D276" s="15" t="s">
        <v>2371</v>
      </c>
      <c r="E276" s="15" t="s">
        <v>2032</v>
      </c>
      <c r="F276" s="15" t="s">
        <v>2190</v>
      </c>
      <c r="G276" s="15" t="s">
        <v>120</v>
      </c>
      <c r="H276" s="15" t="s">
        <v>1988</v>
      </c>
      <c r="I276" s="23" t="n">
        <v>799</v>
      </c>
      <c r="J276" s="15" t="s">
        <v>2191</v>
      </c>
      <c r="K276" s="15" t="s">
        <v>2192</v>
      </c>
      <c r="L276" s="15" t="s">
        <v>2184</v>
      </c>
      <c r="M276" s="15" t="s">
        <v>1478</v>
      </c>
      <c r="N276" s="15"/>
    </row>
    <row r="277" customFormat="false" ht="39" hidden="false" customHeight="true" outlineLevel="0" collapsed="false">
      <c r="A277" s="15" t="s">
        <v>2515</v>
      </c>
      <c r="B277" s="15" t="s">
        <v>312</v>
      </c>
      <c r="C277" s="15" t="s">
        <v>353</v>
      </c>
      <c r="D277" s="15" t="s">
        <v>2375</v>
      </c>
      <c r="E277" s="15" t="s">
        <v>2234</v>
      </c>
      <c r="F277" s="15" t="s">
        <v>2190</v>
      </c>
      <c r="G277" s="15" t="s">
        <v>120</v>
      </c>
      <c r="H277" s="15" t="s">
        <v>1988</v>
      </c>
      <c r="I277" s="23" t="n">
        <v>799</v>
      </c>
      <c r="J277" s="15" t="s">
        <v>2191</v>
      </c>
      <c r="K277" s="15" t="s">
        <v>2192</v>
      </c>
      <c r="L277" s="15" t="s">
        <v>2184</v>
      </c>
      <c r="M277" s="15" t="s">
        <v>1478</v>
      </c>
      <c r="N277" s="15"/>
    </row>
    <row r="278" customFormat="false" ht="39" hidden="false" customHeight="true" outlineLevel="0" collapsed="false">
      <c r="A278" s="15" t="s">
        <v>2516</v>
      </c>
      <c r="B278" s="15" t="s">
        <v>312</v>
      </c>
      <c r="C278" s="15" t="s">
        <v>353</v>
      </c>
      <c r="D278" s="15" t="s">
        <v>2377</v>
      </c>
      <c r="E278" s="15" t="s">
        <v>2234</v>
      </c>
      <c r="F278" s="15" t="s">
        <v>2190</v>
      </c>
      <c r="G278" s="15" t="s">
        <v>120</v>
      </c>
      <c r="H278" s="15" t="s">
        <v>1988</v>
      </c>
      <c r="I278" s="23" t="n">
        <v>752</v>
      </c>
      <c r="J278" s="15" t="s">
        <v>2191</v>
      </c>
      <c r="K278" s="15" t="s">
        <v>2192</v>
      </c>
      <c r="L278" s="15" t="s">
        <v>2184</v>
      </c>
      <c r="M278" s="15" t="s">
        <v>1478</v>
      </c>
      <c r="N278" s="15"/>
    </row>
    <row r="279" customFormat="false" ht="39" hidden="false" customHeight="true" outlineLevel="0" collapsed="false">
      <c r="A279" s="15" t="s">
        <v>2517</v>
      </c>
      <c r="B279" s="15" t="s">
        <v>312</v>
      </c>
      <c r="C279" s="15" t="s">
        <v>353</v>
      </c>
      <c r="D279" s="15" t="s">
        <v>2379</v>
      </c>
      <c r="E279" s="15" t="s">
        <v>2234</v>
      </c>
      <c r="F279" s="15" t="s">
        <v>2190</v>
      </c>
      <c r="G279" s="15" t="s">
        <v>120</v>
      </c>
      <c r="H279" s="15" t="s">
        <v>1988</v>
      </c>
      <c r="I279" s="23" t="n">
        <v>752</v>
      </c>
      <c r="J279" s="15" t="s">
        <v>2191</v>
      </c>
      <c r="K279" s="15" t="s">
        <v>2192</v>
      </c>
      <c r="L279" s="15" t="s">
        <v>2184</v>
      </c>
      <c r="M279" s="15" t="s">
        <v>1478</v>
      </c>
      <c r="N279" s="15"/>
    </row>
    <row r="280" customFormat="false" ht="39" hidden="false" customHeight="true" outlineLevel="0" collapsed="false">
      <c r="A280" s="15" t="s">
        <v>2518</v>
      </c>
      <c r="B280" s="15" t="s">
        <v>312</v>
      </c>
      <c r="C280" s="15" t="s">
        <v>353</v>
      </c>
      <c r="D280" s="15" t="s">
        <v>2381</v>
      </c>
      <c r="E280" s="15" t="s">
        <v>2234</v>
      </c>
      <c r="F280" s="15" t="s">
        <v>2190</v>
      </c>
      <c r="G280" s="15" t="s">
        <v>120</v>
      </c>
      <c r="H280" s="15" t="s">
        <v>1988</v>
      </c>
      <c r="I280" s="23" t="n">
        <v>739</v>
      </c>
      <c r="J280" s="15" t="s">
        <v>2191</v>
      </c>
      <c r="K280" s="15" t="s">
        <v>2192</v>
      </c>
      <c r="L280" s="15" t="s">
        <v>2184</v>
      </c>
      <c r="M280" s="15" t="s">
        <v>1478</v>
      </c>
      <c r="N280" s="15"/>
    </row>
    <row r="281" customFormat="false" ht="39" hidden="false" customHeight="true" outlineLevel="0" collapsed="false">
      <c r="A281" s="15" t="s">
        <v>2519</v>
      </c>
      <c r="B281" s="15" t="s">
        <v>312</v>
      </c>
      <c r="C281" s="15" t="s">
        <v>353</v>
      </c>
      <c r="D281" s="15" t="s">
        <v>2304</v>
      </c>
      <c r="E281" s="15" t="s">
        <v>2234</v>
      </c>
      <c r="F281" s="15" t="s">
        <v>2190</v>
      </c>
      <c r="G281" s="15" t="s">
        <v>120</v>
      </c>
      <c r="H281" s="15" t="s">
        <v>1988</v>
      </c>
      <c r="I281" s="23" t="n">
        <v>699</v>
      </c>
      <c r="J281" s="15" t="s">
        <v>2191</v>
      </c>
      <c r="K281" s="15" t="s">
        <v>2192</v>
      </c>
      <c r="L281" s="15" t="s">
        <v>2184</v>
      </c>
      <c r="M281" s="15" t="s">
        <v>1478</v>
      </c>
      <c r="N281" s="15"/>
    </row>
    <row r="282" customFormat="false" ht="39" hidden="false" customHeight="true" outlineLevel="0" collapsed="false">
      <c r="A282" s="15" t="s">
        <v>2520</v>
      </c>
      <c r="B282" s="15" t="s">
        <v>312</v>
      </c>
      <c r="C282" s="15" t="s">
        <v>353</v>
      </c>
      <c r="D282" s="15" t="s">
        <v>2302</v>
      </c>
      <c r="E282" s="15" t="s">
        <v>2234</v>
      </c>
      <c r="F282" s="15" t="s">
        <v>2190</v>
      </c>
      <c r="G282" s="15" t="s">
        <v>120</v>
      </c>
      <c r="H282" s="15" t="s">
        <v>1988</v>
      </c>
      <c r="I282" s="23" t="n">
        <v>699</v>
      </c>
      <c r="J282" s="15" t="s">
        <v>2191</v>
      </c>
      <c r="K282" s="15" t="s">
        <v>2192</v>
      </c>
      <c r="L282" s="15" t="s">
        <v>2184</v>
      </c>
      <c r="M282" s="15" t="s">
        <v>1478</v>
      </c>
      <c r="N282" s="15" t="s">
        <v>2454</v>
      </c>
    </row>
    <row r="283" customFormat="false" ht="39" hidden="false" customHeight="true" outlineLevel="0" collapsed="false">
      <c r="A283" s="15" t="s">
        <v>2521</v>
      </c>
      <c r="B283" s="15" t="s">
        <v>312</v>
      </c>
      <c r="C283" s="15" t="s">
        <v>353</v>
      </c>
      <c r="D283" s="15" t="s">
        <v>2300</v>
      </c>
      <c r="E283" s="15" t="s">
        <v>2234</v>
      </c>
      <c r="F283" s="15" t="s">
        <v>2190</v>
      </c>
      <c r="G283" s="15" t="s">
        <v>120</v>
      </c>
      <c r="H283" s="15" t="s">
        <v>1988</v>
      </c>
      <c r="I283" s="23" t="n">
        <v>699</v>
      </c>
      <c r="J283" s="15" t="s">
        <v>2191</v>
      </c>
      <c r="K283" s="15" t="s">
        <v>2192</v>
      </c>
      <c r="L283" s="15" t="s">
        <v>2184</v>
      </c>
      <c r="M283" s="15" t="s">
        <v>1478</v>
      </c>
      <c r="N283" s="15"/>
    </row>
    <row r="284" customFormat="false" ht="39" hidden="false" customHeight="true" outlineLevel="0" collapsed="false">
      <c r="A284" s="15" t="s">
        <v>2522</v>
      </c>
      <c r="B284" s="15" t="s">
        <v>312</v>
      </c>
      <c r="C284" s="15" t="s">
        <v>353</v>
      </c>
      <c r="D284" s="15" t="s">
        <v>2306</v>
      </c>
      <c r="E284" s="15" t="s">
        <v>2234</v>
      </c>
      <c r="F284" s="15" t="s">
        <v>2190</v>
      </c>
      <c r="G284" s="15" t="s">
        <v>120</v>
      </c>
      <c r="H284" s="15" t="s">
        <v>1988</v>
      </c>
      <c r="I284" s="23" t="n">
        <v>669</v>
      </c>
      <c r="J284" s="15" t="s">
        <v>2191</v>
      </c>
      <c r="K284" s="15" t="s">
        <v>2192</v>
      </c>
      <c r="L284" s="15" t="s">
        <v>2184</v>
      </c>
      <c r="M284" s="15" t="s">
        <v>1478</v>
      </c>
      <c r="N284" s="15"/>
    </row>
    <row r="285" customFormat="false" ht="39" hidden="false" customHeight="true" outlineLevel="0" collapsed="false">
      <c r="A285" s="15" t="s">
        <v>2523</v>
      </c>
      <c r="B285" s="15" t="s">
        <v>312</v>
      </c>
      <c r="C285" s="15" t="s">
        <v>353</v>
      </c>
      <c r="D285" s="15" t="s">
        <v>2383</v>
      </c>
      <c r="E285" s="15" t="s">
        <v>2234</v>
      </c>
      <c r="F285" s="15" t="s">
        <v>2190</v>
      </c>
      <c r="G285" s="15" t="s">
        <v>120</v>
      </c>
      <c r="H285" s="15" t="s">
        <v>1988</v>
      </c>
      <c r="I285" s="23" t="n">
        <v>659</v>
      </c>
      <c r="J285" s="15" t="s">
        <v>2191</v>
      </c>
      <c r="K285" s="15" t="s">
        <v>2192</v>
      </c>
      <c r="L285" s="15" t="s">
        <v>2184</v>
      </c>
      <c r="M285" s="15" t="s">
        <v>1478</v>
      </c>
      <c r="N285" s="15"/>
    </row>
    <row r="286" customFormat="false" ht="39" hidden="false" customHeight="true" outlineLevel="0" collapsed="false">
      <c r="A286" s="15" t="s">
        <v>2524</v>
      </c>
      <c r="B286" s="15" t="s">
        <v>312</v>
      </c>
      <c r="C286" s="15" t="s">
        <v>353</v>
      </c>
      <c r="D286" s="15" t="s">
        <v>2250</v>
      </c>
      <c r="E286" s="15" t="s">
        <v>2002</v>
      </c>
      <c r="F286" s="15" t="s">
        <v>2190</v>
      </c>
      <c r="G286" s="15" t="s">
        <v>120</v>
      </c>
      <c r="H286" s="15" t="s">
        <v>1988</v>
      </c>
      <c r="I286" s="23" t="n">
        <v>649</v>
      </c>
      <c r="J286" s="15" t="s">
        <v>2191</v>
      </c>
      <c r="K286" s="15" t="s">
        <v>2192</v>
      </c>
      <c r="L286" s="15" t="s">
        <v>2184</v>
      </c>
      <c r="M286" s="15" t="s">
        <v>1478</v>
      </c>
      <c r="N286" s="15"/>
    </row>
    <row r="287" customFormat="false" ht="39" hidden="false" customHeight="true" outlineLevel="0" collapsed="false">
      <c r="A287" s="15" t="s">
        <v>2525</v>
      </c>
      <c r="B287" s="15" t="s">
        <v>312</v>
      </c>
      <c r="C287" s="15" t="s">
        <v>353</v>
      </c>
      <c r="D287" s="15" t="s">
        <v>2252</v>
      </c>
      <c r="E287" s="15" t="s">
        <v>2027</v>
      </c>
      <c r="F287" s="15" t="s">
        <v>2190</v>
      </c>
      <c r="G287" s="15" t="s">
        <v>120</v>
      </c>
      <c r="H287" s="15" t="s">
        <v>1988</v>
      </c>
      <c r="I287" s="23" t="n">
        <v>599</v>
      </c>
      <c r="J287" s="15" t="s">
        <v>2191</v>
      </c>
      <c r="K287" s="15" t="s">
        <v>2192</v>
      </c>
      <c r="L287" s="15" t="s">
        <v>2184</v>
      </c>
      <c r="M287" s="15" t="s">
        <v>1478</v>
      </c>
      <c r="N287" s="15"/>
    </row>
    <row r="288" customFormat="false" ht="39" hidden="false" customHeight="true" outlineLevel="0" collapsed="false">
      <c r="A288" s="15" t="s">
        <v>2526</v>
      </c>
      <c r="B288" s="15" t="s">
        <v>312</v>
      </c>
      <c r="C288" s="15" t="s">
        <v>353</v>
      </c>
      <c r="D288" s="15" t="s">
        <v>2308</v>
      </c>
      <c r="E288" s="15" t="s">
        <v>2002</v>
      </c>
      <c r="F288" s="15" t="s">
        <v>2190</v>
      </c>
      <c r="G288" s="15" t="s">
        <v>120</v>
      </c>
      <c r="H288" s="15" t="s">
        <v>1988</v>
      </c>
      <c r="I288" s="23" t="n">
        <v>599</v>
      </c>
      <c r="J288" s="15" t="s">
        <v>2191</v>
      </c>
      <c r="K288" s="15" t="s">
        <v>2192</v>
      </c>
      <c r="L288" s="15" t="s">
        <v>2184</v>
      </c>
      <c r="M288" s="15" t="s">
        <v>1478</v>
      </c>
      <c r="N288" s="15"/>
    </row>
    <row r="289" customFormat="false" ht="39" hidden="false" customHeight="true" outlineLevel="0" collapsed="false">
      <c r="A289" s="15" t="s">
        <v>2527</v>
      </c>
      <c r="B289" s="15" t="s">
        <v>312</v>
      </c>
      <c r="C289" s="15" t="s">
        <v>353</v>
      </c>
      <c r="D289" s="15" t="s">
        <v>2385</v>
      </c>
      <c r="E289" s="15" t="s">
        <v>2047</v>
      </c>
      <c r="F289" s="15" t="s">
        <v>2190</v>
      </c>
      <c r="G289" s="15" t="s">
        <v>120</v>
      </c>
      <c r="H289" s="15" t="s">
        <v>1988</v>
      </c>
      <c r="I289" s="23" t="n">
        <v>579</v>
      </c>
      <c r="J289" s="15" t="s">
        <v>2191</v>
      </c>
      <c r="K289" s="15" t="s">
        <v>2192</v>
      </c>
      <c r="L289" s="15" t="s">
        <v>2184</v>
      </c>
      <c r="M289" s="15" t="s">
        <v>1478</v>
      </c>
      <c r="N289" s="15"/>
    </row>
    <row r="290" customFormat="false" ht="39" hidden="false" customHeight="true" outlineLevel="0" collapsed="false">
      <c r="A290" s="15" t="s">
        <v>2528</v>
      </c>
      <c r="B290" s="15" t="s">
        <v>312</v>
      </c>
      <c r="C290" s="15" t="s">
        <v>353</v>
      </c>
      <c r="D290" s="15" t="s">
        <v>2310</v>
      </c>
      <c r="E290" s="15" t="s">
        <v>2002</v>
      </c>
      <c r="F290" s="15" t="s">
        <v>2190</v>
      </c>
      <c r="G290" s="15" t="s">
        <v>120</v>
      </c>
      <c r="H290" s="15" t="s">
        <v>1988</v>
      </c>
      <c r="I290" s="23" t="n">
        <v>549</v>
      </c>
      <c r="J290" s="15" t="s">
        <v>2191</v>
      </c>
      <c r="K290" s="15" t="s">
        <v>2192</v>
      </c>
      <c r="L290" s="15" t="s">
        <v>2184</v>
      </c>
      <c r="M290" s="15" t="s">
        <v>1478</v>
      </c>
      <c r="N290" s="15"/>
    </row>
    <row r="291" customFormat="false" ht="39" hidden="false" customHeight="true" outlineLevel="0" collapsed="false">
      <c r="A291" s="15" t="s">
        <v>2529</v>
      </c>
      <c r="B291" s="15" t="s">
        <v>312</v>
      </c>
      <c r="C291" s="15" t="s">
        <v>353</v>
      </c>
      <c r="D291" s="15" t="s">
        <v>2312</v>
      </c>
      <c r="E291" s="15" t="s">
        <v>2002</v>
      </c>
      <c r="F291" s="15" t="s">
        <v>2190</v>
      </c>
      <c r="G291" s="15" t="s">
        <v>120</v>
      </c>
      <c r="H291" s="15" t="s">
        <v>1988</v>
      </c>
      <c r="I291" s="23" t="n">
        <v>549</v>
      </c>
      <c r="J291" s="15" t="s">
        <v>2191</v>
      </c>
      <c r="K291" s="15" t="s">
        <v>2192</v>
      </c>
      <c r="L291" s="15" t="s">
        <v>2184</v>
      </c>
      <c r="M291" s="15" t="s">
        <v>1478</v>
      </c>
      <c r="N291" s="15"/>
    </row>
    <row r="292" customFormat="false" ht="39" hidden="false" customHeight="true" outlineLevel="0" collapsed="false">
      <c r="A292" s="15" t="s">
        <v>2530</v>
      </c>
      <c r="B292" s="15" t="s">
        <v>312</v>
      </c>
      <c r="C292" s="15" t="s">
        <v>353</v>
      </c>
      <c r="D292" s="15" t="s">
        <v>2387</v>
      </c>
      <c r="E292" s="15" t="s">
        <v>2234</v>
      </c>
      <c r="F292" s="15" t="s">
        <v>2190</v>
      </c>
      <c r="G292" s="15" t="s">
        <v>120</v>
      </c>
      <c r="H292" s="15" t="s">
        <v>1988</v>
      </c>
      <c r="I292" s="23" t="n">
        <v>549</v>
      </c>
      <c r="J292" s="15" t="s">
        <v>2191</v>
      </c>
      <c r="K292" s="15" t="s">
        <v>2192</v>
      </c>
      <c r="L292" s="15" t="s">
        <v>2184</v>
      </c>
      <c r="M292" s="15" t="s">
        <v>1478</v>
      </c>
      <c r="N292" s="15"/>
    </row>
    <row r="293" customFormat="false" ht="39" hidden="false" customHeight="true" outlineLevel="0" collapsed="false">
      <c r="A293" s="15" t="s">
        <v>2531</v>
      </c>
      <c r="B293" s="15" t="s">
        <v>312</v>
      </c>
      <c r="C293" s="15" t="s">
        <v>353</v>
      </c>
      <c r="D293" s="15" t="s">
        <v>2272</v>
      </c>
      <c r="E293" s="15" t="s">
        <v>2002</v>
      </c>
      <c r="F293" s="15" t="s">
        <v>2190</v>
      </c>
      <c r="G293" s="15" t="s">
        <v>120</v>
      </c>
      <c r="H293" s="15" t="s">
        <v>1988</v>
      </c>
      <c r="I293" s="23" t="n">
        <v>499</v>
      </c>
      <c r="J293" s="15" t="s">
        <v>2191</v>
      </c>
      <c r="K293" s="15" t="s">
        <v>2192</v>
      </c>
      <c r="L293" s="15" t="s">
        <v>2184</v>
      </c>
      <c r="M293" s="15" t="s">
        <v>1478</v>
      </c>
      <c r="N293" s="15"/>
    </row>
    <row r="294" customFormat="false" ht="39" hidden="false" customHeight="true" outlineLevel="0" collapsed="false">
      <c r="A294" s="15" t="s">
        <v>2532</v>
      </c>
      <c r="B294" s="15" t="s">
        <v>312</v>
      </c>
      <c r="C294" s="15" t="s">
        <v>353</v>
      </c>
      <c r="D294" s="15" t="s">
        <v>2389</v>
      </c>
      <c r="E294" s="15" t="s">
        <v>2234</v>
      </c>
      <c r="F294" s="15" t="s">
        <v>2190</v>
      </c>
      <c r="G294" s="15" t="s">
        <v>120</v>
      </c>
      <c r="H294" s="15" t="s">
        <v>1988</v>
      </c>
      <c r="I294" s="23" t="n">
        <v>499</v>
      </c>
      <c r="J294" s="15" t="s">
        <v>2191</v>
      </c>
      <c r="K294" s="15" t="s">
        <v>2192</v>
      </c>
      <c r="L294" s="15" t="s">
        <v>2184</v>
      </c>
      <c r="M294" s="15" t="s">
        <v>1478</v>
      </c>
      <c r="N294" s="15"/>
    </row>
    <row r="295" customFormat="false" ht="39" hidden="false" customHeight="true" outlineLevel="0" collapsed="false">
      <c r="A295" s="15" t="s">
        <v>2533</v>
      </c>
      <c r="B295" s="15" t="s">
        <v>312</v>
      </c>
      <c r="C295" s="15" t="s">
        <v>353</v>
      </c>
      <c r="D295" s="15" t="s">
        <v>2274</v>
      </c>
      <c r="E295" s="15" t="s">
        <v>2002</v>
      </c>
      <c r="F295" s="15" t="s">
        <v>2190</v>
      </c>
      <c r="G295" s="15" t="s">
        <v>120</v>
      </c>
      <c r="H295" s="15" t="s">
        <v>1988</v>
      </c>
      <c r="I295" s="23" t="n">
        <v>449</v>
      </c>
      <c r="J295" s="15" t="s">
        <v>2191</v>
      </c>
      <c r="K295" s="15" t="s">
        <v>2192</v>
      </c>
      <c r="L295" s="15" t="s">
        <v>2184</v>
      </c>
      <c r="M295" s="15" t="s">
        <v>1478</v>
      </c>
      <c r="N295" s="15"/>
    </row>
    <row r="296" customFormat="false" ht="39" hidden="false" customHeight="true" outlineLevel="0" collapsed="false">
      <c r="A296" s="15" t="s">
        <v>2534</v>
      </c>
      <c r="B296" s="15" t="s">
        <v>312</v>
      </c>
      <c r="C296" s="15" t="s">
        <v>353</v>
      </c>
      <c r="D296" s="15" t="s">
        <v>2391</v>
      </c>
      <c r="E296" s="15" t="s">
        <v>2234</v>
      </c>
      <c r="F296" s="15" t="s">
        <v>2190</v>
      </c>
      <c r="G296" s="15" t="s">
        <v>120</v>
      </c>
      <c r="H296" s="15" t="s">
        <v>1988</v>
      </c>
      <c r="I296" s="23" t="n">
        <v>444</v>
      </c>
      <c r="J296" s="15" t="s">
        <v>2191</v>
      </c>
      <c r="K296" s="15" t="s">
        <v>2192</v>
      </c>
      <c r="L296" s="15" t="s">
        <v>2184</v>
      </c>
      <c r="M296" s="15" t="s">
        <v>1478</v>
      </c>
      <c r="N296" s="15"/>
    </row>
    <row r="297" customFormat="false" ht="39" hidden="false" customHeight="true" outlineLevel="0" collapsed="false">
      <c r="A297" s="15" t="s">
        <v>2535</v>
      </c>
      <c r="B297" s="15" t="s">
        <v>312</v>
      </c>
      <c r="C297" s="15" t="s">
        <v>353</v>
      </c>
      <c r="D297" s="15" t="s">
        <v>2314</v>
      </c>
      <c r="E297" s="15" t="s">
        <v>2234</v>
      </c>
      <c r="F297" s="15" t="s">
        <v>2190</v>
      </c>
      <c r="G297" s="15" t="s">
        <v>120</v>
      </c>
      <c r="H297" s="15" t="s">
        <v>1988</v>
      </c>
      <c r="I297" s="23" t="n">
        <v>439</v>
      </c>
      <c r="J297" s="15" t="s">
        <v>2191</v>
      </c>
      <c r="K297" s="15" t="s">
        <v>2192</v>
      </c>
      <c r="L297" s="15" t="s">
        <v>2184</v>
      </c>
      <c r="M297" s="15" t="s">
        <v>1478</v>
      </c>
      <c r="N297" s="15"/>
    </row>
    <row r="298" customFormat="false" ht="39" hidden="false" customHeight="true" outlineLevel="0" collapsed="false">
      <c r="A298" s="15" t="s">
        <v>2536</v>
      </c>
      <c r="B298" s="15" t="s">
        <v>312</v>
      </c>
      <c r="C298" s="15" t="s">
        <v>353</v>
      </c>
      <c r="D298" s="15" t="s">
        <v>2393</v>
      </c>
      <c r="E298" s="15" t="s">
        <v>2234</v>
      </c>
      <c r="F298" s="15" t="s">
        <v>2190</v>
      </c>
      <c r="G298" s="15" t="s">
        <v>120</v>
      </c>
      <c r="H298" s="15" t="s">
        <v>1988</v>
      </c>
      <c r="I298" s="23" t="n">
        <v>431</v>
      </c>
      <c r="J298" s="15" t="s">
        <v>2191</v>
      </c>
      <c r="K298" s="15" t="s">
        <v>2192</v>
      </c>
      <c r="L298" s="15" t="s">
        <v>2184</v>
      </c>
      <c r="M298" s="15" t="s">
        <v>1478</v>
      </c>
      <c r="N298" s="15"/>
    </row>
    <row r="299" customFormat="false" ht="39" hidden="false" customHeight="true" outlineLevel="0" collapsed="false">
      <c r="A299" s="15" t="s">
        <v>2537</v>
      </c>
      <c r="B299" s="15" t="s">
        <v>312</v>
      </c>
      <c r="C299" s="15" t="s">
        <v>353</v>
      </c>
      <c r="D299" s="15" t="s">
        <v>2395</v>
      </c>
      <c r="E299" s="15" t="s">
        <v>2234</v>
      </c>
      <c r="F299" s="15" t="s">
        <v>2190</v>
      </c>
      <c r="G299" s="15" t="s">
        <v>120</v>
      </c>
      <c r="H299" s="15" t="s">
        <v>1988</v>
      </c>
      <c r="I299" s="23" t="n">
        <v>419</v>
      </c>
      <c r="J299" s="15" t="s">
        <v>2191</v>
      </c>
      <c r="K299" s="15" t="s">
        <v>2192</v>
      </c>
      <c r="L299" s="15" t="s">
        <v>2184</v>
      </c>
      <c r="M299" s="15" t="s">
        <v>1478</v>
      </c>
      <c r="N299" s="15"/>
    </row>
    <row r="300" customFormat="false" ht="39" hidden="false" customHeight="true" outlineLevel="0" collapsed="false">
      <c r="A300" s="15" t="s">
        <v>2538</v>
      </c>
      <c r="B300" s="15" t="s">
        <v>312</v>
      </c>
      <c r="C300" s="15" t="s">
        <v>353</v>
      </c>
      <c r="D300" s="15" t="s">
        <v>2397</v>
      </c>
      <c r="E300" s="15" t="s">
        <v>2234</v>
      </c>
      <c r="F300" s="15" t="s">
        <v>2190</v>
      </c>
      <c r="G300" s="15" t="s">
        <v>120</v>
      </c>
      <c r="H300" s="15" t="s">
        <v>1988</v>
      </c>
      <c r="I300" s="23" t="n">
        <v>419</v>
      </c>
      <c r="J300" s="15" t="s">
        <v>2191</v>
      </c>
      <c r="K300" s="15" t="s">
        <v>2192</v>
      </c>
      <c r="L300" s="15" t="s">
        <v>2184</v>
      </c>
      <c r="M300" s="15" t="s">
        <v>1478</v>
      </c>
      <c r="N300" s="15"/>
    </row>
    <row r="301" customFormat="false" ht="39" hidden="false" customHeight="true" outlineLevel="0" collapsed="false">
      <c r="A301" s="15" t="s">
        <v>2539</v>
      </c>
      <c r="B301" s="15" t="s">
        <v>312</v>
      </c>
      <c r="C301" s="15" t="s">
        <v>353</v>
      </c>
      <c r="D301" s="15" t="s">
        <v>2399</v>
      </c>
      <c r="E301" s="15" t="s">
        <v>2234</v>
      </c>
      <c r="F301" s="15" t="s">
        <v>2190</v>
      </c>
      <c r="G301" s="15" t="s">
        <v>120</v>
      </c>
      <c r="H301" s="15" t="s">
        <v>1988</v>
      </c>
      <c r="I301" s="23" t="n">
        <v>399</v>
      </c>
      <c r="J301" s="15" t="s">
        <v>2191</v>
      </c>
      <c r="K301" s="15" t="s">
        <v>2192</v>
      </c>
      <c r="L301" s="15" t="s">
        <v>2184</v>
      </c>
      <c r="M301" s="15" t="s">
        <v>1478</v>
      </c>
      <c r="N301" s="15"/>
    </row>
    <row r="302" customFormat="false" ht="39" hidden="false" customHeight="true" outlineLevel="0" collapsed="false">
      <c r="A302" s="15" t="s">
        <v>2540</v>
      </c>
      <c r="B302" s="15" t="s">
        <v>312</v>
      </c>
      <c r="C302" s="15" t="s">
        <v>353</v>
      </c>
      <c r="D302" s="15" t="s">
        <v>2276</v>
      </c>
      <c r="E302" s="15" t="s">
        <v>2002</v>
      </c>
      <c r="F302" s="15" t="s">
        <v>2190</v>
      </c>
      <c r="G302" s="15" t="s">
        <v>120</v>
      </c>
      <c r="H302" s="15" t="s">
        <v>1988</v>
      </c>
      <c r="I302" s="23" t="n">
        <v>399</v>
      </c>
      <c r="J302" s="15" t="s">
        <v>2191</v>
      </c>
      <c r="K302" s="15" t="s">
        <v>2192</v>
      </c>
      <c r="L302" s="15" t="s">
        <v>2184</v>
      </c>
      <c r="M302" s="15" t="s">
        <v>1478</v>
      </c>
      <c r="N302" s="15"/>
    </row>
    <row r="303" customFormat="false" ht="39" hidden="false" customHeight="true" outlineLevel="0" collapsed="false">
      <c r="A303" s="15" t="s">
        <v>2541</v>
      </c>
      <c r="B303" s="15" t="s">
        <v>312</v>
      </c>
      <c r="C303" s="15" t="s">
        <v>353</v>
      </c>
      <c r="D303" s="15" t="s">
        <v>2401</v>
      </c>
      <c r="E303" s="15" t="s">
        <v>2331</v>
      </c>
      <c r="F303" s="15" t="s">
        <v>2190</v>
      </c>
      <c r="G303" s="15" t="s">
        <v>120</v>
      </c>
      <c r="H303" s="15" t="s">
        <v>1988</v>
      </c>
      <c r="I303" s="23" t="n">
        <v>399</v>
      </c>
      <c r="J303" s="15" t="s">
        <v>2191</v>
      </c>
      <c r="K303" s="15" t="s">
        <v>2192</v>
      </c>
      <c r="L303" s="15" t="s">
        <v>2184</v>
      </c>
      <c r="M303" s="15" t="s">
        <v>1478</v>
      </c>
      <c r="N303" s="15"/>
    </row>
    <row r="304" customFormat="false" ht="39" hidden="false" customHeight="true" outlineLevel="0" collapsed="false">
      <c r="A304" s="15" t="s">
        <v>2542</v>
      </c>
      <c r="B304" s="15" t="s">
        <v>312</v>
      </c>
      <c r="C304" s="15" t="s">
        <v>353</v>
      </c>
      <c r="D304" s="15" t="s">
        <v>2278</v>
      </c>
      <c r="E304" s="15" t="s">
        <v>2002</v>
      </c>
      <c r="F304" s="15" t="s">
        <v>2190</v>
      </c>
      <c r="G304" s="15" t="s">
        <v>120</v>
      </c>
      <c r="H304" s="15" t="s">
        <v>1988</v>
      </c>
      <c r="I304" s="23" t="n">
        <v>349</v>
      </c>
      <c r="J304" s="15" t="s">
        <v>2191</v>
      </c>
      <c r="K304" s="15" t="s">
        <v>2192</v>
      </c>
      <c r="L304" s="15" t="s">
        <v>2184</v>
      </c>
      <c r="M304" s="15" t="s">
        <v>1478</v>
      </c>
      <c r="N304" s="15"/>
    </row>
    <row r="305" customFormat="false" ht="39" hidden="false" customHeight="true" outlineLevel="0" collapsed="false">
      <c r="A305" s="15" t="s">
        <v>2543</v>
      </c>
      <c r="B305" s="15" t="s">
        <v>312</v>
      </c>
      <c r="C305" s="15" t="s">
        <v>353</v>
      </c>
      <c r="D305" s="15" t="s">
        <v>2282</v>
      </c>
      <c r="E305" s="15" t="s">
        <v>2002</v>
      </c>
      <c r="F305" s="15" t="s">
        <v>2190</v>
      </c>
      <c r="G305" s="15" t="s">
        <v>120</v>
      </c>
      <c r="H305" s="15" t="s">
        <v>1988</v>
      </c>
      <c r="I305" s="23" t="n">
        <v>339</v>
      </c>
      <c r="J305" s="15" t="s">
        <v>2191</v>
      </c>
      <c r="K305" s="15" t="s">
        <v>2192</v>
      </c>
      <c r="L305" s="15" t="s">
        <v>2184</v>
      </c>
      <c r="M305" s="15" t="s">
        <v>1478</v>
      </c>
      <c r="N305" s="15"/>
    </row>
    <row r="306" customFormat="false" ht="39" hidden="false" customHeight="true" outlineLevel="0" collapsed="false">
      <c r="A306" s="15" t="s">
        <v>2544</v>
      </c>
      <c r="B306" s="15" t="s">
        <v>312</v>
      </c>
      <c r="C306" s="15" t="s">
        <v>353</v>
      </c>
      <c r="D306" s="15" t="s">
        <v>2284</v>
      </c>
      <c r="E306" s="15" t="s">
        <v>2002</v>
      </c>
      <c r="F306" s="15" t="s">
        <v>2190</v>
      </c>
      <c r="G306" s="15" t="s">
        <v>120</v>
      </c>
      <c r="H306" s="15" t="s">
        <v>1988</v>
      </c>
      <c r="I306" s="23" t="n">
        <v>339</v>
      </c>
      <c r="J306" s="15" t="s">
        <v>2191</v>
      </c>
      <c r="K306" s="15" t="s">
        <v>2192</v>
      </c>
      <c r="L306" s="15" t="s">
        <v>2184</v>
      </c>
      <c r="M306" s="15" t="s">
        <v>1478</v>
      </c>
      <c r="N306" s="15"/>
    </row>
    <row r="307" customFormat="false" ht="39" hidden="false" customHeight="true" outlineLevel="0" collapsed="false">
      <c r="A307" s="15" t="s">
        <v>2545</v>
      </c>
      <c r="B307" s="15" t="s">
        <v>312</v>
      </c>
      <c r="C307" s="15" t="s">
        <v>353</v>
      </c>
      <c r="D307" s="15" t="s">
        <v>2280</v>
      </c>
      <c r="E307" s="15" t="s">
        <v>2002</v>
      </c>
      <c r="F307" s="15" t="s">
        <v>2190</v>
      </c>
      <c r="G307" s="15" t="s">
        <v>120</v>
      </c>
      <c r="H307" s="15" t="s">
        <v>1988</v>
      </c>
      <c r="I307" s="23" t="n">
        <v>339</v>
      </c>
      <c r="J307" s="15" t="s">
        <v>2191</v>
      </c>
      <c r="K307" s="15" t="s">
        <v>2192</v>
      </c>
      <c r="L307" s="15" t="s">
        <v>2184</v>
      </c>
      <c r="M307" s="15" t="s">
        <v>1478</v>
      </c>
      <c r="N307" s="15"/>
    </row>
    <row r="308" customFormat="false" ht="39" hidden="false" customHeight="true" outlineLevel="0" collapsed="false">
      <c r="A308" s="15" t="s">
        <v>2546</v>
      </c>
      <c r="B308" s="15" t="s">
        <v>312</v>
      </c>
      <c r="C308" s="15" t="s">
        <v>353</v>
      </c>
      <c r="D308" s="15" t="s">
        <v>2286</v>
      </c>
      <c r="E308" s="15" t="s">
        <v>2002</v>
      </c>
      <c r="F308" s="15" t="s">
        <v>2190</v>
      </c>
      <c r="G308" s="15" t="s">
        <v>120</v>
      </c>
      <c r="H308" s="15" t="s">
        <v>1988</v>
      </c>
      <c r="I308" s="23" t="n">
        <v>333</v>
      </c>
      <c r="J308" s="15" t="s">
        <v>2191</v>
      </c>
      <c r="K308" s="15" t="s">
        <v>2192</v>
      </c>
      <c r="L308" s="15" t="s">
        <v>2184</v>
      </c>
      <c r="M308" s="15" t="s">
        <v>1478</v>
      </c>
      <c r="N308" s="15"/>
    </row>
    <row r="309" customFormat="false" ht="39" hidden="false" customHeight="true" outlineLevel="0" collapsed="false">
      <c r="A309" s="15" t="s">
        <v>2547</v>
      </c>
      <c r="B309" s="15" t="s">
        <v>312</v>
      </c>
      <c r="C309" s="15" t="s">
        <v>353</v>
      </c>
      <c r="D309" s="15" t="s">
        <v>2403</v>
      </c>
      <c r="E309" s="15" t="s">
        <v>2234</v>
      </c>
      <c r="F309" s="15" t="s">
        <v>2190</v>
      </c>
      <c r="G309" s="15" t="s">
        <v>120</v>
      </c>
      <c r="H309" s="15" t="s">
        <v>1988</v>
      </c>
      <c r="I309" s="23" t="n">
        <v>330</v>
      </c>
      <c r="J309" s="15" t="s">
        <v>2191</v>
      </c>
      <c r="K309" s="15" t="s">
        <v>2192</v>
      </c>
      <c r="L309" s="15" t="s">
        <v>2184</v>
      </c>
      <c r="M309" s="15" t="s">
        <v>1478</v>
      </c>
      <c r="N309" s="15"/>
    </row>
    <row r="310" customFormat="false" ht="39" hidden="false" customHeight="true" outlineLevel="0" collapsed="false">
      <c r="A310" s="15" t="s">
        <v>2548</v>
      </c>
      <c r="B310" s="15" t="s">
        <v>312</v>
      </c>
      <c r="C310" s="15" t="s">
        <v>353</v>
      </c>
      <c r="D310" s="15" t="s">
        <v>2405</v>
      </c>
      <c r="E310" s="15" t="s">
        <v>2002</v>
      </c>
      <c r="F310" s="15" t="s">
        <v>2190</v>
      </c>
      <c r="G310" s="15" t="s">
        <v>120</v>
      </c>
      <c r="H310" s="15" t="s">
        <v>1988</v>
      </c>
      <c r="I310" s="23" t="n">
        <v>329</v>
      </c>
      <c r="J310" s="15" t="s">
        <v>2191</v>
      </c>
      <c r="K310" s="15" t="s">
        <v>2192</v>
      </c>
      <c r="L310" s="15" t="s">
        <v>2184</v>
      </c>
      <c r="M310" s="15" t="s">
        <v>1478</v>
      </c>
      <c r="N310" s="15"/>
    </row>
    <row r="311" customFormat="false" ht="39" hidden="false" customHeight="true" outlineLevel="0" collapsed="false">
      <c r="A311" s="15" t="s">
        <v>2549</v>
      </c>
      <c r="B311" s="15" t="s">
        <v>312</v>
      </c>
      <c r="C311" s="15" t="s">
        <v>353</v>
      </c>
      <c r="D311" s="15" t="s">
        <v>2409</v>
      </c>
      <c r="E311" s="15" t="s">
        <v>2234</v>
      </c>
      <c r="F311" s="15" t="s">
        <v>2190</v>
      </c>
      <c r="G311" s="15" t="s">
        <v>120</v>
      </c>
      <c r="H311" s="15" t="s">
        <v>1988</v>
      </c>
      <c r="I311" s="23" t="n">
        <v>319</v>
      </c>
      <c r="J311" s="15" t="s">
        <v>2191</v>
      </c>
      <c r="K311" s="15" t="s">
        <v>2192</v>
      </c>
      <c r="L311" s="15" t="s">
        <v>2184</v>
      </c>
      <c r="M311" s="15" t="s">
        <v>1478</v>
      </c>
      <c r="N311" s="15"/>
    </row>
    <row r="312" customFormat="false" ht="39" hidden="false" customHeight="true" outlineLevel="0" collapsed="false">
      <c r="A312" s="15" t="s">
        <v>2550</v>
      </c>
      <c r="B312" s="15" t="s">
        <v>312</v>
      </c>
      <c r="C312" s="15" t="s">
        <v>353</v>
      </c>
      <c r="D312" s="15" t="s">
        <v>2411</v>
      </c>
      <c r="E312" s="15" t="s">
        <v>2234</v>
      </c>
      <c r="F312" s="15" t="s">
        <v>2190</v>
      </c>
      <c r="G312" s="15" t="s">
        <v>120</v>
      </c>
      <c r="H312" s="15" t="s">
        <v>1988</v>
      </c>
      <c r="I312" s="23" t="n">
        <v>319</v>
      </c>
      <c r="J312" s="15" t="s">
        <v>2191</v>
      </c>
      <c r="K312" s="15" t="s">
        <v>2192</v>
      </c>
      <c r="L312" s="15" t="s">
        <v>2184</v>
      </c>
      <c r="M312" s="15" t="s">
        <v>1478</v>
      </c>
      <c r="N312" s="15"/>
    </row>
    <row r="313" customFormat="false" ht="39" hidden="false" customHeight="true" outlineLevel="0" collapsed="false">
      <c r="A313" s="15" t="s">
        <v>2551</v>
      </c>
      <c r="B313" s="15" t="s">
        <v>312</v>
      </c>
      <c r="C313" s="15" t="s">
        <v>353</v>
      </c>
      <c r="D313" s="15" t="s">
        <v>2407</v>
      </c>
      <c r="E313" s="15" t="s">
        <v>2234</v>
      </c>
      <c r="F313" s="15" t="s">
        <v>2190</v>
      </c>
      <c r="G313" s="15" t="s">
        <v>120</v>
      </c>
      <c r="H313" s="15" t="s">
        <v>1988</v>
      </c>
      <c r="I313" s="23" t="n">
        <v>319</v>
      </c>
      <c r="J313" s="15" t="s">
        <v>2191</v>
      </c>
      <c r="K313" s="15" t="s">
        <v>2192</v>
      </c>
      <c r="L313" s="15" t="s">
        <v>2184</v>
      </c>
      <c r="M313" s="15" t="s">
        <v>1478</v>
      </c>
      <c r="N313" s="15"/>
    </row>
    <row r="314" customFormat="false" ht="39" hidden="false" customHeight="true" outlineLevel="0" collapsed="false">
      <c r="A314" s="15" t="s">
        <v>2552</v>
      </c>
      <c r="B314" s="15" t="s">
        <v>312</v>
      </c>
      <c r="C314" s="15" t="s">
        <v>353</v>
      </c>
      <c r="D314" s="15" t="s">
        <v>2288</v>
      </c>
      <c r="E314" s="15" t="s">
        <v>2002</v>
      </c>
      <c r="F314" s="15" t="s">
        <v>2190</v>
      </c>
      <c r="G314" s="15" t="s">
        <v>120</v>
      </c>
      <c r="H314" s="15" t="s">
        <v>1988</v>
      </c>
      <c r="I314" s="23" t="n">
        <v>299</v>
      </c>
      <c r="J314" s="15" t="s">
        <v>2191</v>
      </c>
      <c r="K314" s="15" t="s">
        <v>2192</v>
      </c>
      <c r="L314" s="15" t="s">
        <v>2184</v>
      </c>
      <c r="M314" s="15" t="s">
        <v>1478</v>
      </c>
      <c r="N314" s="15"/>
    </row>
    <row r="315" customFormat="false" ht="39" hidden="false" customHeight="true" outlineLevel="0" collapsed="false">
      <c r="A315" s="15" t="s">
        <v>2553</v>
      </c>
      <c r="B315" s="15" t="s">
        <v>312</v>
      </c>
      <c r="C315" s="15" t="s">
        <v>353</v>
      </c>
      <c r="D315" s="15" t="s">
        <v>2223</v>
      </c>
      <c r="E315" s="15" t="s">
        <v>2002</v>
      </c>
      <c r="F315" s="15" t="s">
        <v>2190</v>
      </c>
      <c r="G315" s="15" t="s">
        <v>120</v>
      </c>
      <c r="H315" s="15" t="s">
        <v>1988</v>
      </c>
      <c r="I315" s="23" t="n">
        <v>299</v>
      </c>
      <c r="J315" s="15" t="s">
        <v>2191</v>
      </c>
      <c r="K315" s="15" t="s">
        <v>2192</v>
      </c>
      <c r="L315" s="15" t="s">
        <v>2184</v>
      </c>
      <c r="M315" s="15" t="s">
        <v>1478</v>
      </c>
      <c r="N315" s="15"/>
    </row>
    <row r="316" customFormat="false" ht="39" hidden="false" customHeight="true" outlineLevel="0" collapsed="false">
      <c r="A316" s="15" t="s">
        <v>2554</v>
      </c>
      <c r="B316" s="15" t="s">
        <v>312</v>
      </c>
      <c r="C316" s="15" t="s">
        <v>353</v>
      </c>
      <c r="D316" s="15" t="s">
        <v>2413</v>
      </c>
      <c r="E316" s="15" t="s">
        <v>2234</v>
      </c>
      <c r="F316" s="15" t="s">
        <v>2190</v>
      </c>
      <c r="G316" s="15" t="s">
        <v>120</v>
      </c>
      <c r="H316" s="15" t="s">
        <v>1988</v>
      </c>
      <c r="I316" s="23" t="n">
        <v>289</v>
      </c>
      <c r="J316" s="15" t="s">
        <v>2191</v>
      </c>
      <c r="K316" s="15" t="s">
        <v>2192</v>
      </c>
      <c r="L316" s="15" t="s">
        <v>2184</v>
      </c>
      <c r="M316" s="15" t="s">
        <v>1478</v>
      </c>
      <c r="N316" s="15"/>
    </row>
    <row r="317" customFormat="false" ht="39" hidden="false" customHeight="true" outlineLevel="0" collapsed="false">
      <c r="A317" s="15" t="s">
        <v>2555</v>
      </c>
      <c r="B317" s="15" t="s">
        <v>312</v>
      </c>
      <c r="C317" s="15" t="s">
        <v>353</v>
      </c>
      <c r="D317" s="15" t="s">
        <v>2415</v>
      </c>
      <c r="E317" s="15" t="s">
        <v>2234</v>
      </c>
      <c r="F317" s="15" t="s">
        <v>2190</v>
      </c>
      <c r="G317" s="15" t="s">
        <v>120</v>
      </c>
      <c r="H317" s="15" t="s">
        <v>1988</v>
      </c>
      <c r="I317" s="23" t="n">
        <v>269</v>
      </c>
      <c r="J317" s="15" t="s">
        <v>2191</v>
      </c>
      <c r="K317" s="15" t="s">
        <v>2192</v>
      </c>
      <c r="L317" s="15" t="s">
        <v>2184</v>
      </c>
      <c r="M317" s="15" t="s">
        <v>1478</v>
      </c>
      <c r="N317" s="15"/>
    </row>
    <row r="318" customFormat="false" ht="39" hidden="false" customHeight="true" outlineLevel="0" collapsed="false">
      <c r="A318" s="15" t="s">
        <v>2556</v>
      </c>
      <c r="B318" s="15" t="s">
        <v>312</v>
      </c>
      <c r="C318" s="15" t="s">
        <v>353</v>
      </c>
      <c r="D318" s="15" t="s">
        <v>2254</v>
      </c>
      <c r="E318" s="15" t="s">
        <v>2234</v>
      </c>
      <c r="F318" s="15" t="s">
        <v>2190</v>
      </c>
      <c r="G318" s="15" t="s">
        <v>120</v>
      </c>
      <c r="H318" s="15" t="s">
        <v>1988</v>
      </c>
      <c r="I318" s="23" t="n">
        <v>262</v>
      </c>
      <c r="J318" s="15" t="s">
        <v>2191</v>
      </c>
      <c r="K318" s="15" t="s">
        <v>2192</v>
      </c>
      <c r="L318" s="15" t="s">
        <v>2184</v>
      </c>
      <c r="M318" s="15" t="s">
        <v>1478</v>
      </c>
      <c r="N318" s="15"/>
    </row>
    <row r="319" customFormat="false" ht="39" hidden="false" customHeight="true" outlineLevel="0" collapsed="false">
      <c r="A319" s="15" t="s">
        <v>2557</v>
      </c>
      <c r="B319" s="15" t="s">
        <v>312</v>
      </c>
      <c r="C319" s="15" t="s">
        <v>353</v>
      </c>
      <c r="D319" s="15" t="s">
        <v>2417</v>
      </c>
      <c r="E319" s="15" t="s">
        <v>2234</v>
      </c>
      <c r="F319" s="15" t="s">
        <v>2190</v>
      </c>
      <c r="G319" s="15" t="s">
        <v>120</v>
      </c>
      <c r="H319" s="15" t="s">
        <v>1988</v>
      </c>
      <c r="I319" s="23" t="n">
        <v>249</v>
      </c>
      <c r="J319" s="15" t="s">
        <v>2191</v>
      </c>
      <c r="K319" s="15" t="s">
        <v>2192</v>
      </c>
      <c r="L319" s="15" t="s">
        <v>2184</v>
      </c>
      <c r="M319" s="15" t="s">
        <v>1478</v>
      </c>
      <c r="N319" s="15"/>
    </row>
    <row r="320" customFormat="false" ht="39" hidden="false" customHeight="true" outlineLevel="0" collapsed="false">
      <c r="A320" s="15" t="s">
        <v>2558</v>
      </c>
      <c r="B320" s="15" t="s">
        <v>312</v>
      </c>
      <c r="C320" s="15" t="s">
        <v>353</v>
      </c>
      <c r="D320" s="15" t="s">
        <v>2419</v>
      </c>
      <c r="E320" s="15" t="s">
        <v>2234</v>
      </c>
      <c r="F320" s="15" t="s">
        <v>2190</v>
      </c>
      <c r="G320" s="15" t="s">
        <v>120</v>
      </c>
      <c r="H320" s="15" t="s">
        <v>1988</v>
      </c>
      <c r="I320" s="23" t="n">
        <v>243</v>
      </c>
      <c r="J320" s="15" t="s">
        <v>2191</v>
      </c>
      <c r="K320" s="15" t="s">
        <v>2192</v>
      </c>
      <c r="L320" s="15" t="s">
        <v>2184</v>
      </c>
      <c r="M320" s="15" t="s">
        <v>1478</v>
      </c>
      <c r="N320" s="15"/>
    </row>
    <row r="321" customFormat="false" ht="39" hidden="false" customHeight="true" outlineLevel="0" collapsed="false">
      <c r="A321" s="15" t="s">
        <v>2559</v>
      </c>
      <c r="B321" s="15" t="s">
        <v>312</v>
      </c>
      <c r="C321" s="15" t="s">
        <v>353</v>
      </c>
      <c r="D321" s="15" t="s">
        <v>2316</v>
      </c>
      <c r="E321" s="15" t="s">
        <v>2002</v>
      </c>
      <c r="F321" s="15" t="s">
        <v>2190</v>
      </c>
      <c r="G321" s="15" t="s">
        <v>120</v>
      </c>
      <c r="H321" s="15" t="s">
        <v>1988</v>
      </c>
      <c r="I321" s="23" t="n">
        <v>239</v>
      </c>
      <c r="J321" s="15" t="s">
        <v>2191</v>
      </c>
      <c r="K321" s="15" t="s">
        <v>2192</v>
      </c>
      <c r="L321" s="15" t="s">
        <v>2184</v>
      </c>
      <c r="M321" s="15" t="s">
        <v>1478</v>
      </c>
      <c r="N321" s="15"/>
    </row>
    <row r="322" customFormat="false" ht="39" hidden="false" customHeight="true" outlineLevel="0" collapsed="false">
      <c r="A322" s="15" t="s">
        <v>2560</v>
      </c>
      <c r="B322" s="15" t="s">
        <v>312</v>
      </c>
      <c r="C322" s="15" t="s">
        <v>353</v>
      </c>
      <c r="D322" s="15" t="s">
        <v>2421</v>
      </c>
      <c r="E322" s="15" t="s">
        <v>2234</v>
      </c>
      <c r="F322" s="15" t="s">
        <v>2190</v>
      </c>
      <c r="G322" s="15" t="s">
        <v>120</v>
      </c>
      <c r="H322" s="15" t="s">
        <v>1988</v>
      </c>
      <c r="I322" s="23" t="n">
        <v>222</v>
      </c>
      <c r="J322" s="15" t="s">
        <v>2191</v>
      </c>
      <c r="K322" s="15" t="s">
        <v>2192</v>
      </c>
      <c r="L322" s="15" t="s">
        <v>2184</v>
      </c>
      <c r="M322" s="15" t="s">
        <v>1478</v>
      </c>
      <c r="N322" s="15"/>
    </row>
    <row r="323" customFormat="false" ht="39" hidden="false" customHeight="true" outlineLevel="0" collapsed="false">
      <c r="A323" s="15" t="s">
        <v>2561</v>
      </c>
      <c r="B323" s="15" t="s">
        <v>312</v>
      </c>
      <c r="C323" s="15" t="s">
        <v>353</v>
      </c>
      <c r="D323" s="15" t="s">
        <v>2423</v>
      </c>
      <c r="E323" s="15" t="s">
        <v>2234</v>
      </c>
      <c r="F323" s="15" t="s">
        <v>2190</v>
      </c>
      <c r="G323" s="15" t="s">
        <v>120</v>
      </c>
      <c r="H323" s="15" t="s">
        <v>1988</v>
      </c>
      <c r="I323" s="23" t="n">
        <v>222</v>
      </c>
      <c r="J323" s="15" t="s">
        <v>2191</v>
      </c>
      <c r="K323" s="15" t="s">
        <v>2192</v>
      </c>
      <c r="L323" s="15" t="s">
        <v>2184</v>
      </c>
      <c r="M323" s="15" t="s">
        <v>1478</v>
      </c>
      <c r="N323" s="15"/>
    </row>
    <row r="324" customFormat="false" ht="39" hidden="false" customHeight="true" outlineLevel="0" collapsed="false">
      <c r="A324" s="15" t="s">
        <v>2562</v>
      </c>
      <c r="B324" s="15" t="s">
        <v>312</v>
      </c>
      <c r="C324" s="15" t="s">
        <v>353</v>
      </c>
      <c r="D324" s="15" t="s">
        <v>2425</v>
      </c>
      <c r="E324" s="15" t="s">
        <v>2234</v>
      </c>
      <c r="F324" s="15" t="s">
        <v>2190</v>
      </c>
      <c r="G324" s="15" t="s">
        <v>120</v>
      </c>
      <c r="H324" s="15" t="s">
        <v>1988</v>
      </c>
      <c r="I324" s="23" t="n">
        <v>221</v>
      </c>
      <c r="J324" s="15" t="s">
        <v>2191</v>
      </c>
      <c r="K324" s="15" t="s">
        <v>2192</v>
      </c>
      <c r="L324" s="15" t="s">
        <v>2184</v>
      </c>
      <c r="M324" s="15" t="s">
        <v>1478</v>
      </c>
      <c r="N324" s="15"/>
    </row>
    <row r="325" customFormat="false" ht="39" hidden="false" customHeight="true" outlineLevel="0" collapsed="false">
      <c r="A325" s="15" t="s">
        <v>2563</v>
      </c>
      <c r="B325" s="15" t="s">
        <v>312</v>
      </c>
      <c r="C325" s="15" t="s">
        <v>353</v>
      </c>
      <c r="D325" s="15" t="s">
        <v>2427</v>
      </c>
      <c r="E325" s="15" t="s">
        <v>2234</v>
      </c>
      <c r="F325" s="15" t="s">
        <v>2190</v>
      </c>
      <c r="G325" s="15" t="s">
        <v>120</v>
      </c>
      <c r="H325" s="15" t="s">
        <v>1988</v>
      </c>
      <c r="I325" s="23" t="n">
        <v>199</v>
      </c>
      <c r="J325" s="15" t="s">
        <v>2191</v>
      </c>
      <c r="K325" s="15" t="s">
        <v>2192</v>
      </c>
      <c r="L325" s="15" t="s">
        <v>2184</v>
      </c>
      <c r="M325" s="15" t="s">
        <v>1478</v>
      </c>
      <c r="N325" s="15"/>
    </row>
    <row r="326" customFormat="false" ht="39" hidden="false" customHeight="true" outlineLevel="0" collapsed="false">
      <c r="A326" s="15" t="s">
        <v>2564</v>
      </c>
      <c r="B326" s="15" t="s">
        <v>312</v>
      </c>
      <c r="C326" s="15" t="s">
        <v>353</v>
      </c>
      <c r="D326" s="15" t="s">
        <v>2429</v>
      </c>
      <c r="E326" s="15" t="s">
        <v>2234</v>
      </c>
      <c r="F326" s="15" t="s">
        <v>2190</v>
      </c>
      <c r="G326" s="15" t="s">
        <v>120</v>
      </c>
      <c r="H326" s="15" t="s">
        <v>1988</v>
      </c>
      <c r="I326" s="23" t="n">
        <v>195</v>
      </c>
      <c r="J326" s="15" t="s">
        <v>2191</v>
      </c>
      <c r="K326" s="15" t="s">
        <v>2192</v>
      </c>
      <c r="L326" s="15" t="s">
        <v>2184</v>
      </c>
      <c r="M326" s="15" t="s">
        <v>1478</v>
      </c>
      <c r="N326" s="15"/>
    </row>
    <row r="327" customFormat="false" ht="39" hidden="false" customHeight="true" outlineLevel="0" collapsed="false">
      <c r="A327" s="15" t="s">
        <v>2565</v>
      </c>
      <c r="B327" s="15" t="s">
        <v>312</v>
      </c>
      <c r="C327" s="15" t="s">
        <v>353</v>
      </c>
      <c r="D327" s="15" t="s">
        <v>2431</v>
      </c>
      <c r="E327" s="15" t="s">
        <v>2234</v>
      </c>
      <c r="F327" s="15" t="s">
        <v>2190</v>
      </c>
      <c r="G327" s="15" t="s">
        <v>120</v>
      </c>
      <c r="H327" s="15" t="s">
        <v>1988</v>
      </c>
      <c r="I327" s="23" t="n">
        <v>195</v>
      </c>
      <c r="J327" s="15" t="s">
        <v>2191</v>
      </c>
      <c r="K327" s="15" t="s">
        <v>2192</v>
      </c>
      <c r="L327" s="15" t="s">
        <v>2184</v>
      </c>
      <c r="M327" s="15" t="s">
        <v>1478</v>
      </c>
      <c r="N327" s="15"/>
    </row>
    <row r="328" customFormat="false" ht="39" hidden="false" customHeight="true" outlineLevel="0" collapsed="false">
      <c r="A328" s="15" t="s">
        <v>2566</v>
      </c>
      <c r="B328" s="15" t="s">
        <v>312</v>
      </c>
      <c r="C328" s="15" t="s">
        <v>353</v>
      </c>
      <c r="D328" s="15" t="s">
        <v>2433</v>
      </c>
      <c r="E328" s="15" t="s">
        <v>2234</v>
      </c>
      <c r="F328" s="15" t="s">
        <v>2190</v>
      </c>
      <c r="G328" s="15" t="s">
        <v>120</v>
      </c>
      <c r="H328" s="15" t="s">
        <v>1988</v>
      </c>
      <c r="I328" s="23" t="n">
        <v>195</v>
      </c>
      <c r="J328" s="15" t="s">
        <v>2191</v>
      </c>
      <c r="K328" s="15" t="s">
        <v>2192</v>
      </c>
      <c r="L328" s="15" t="s">
        <v>2184</v>
      </c>
      <c r="M328" s="15" t="s">
        <v>1478</v>
      </c>
      <c r="N328" s="15"/>
    </row>
    <row r="329" customFormat="false" ht="39" hidden="false" customHeight="true" outlineLevel="0" collapsed="false">
      <c r="A329" s="15" t="s">
        <v>2567</v>
      </c>
      <c r="B329" s="15" t="s">
        <v>312</v>
      </c>
      <c r="C329" s="15" t="s">
        <v>353</v>
      </c>
      <c r="D329" s="15" t="s">
        <v>2435</v>
      </c>
      <c r="E329" s="15" t="s">
        <v>2234</v>
      </c>
      <c r="F329" s="15" t="s">
        <v>2190</v>
      </c>
      <c r="G329" s="15" t="s">
        <v>120</v>
      </c>
      <c r="H329" s="15" t="s">
        <v>1988</v>
      </c>
      <c r="I329" s="23" t="n">
        <v>190</v>
      </c>
      <c r="J329" s="15" t="s">
        <v>2191</v>
      </c>
      <c r="K329" s="15" t="s">
        <v>2192</v>
      </c>
      <c r="L329" s="15" t="s">
        <v>2184</v>
      </c>
      <c r="M329" s="15" t="s">
        <v>1478</v>
      </c>
      <c r="N329" s="15"/>
    </row>
    <row r="330" customFormat="false" ht="39" hidden="false" customHeight="true" outlineLevel="0" collapsed="false">
      <c r="A330" s="15" t="s">
        <v>2568</v>
      </c>
      <c r="B330" s="15" t="s">
        <v>312</v>
      </c>
      <c r="C330" s="15" t="s">
        <v>353</v>
      </c>
      <c r="D330" s="15" t="s">
        <v>2437</v>
      </c>
      <c r="E330" s="15" t="s">
        <v>2234</v>
      </c>
      <c r="F330" s="15" t="s">
        <v>2190</v>
      </c>
      <c r="G330" s="15" t="s">
        <v>120</v>
      </c>
      <c r="H330" s="15" t="s">
        <v>1988</v>
      </c>
      <c r="I330" s="23" t="n">
        <v>177</v>
      </c>
      <c r="J330" s="15" t="s">
        <v>2191</v>
      </c>
      <c r="K330" s="15" t="s">
        <v>2192</v>
      </c>
      <c r="L330" s="15" t="s">
        <v>2184</v>
      </c>
      <c r="M330" s="15" t="s">
        <v>1478</v>
      </c>
      <c r="N330" s="15"/>
    </row>
    <row r="331" customFormat="false" ht="39" hidden="false" customHeight="true" outlineLevel="0" collapsed="false">
      <c r="A331" s="15" t="s">
        <v>2569</v>
      </c>
      <c r="B331" s="15" t="s">
        <v>312</v>
      </c>
      <c r="C331" s="15" t="s">
        <v>353</v>
      </c>
      <c r="D331" s="15" t="s">
        <v>2439</v>
      </c>
      <c r="E331" s="15" t="s">
        <v>2234</v>
      </c>
      <c r="F331" s="15" t="s">
        <v>2190</v>
      </c>
      <c r="G331" s="15" t="s">
        <v>120</v>
      </c>
      <c r="H331" s="15" t="s">
        <v>1988</v>
      </c>
      <c r="I331" s="23" t="n">
        <v>174</v>
      </c>
      <c r="J331" s="15" t="s">
        <v>2191</v>
      </c>
      <c r="K331" s="15" t="s">
        <v>2192</v>
      </c>
      <c r="L331" s="15" t="s">
        <v>2184</v>
      </c>
      <c r="M331" s="15" t="s">
        <v>1478</v>
      </c>
      <c r="N331" s="15"/>
    </row>
    <row r="332" customFormat="false" ht="39" hidden="false" customHeight="true" outlineLevel="0" collapsed="false">
      <c r="A332" s="15" t="s">
        <v>2570</v>
      </c>
      <c r="B332" s="15" t="s">
        <v>312</v>
      </c>
      <c r="C332" s="15" t="s">
        <v>353</v>
      </c>
      <c r="D332" s="15" t="s">
        <v>2441</v>
      </c>
      <c r="E332" s="15" t="s">
        <v>2234</v>
      </c>
      <c r="F332" s="15" t="s">
        <v>2190</v>
      </c>
      <c r="G332" s="15" t="s">
        <v>120</v>
      </c>
      <c r="H332" s="15" t="s">
        <v>1988</v>
      </c>
      <c r="I332" s="23" t="n">
        <v>159</v>
      </c>
      <c r="J332" s="15" t="s">
        <v>2191</v>
      </c>
      <c r="K332" s="15" t="s">
        <v>2192</v>
      </c>
      <c r="L332" s="15" t="s">
        <v>2184</v>
      </c>
      <c r="M332" s="15" t="s">
        <v>1478</v>
      </c>
      <c r="N332" s="15"/>
    </row>
    <row r="333" customFormat="false" ht="39" hidden="false" customHeight="true" outlineLevel="0" collapsed="false">
      <c r="A333" s="15" t="s">
        <v>2571</v>
      </c>
      <c r="B333" s="15" t="s">
        <v>312</v>
      </c>
      <c r="C333" s="15" t="s">
        <v>353</v>
      </c>
      <c r="D333" s="15" t="s">
        <v>2443</v>
      </c>
      <c r="E333" s="15" t="s">
        <v>2234</v>
      </c>
      <c r="F333" s="15" t="s">
        <v>2190</v>
      </c>
      <c r="G333" s="15" t="s">
        <v>120</v>
      </c>
      <c r="H333" s="15" t="s">
        <v>1988</v>
      </c>
      <c r="I333" s="23" t="n">
        <v>99</v>
      </c>
      <c r="J333" s="15" t="s">
        <v>2191</v>
      </c>
      <c r="K333" s="15" t="s">
        <v>2192</v>
      </c>
      <c r="L333" s="15" t="s">
        <v>2184</v>
      </c>
      <c r="M333" s="15" t="s">
        <v>1478</v>
      </c>
      <c r="N333" s="15"/>
    </row>
    <row r="334" customFormat="false" ht="39" hidden="false" customHeight="true" outlineLevel="0" collapsed="false">
      <c r="A334" s="15" t="s">
        <v>2572</v>
      </c>
      <c r="B334" s="15" t="s">
        <v>312</v>
      </c>
      <c r="C334" s="15" t="s">
        <v>353</v>
      </c>
      <c r="D334" s="15" t="s">
        <v>2445</v>
      </c>
      <c r="E334" s="15" t="s">
        <v>2234</v>
      </c>
      <c r="F334" s="15" t="s">
        <v>2190</v>
      </c>
      <c r="G334" s="15" t="s">
        <v>120</v>
      </c>
      <c r="H334" s="15" t="s">
        <v>1988</v>
      </c>
      <c r="I334" s="23" t="n">
        <v>43</v>
      </c>
      <c r="J334" s="15" t="s">
        <v>2191</v>
      </c>
      <c r="K334" s="15" t="s">
        <v>2192</v>
      </c>
      <c r="L334" s="15" t="s">
        <v>2184</v>
      </c>
      <c r="M334" s="15" t="s">
        <v>1478</v>
      </c>
      <c r="N334" s="15"/>
    </row>
    <row r="335" customFormat="false" ht="39" hidden="false" customHeight="true" outlineLevel="0" collapsed="false">
      <c r="A335" s="15" t="s">
        <v>2573</v>
      </c>
      <c r="B335" s="15" t="s">
        <v>312</v>
      </c>
      <c r="C335" s="15" t="s">
        <v>353</v>
      </c>
      <c r="D335" s="15" t="s">
        <v>2447</v>
      </c>
      <c r="E335" s="15" t="s">
        <v>2234</v>
      </c>
      <c r="F335" s="15" t="s">
        <v>2190</v>
      </c>
      <c r="G335" s="15" t="s">
        <v>120</v>
      </c>
      <c r="H335" s="15" t="s">
        <v>1988</v>
      </c>
      <c r="I335" s="23" t="n">
        <v>30</v>
      </c>
      <c r="J335" s="15" t="s">
        <v>2191</v>
      </c>
      <c r="K335" s="15" t="s">
        <v>2192</v>
      </c>
      <c r="L335" s="15" t="s">
        <v>2184</v>
      </c>
      <c r="M335" s="15" t="s">
        <v>1478</v>
      </c>
      <c r="N335" s="15"/>
    </row>
    <row r="336" customFormat="false" ht="39" hidden="false" customHeight="true" outlineLevel="0" collapsed="false">
      <c r="A336" s="15" t="s">
        <v>2574</v>
      </c>
      <c r="B336" s="15" t="s">
        <v>312</v>
      </c>
      <c r="C336" s="15" t="s">
        <v>375</v>
      </c>
      <c r="D336" s="15" t="s">
        <v>2318</v>
      </c>
      <c r="E336" s="15" t="s">
        <v>2027</v>
      </c>
      <c r="F336" s="15" t="s">
        <v>2190</v>
      </c>
      <c r="G336" s="15" t="s">
        <v>120</v>
      </c>
      <c r="H336" s="15" t="s">
        <v>1988</v>
      </c>
      <c r="I336" s="23" t="n">
        <v>28999</v>
      </c>
      <c r="J336" s="15" t="s">
        <v>2191</v>
      </c>
      <c r="K336" s="15" t="s">
        <v>2192</v>
      </c>
      <c r="L336" s="15" t="s">
        <v>2184</v>
      </c>
      <c r="M336" s="15" t="s">
        <v>1478</v>
      </c>
      <c r="N336" s="15"/>
    </row>
    <row r="337" customFormat="false" ht="39" hidden="false" customHeight="true" outlineLevel="0" collapsed="false">
      <c r="A337" s="15" t="s">
        <v>2575</v>
      </c>
      <c r="B337" s="15" t="s">
        <v>312</v>
      </c>
      <c r="C337" s="15" t="s">
        <v>375</v>
      </c>
      <c r="D337" s="15" t="s">
        <v>2330</v>
      </c>
      <c r="E337" s="15" t="s">
        <v>2331</v>
      </c>
      <c r="F337" s="15" t="s">
        <v>2190</v>
      </c>
      <c r="G337" s="15" t="s">
        <v>2332</v>
      </c>
      <c r="H337" s="15" t="s">
        <v>2064</v>
      </c>
      <c r="I337" s="23" t="n">
        <v>27999</v>
      </c>
      <c r="J337" s="15" t="s">
        <v>2191</v>
      </c>
      <c r="K337" s="15" t="s">
        <v>2192</v>
      </c>
      <c r="L337" s="15" t="s">
        <v>2184</v>
      </c>
      <c r="M337" s="15" t="s">
        <v>1478</v>
      </c>
      <c r="N337" s="15" t="s">
        <v>2333</v>
      </c>
    </row>
    <row r="338" customFormat="false" ht="39" hidden="false" customHeight="true" outlineLevel="0" collapsed="false">
      <c r="A338" s="15" t="s">
        <v>2576</v>
      </c>
      <c r="B338" s="15" t="s">
        <v>312</v>
      </c>
      <c r="C338" s="15" t="s">
        <v>375</v>
      </c>
      <c r="D338" s="15" t="s">
        <v>2335</v>
      </c>
      <c r="E338" s="15" t="s">
        <v>2047</v>
      </c>
      <c r="F338" s="15" t="s">
        <v>2190</v>
      </c>
      <c r="G338" s="15" t="s">
        <v>120</v>
      </c>
      <c r="H338" s="15" t="s">
        <v>1988</v>
      </c>
      <c r="I338" s="23" t="n">
        <v>19999</v>
      </c>
      <c r="J338" s="15" t="s">
        <v>2191</v>
      </c>
      <c r="K338" s="15" t="s">
        <v>2192</v>
      </c>
      <c r="L338" s="15" t="s">
        <v>2184</v>
      </c>
      <c r="M338" s="15" t="s">
        <v>1478</v>
      </c>
      <c r="N338" s="15"/>
    </row>
    <row r="339" customFormat="false" ht="39" hidden="false" customHeight="true" outlineLevel="0" collapsed="false">
      <c r="A339" s="15" t="s">
        <v>2577</v>
      </c>
      <c r="B339" s="15" t="s">
        <v>312</v>
      </c>
      <c r="C339" s="15" t="s">
        <v>375</v>
      </c>
      <c r="D339" s="15" t="s">
        <v>2189</v>
      </c>
      <c r="E339" s="15" t="s">
        <v>2002</v>
      </c>
      <c r="F339" s="15" t="s">
        <v>2190</v>
      </c>
      <c r="G339" s="15" t="s">
        <v>120</v>
      </c>
      <c r="H339" s="15" t="s">
        <v>1988</v>
      </c>
      <c r="I339" s="23" t="n">
        <v>17999</v>
      </c>
      <c r="J339" s="15" t="s">
        <v>2191</v>
      </c>
      <c r="K339" s="15" t="s">
        <v>2192</v>
      </c>
      <c r="L339" s="15" t="s">
        <v>2184</v>
      </c>
      <c r="M339" s="15" t="s">
        <v>1478</v>
      </c>
      <c r="N339" s="15"/>
    </row>
    <row r="340" customFormat="false" ht="39" hidden="false" customHeight="true" outlineLevel="0" collapsed="false">
      <c r="A340" s="15" t="s">
        <v>2578</v>
      </c>
      <c r="B340" s="15" t="s">
        <v>312</v>
      </c>
      <c r="C340" s="15" t="s">
        <v>375</v>
      </c>
      <c r="D340" s="15" t="s">
        <v>2337</v>
      </c>
      <c r="E340" s="15" t="s">
        <v>2331</v>
      </c>
      <c r="F340" s="15" t="s">
        <v>2190</v>
      </c>
      <c r="G340" s="15" t="s">
        <v>2332</v>
      </c>
      <c r="H340" s="15" t="s">
        <v>2064</v>
      </c>
      <c r="I340" s="23" t="n">
        <v>14399</v>
      </c>
      <c r="J340" s="15" t="s">
        <v>2191</v>
      </c>
      <c r="K340" s="15" t="s">
        <v>2192</v>
      </c>
      <c r="L340" s="15" t="s">
        <v>2184</v>
      </c>
      <c r="M340" s="15" t="s">
        <v>1478</v>
      </c>
      <c r="N340" s="15" t="s">
        <v>2333</v>
      </c>
    </row>
    <row r="341" customFormat="false" ht="39" hidden="false" customHeight="true" outlineLevel="0" collapsed="false">
      <c r="A341" s="15" t="s">
        <v>2579</v>
      </c>
      <c r="B341" s="15" t="s">
        <v>312</v>
      </c>
      <c r="C341" s="15" t="s">
        <v>375</v>
      </c>
      <c r="D341" s="15" t="s">
        <v>2290</v>
      </c>
      <c r="E341" s="15" t="s">
        <v>2234</v>
      </c>
      <c r="F341" s="15" t="s">
        <v>2190</v>
      </c>
      <c r="G341" s="15" t="s">
        <v>120</v>
      </c>
      <c r="H341" s="15" t="s">
        <v>1988</v>
      </c>
      <c r="I341" s="23" t="n">
        <v>12999</v>
      </c>
      <c r="J341" s="15" t="s">
        <v>2191</v>
      </c>
      <c r="K341" s="15" t="s">
        <v>2192</v>
      </c>
      <c r="L341" s="15" t="s">
        <v>2184</v>
      </c>
      <c r="M341" s="15" t="s">
        <v>1478</v>
      </c>
      <c r="N341" s="15" t="s">
        <v>2580</v>
      </c>
    </row>
    <row r="342" customFormat="false" ht="39" hidden="false" customHeight="true" outlineLevel="0" collapsed="false">
      <c r="A342" s="15" t="s">
        <v>2581</v>
      </c>
      <c r="B342" s="15" t="s">
        <v>312</v>
      </c>
      <c r="C342" s="15" t="s">
        <v>375</v>
      </c>
      <c r="D342" s="15" t="s">
        <v>2292</v>
      </c>
      <c r="E342" s="15" t="s">
        <v>2234</v>
      </c>
      <c r="F342" s="15" t="s">
        <v>2190</v>
      </c>
      <c r="G342" s="15" t="s">
        <v>120</v>
      </c>
      <c r="H342" s="15" t="s">
        <v>1988</v>
      </c>
      <c r="I342" s="23" t="n">
        <v>11999</v>
      </c>
      <c r="J342" s="15" t="s">
        <v>2191</v>
      </c>
      <c r="K342" s="15" t="s">
        <v>2192</v>
      </c>
      <c r="L342" s="15" t="s">
        <v>2184</v>
      </c>
      <c r="M342" s="15" t="s">
        <v>1478</v>
      </c>
      <c r="N342" s="15"/>
    </row>
    <row r="343" customFormat="false" ht="39" hidden="false" customHeight="true" outlineLevel="0" collapsed="false">
      <c r="A343" s="15" t="s">
        <v>2582</v>
      </c>
      <c r="B343" s="15" t="s">
        <v>312</v>
      </c>
      <c r="C343" s="15" t="s">
        <v>375</v>
      </c>
      <c r="D343" s="15" t="s">
        <v>2339</v>
      </c>
      <c r="E343" s="15" t="s">
        <v>2331</v>
      </c>
      <c r="F343" s="15" t="s">
        <v>2190</v>
      </c>
      <c r="G343" s="15" t="s">
        <v>2332</v>
      </c>
      <c r="H343" s="15" t="s">
        <v>2064</v>
      </c>
      <c r="I343" s="23" t="n">
        <v>9599</v>
      </c>
      <c r="J343" s="15" t="s">
        <v>2191</v>
      </c>
      <c r="K343" s="15" t="s">
        <v>2192</v>
      </c>
      <c r="L343" s="15" t="s">
        <v>2184</v>
      </c>
      <c r="M343" s="15" t="s">
        <v>1478</v>
      </c>
      <c r="N343" s="15" t="s">
        <v>2333</v>
      </c>
    </row>
    <row r="344" customFormat="false" ht="39" hidden="false" customHeight="true" outlineLevel="0" collapsed="false">
      <c r="A344" s="15" t="s">
        <v>2583</v>
      </c>
      <c r="B344" s="15" t="s">
        <v>312</v>
      </c>
      <c r="C344" s="15" t="s">
        <v>375</v>
      </c>
      <c r="D344" s="15" t="s">
        <v>2584</v>
      </c>
      <c r="E344" s="15" t="s">
        <v>1986</v>
      </c>
      <c r="F344" s="15" t="s">
        <v>2190</v>
      </c>
      <c r="G344" s="15" t="s">
        <v>2585</v>
      </c>
      <c r="H344" s="15" t="s">
        <v>1998</v>
      </c>
      <c r="I344" s="23" t="n">
        <v>8299</v>
      </c>
      <c r="J344" s="15" t="s">
        <v>2191</v>
      </c>
      <c r="K344" s="15" t="s">
        <v>2192</v>
      </c>
      <c r="L344" s="15" t="s">
        <v>2184</v>
      </c>
      <c r="M344" s="15" t="s">
        <v>1478</v>
      </c>
      <c r="N344" s="15" t="s">
        <v>2586</v>
      </c>
    </row>
    <row r="345" customFormat="false" ht="39" hidden="false" customHeight="true" outlineLevel="0" collapsed="false">
      <c r="A345" s="15" t="s">
        <v>2587</v>
      </c>
      <c r="B345" s="15" t="s">
        <v>312</v>
      </c>
      <c r="C345" s="15" t="s">
        <v>375</v>
      </c>
      <c r="D345" s="15" t="s">
        <v>2341</v>
      </c>
      <c r="E345" s="15" t="s">
        <v>2331</v>
      </c>
      <c r="F345" s="15" t="s">
        <v>2190</v>
      </c>
      <c r="G345" s="15" t="s">
        <v>120</v>
      </c>
      <c r="H345" s="15" t="s">
        <v>1988</v>
      </c>
      <c r="I345" s="23" t="n">
        <v>7254</v>
      </c>
      <c r="J345" s="15" t="s">
        <v>2191</v>
      </c>
      <c r="K345" s="15" t="s">
        <v>2192</v>
      </c>
      <c r="L345" s="15" t="s">
        <v>2184</v>
      </c>
      <c r="M345" s="15" t="s">
        <v>1478</v>
      </c>
      <c r="N345" s="15"/>
    </row>
    <row r="346" customFormat="false" ht="39" hidden="false" customHeight="true" outlineLevel="0" collapsed="false">
      <c r="A346" s="15" t="s">
        <v>2588</v>
      </c>
      <c r="B346" s="15" t="s">
        <v>312</v>
      </c>
      <c r="C346" s="15" t="s">
        <v>375</v>
      </c>
      <c r="D346" s="15" t="s">
        <v>2225</v>
      </c>
      <c r="E346" s="15" t="s">
        <v>2027</v>
      </c>
      <c r="F346" s="15" t="s">
        <v>2190</v>
      </c>
      <c r="G346" s="15" t="s">
        <v>2226</v>
      </c>
      <c r="H346" s="15" t="s">
        <v>2064</v>
      </c>
      <c r="I346" s="23" t="n">
        <v>6999</v>
      </c>
      <c r="J346" s="15" t="s">
        <v>2191</v>
      </c>
      <c r="K346" s="15" t="s">
        <v>2192</v>
      </c>
      <c r="L346" s="15" t="s">
        <v>2184</v>
      </c>
      <c r="M346" s="15" t="s">
        <v>1478</v>
      </c>
      <c r="N346" s="15" t="s">
        <v>2227</v>
      </c>
    </row>
    <row r="347" customFormat="false" ht="39" hidden="false" customHeight="true" outlineLevel="0" collapsed="false">
      <c r="A347" s="15" t="s">
        <v>2589</v>
      </c>
      <c r="B347" s="15" t="s">
        <v>312</v>
      </c>
      <c r="C347" s="15" t="s">
        <v>375</v>
      </c>
      <c r="D347" s="15" t="s">
        <v>2229</v>
      </c>
      <c r="E347" s="15" t="s">
        <v>2027</v>
      </c>
      <c r="F347" s="15" t="s">
        <v>2190</v>
      </c>
      <c r="G347" s="15" t="s">
        <v>2230</v>
      </c>
      <c r="H347" s="15" t="s">
        <v>2064</v>
      </c>
      <c r="I347" s="23" t="n">
        <v>6699</v>
      </c>
      <c r="J347" s="15" t="s">
        <v>2191</v>
      </c>
      <c r="K347" s="15" t="s">
        <v>2192</v>
      </c>
      <c r="L347" s="15" t="s">
        <v>2184</v>
      </c>
      <c r="M347" s="15" t="s">
        <v>1478</v>
      </c>
      <c r="N347" s="15" t="s">
        <v>2231</v>
      </c>
    </row>
    <row r="348" customFormat="false" ht="39" hidden="false" customHeight="true" outlineLevel="0" collapsed="false">
      <c r="A348" s="15" t="s">
        <v>2590</v>
      </c>
      <c r="B348" s="15" t="s">
        <v>312</v>
      </c>
      <c r="C348" s="15" t="s">
        <v>375</v>
      </c>
      <c r="D348" s="15" t="s">
        <v>2343</v>
      </c>
      <c r="E348" s="15" t="s">
        <v>2331</v>
      </c>
      <c r="F348" s="15" t="s">
        <v>2190</v>
      </c>
      <c r="G348" s="15" t="s">
        <v>120</v>
      </c>
      <c r="H348" s="15" t="s">
        <v>1988</v>
      </c>
      <c r="I348" s="23" t="n">
        <v>6599</v>
      </c>
      <c r="J348" s="15" t="s">
        <v>2191</v>
      </c>
      <c r="K348" s="15" t="s">
        <v>2192</v>
      </c>
      <c r="L348" s="15" t="s">
        <v>2184</v>
      </c>
      <c r="M348" s="15" t="s">
        <v>1478</v>
      </c>
      <c r="N348" s="15"/>
    </row>
    <row r="349" customFormat="false" ht="39" hidden="false" customHeight="true" outlineLevel="0" collapsed="false">
      <c r="A349" s="15" t="s">
        <v>2591</v>
      </c>
      <c r="B349" s="15" t="s">
        <v>312</v>
      </c>
      <c r="C349" s="15" t="s">
        <v>375</v>
      </c>
      <c r="D349" s="15" t="s">
        <v>2294</v>
      </c>
      <c r="E349" s="15" t="s">
        <v>2234</v>
      </c>
      <c r="F349" s="15" t="s">
        <v>2190</v>
      </c>
      <c r="G349" s="15" t="s">
        <v>120</v>
      </c>
      <c r="H349" s="15" t="s">
        <v>1988</v>
      </c>
      <c r="I349" s="23" t="n">
        <v>5999</v>
      </c>
      <c r="J349" s="15" t="s">
        <v>2191</v>
      </c>
      <c r="K349" s="15" t="s">
        <v>2192</v>
      </c>
      <c r="L349" s="15" t="s">
        <v>2184</v>
      </c>
      <c r="M349" s="15" t="s">
        <v>1478</v>
      </c>
      <c r="N349" s="15"/>
    </row>
    <row r="350" customFormat="false" ht="39" hidden="false" customHeight="true" outlineLevel="0" collapsed="false">
      <c r="A350" s="15" t="s">
        <v>2592</v>
      </c>
      <c r="B350" s="15" t="s">
        <v>312</v>
      </c>
      <c r="C350" s="15" t="s">
        <v>375</v>
      </c>
      <c r="D350" s="15" t="s">
        <v>2593</v>
      </c>
      <c r="E350" s="15" t="s">
        <v>1986</v>
      </c>
      <c r="F350" s="15" t="s">
        <v>2190</v>
      </c>
      <c r="G350" s="15" t="s">
        <v>2200</v>
      </c>
      <c r="H350" s="15" t="s">
        <v>2049</v>
      </c>
      <c r="I350" s="23" t="n">
        <v>5999</v>
      </c>
      <c r="J350" s="15" t="s">
        <v>2191</v>
      </c>
      <c r="K350" s="15" t="s">
        <v>2192</v>
      </c>
      <c r="L350" s="15" t="s">
        <v>2184</v>
      </c>
      <c r="M350" s="15" t="s">
        <v>1478</v>
      </c>
      <c r="N350" s="15"/>
    </row>
    <row r="351" customFormat="false" ht="39" hidden="false" customHeight="true" outlineLevel="0" collapsed="false">
      <c r="A351" s="15" t="s">
        <v>2594</v>
      </c>
      <c r="B351" s="15" t="s">
        <v>312</v>
      </c>
      <c r="C351" s="15" t="s">
        <v>375</v>
      </c>
      <c r="D351" s="15" t="s">
        <v>2595</v>
      </c>
      <c r="E351" s="15" t="s">
        <v>2234</v>
      </c>
      <c r="F351" s="15" t="s">
        <v>2190</v>
      </c>
      <c r="G351" s="15" t="s">
        <v>2596</v>
      </c>
      <c r="H351" s="15" t="s">
        <v>1998</v>
      </c>
      <c r="I351" s="23" t="n">
        <v>5999</v>
      </c>
      <c r="J351" s="15" t="s">
        <v>2191</v>
      </c>
      <c r="K351" s="15" t="s">
        <v>2192</v>
      </c>
      <c r="L351" s="15" t="s">
        <v>2184</v>
      </c>
      <c r="M351" s="15" t="s">
        <v>1478</v>
      </c>
      <c r="N351" s="15" t="s">
        <v>2597</v>
      </c>
    </row>
    <row r="352" customFormat="false" ht="39" hidden="false" customHeight="true" outlineLevel="0" collapsed="false">
      <c r="A352" s="15" t="s">
        <v>2598</v>
      </c>
      <c r="B352" s="15" t="s">
        <v>312</v>
      </c>
      <c r="C352" s="15" t="s">
        <v>375</v>
      </c>
      <c r="D352" s="15" t="s">
        <v>2599</v>
      </c>
      <c r="E352" s="15" t="s">
        <v>1986</v>
      </c>
      <c r="F352" s="15" t="s">
        <v>2190</v>
      </c>
      <c r="G352" s="15" t="s">
        <v>120</v>
      </c>
      <c r="H352" s="15" t="s">
        <v>1988</v>
      </c>
      <c r="I352" s="23" t="n">
        <v>5799</v>
      </c>
      <c r="J352" s="15" t="s">
        <v>2191</v>
      </c>
      <c r="K352" s="15" t="s">
        <v>2192</v>
      </c>
      <c r="L352" s="15" t="s">
        <v>2184</v>
      </c>
      <c r="M352" s="15" t="s">
        <v>1478</v>
      </c>
      <c r="N352" s="15"/>
    </row>
    <row r="353" customFormat="false" ht="39" hidden="false" customHeight="true" outlineLevel="0" collapsed="false">
      <c r="A353" s="15" t="s">
        <v>2600</v>
      </c>
      <c r="B353" s="15" t="s">
        <v>312</v>
      </c>
      <c r="C353" s="15" t="s">
        <v>375</v>
      </c>
      <c r="D353" s="15" t="s">
        <v>2320</v>
      </c>
      <c r="E353" s="15" t="s">
        <v>2321</v>
      </c>
      <c r="F353" s="15" t="s">
        <v>2190</v>
      </c>
      <c r="G353" s="15" t="s">
        <v>120</v>
      </c>
      <c r="H353" s="15" t="s">
        <v>1988</v>
      </c>
      <c r="I353" s="23" t="n">
        <v>4299</v>
      </c>
      <c r="J353" s="15" t="s">
        <v>2191</v>
      </c>
      <c r="K353" s="15" t="s">
        <v>2192</v>
      </c>
      <c r="L353" s="15" t="s">
        <v>2184</v>
      </c>
      <c r="M353" s="15" t="s">
        <v>1478</v>
      </c>
      <c r="N353" s="15"/>
    </row>
    <row r="354" customFormat="false" ht="39" hidden="false" customHeight="true" outlineLevel="0" collapsed="false">
      <c r="A354" s="15" t="s">
        <v>2601</v>
      </c>
      <c r="B354" s="15" t="s">
        <v>312</v>
      </c>
      <c r="C354" s="15" t="s">
        <v>375</v>
      </c>
      <c r="D354" s="15" t="s">
        <v>2296</v>
      </c>
      <c r="E354" s="15" t="s">
        <v>2234</v>
      </c>
      <c r="F354" s="15" t="s">
        <v>2190</v>
      </c>
      <c r="G354" s="15" t="s">
        <v>120</v>
      </c>
      <c r="H354" s="15" t="s">
        <v>1988</v>
      </c>
      <c r="I354" s="23" t="n">
        <v>4099</v>
      </c>
      <c r="J354" s="15" t="s">
        <v>2191</v>
      </c>
      <c r="K354" s="15" t="s">
        <v>2192</v>
      </c>
      <c r="L354" s="15" t="s">
        <v>2184</v>
      </c>
      <c r="M354" s="15" t="s">
        <v>1478</v>
      </c>
      <c r="N354" s="15"/>
    </row>
    <row r="355" customFormat="false" ht="39" hidden="false" customHeight="true" outlineLevel="0" collapsed="false">
      <c r="A355" s="15" t="s">
        <v>2602</v>
      </c>
      <c r="B355" s="15" t="s">
        <v>312</v>
      </c>
      <c r="C355" s="15" t="s">
        <v>375</v>
      </c>
      <c r="D355" s="15" t="s">
        <v>2323</v>
      </c>
      <c r="E355" s="15" t="s">
        <v>2321</v>
      </c>
      <c r="F355" s="15" t="s">
        <v>2190</v>
      </c>
      <c r="G355" s="15" t="s">
        <v>120</v>
      </c>
      <c r="H355" s="15" t="s">
        <v>1988</v>
      </c>
      <c r="I355" s="23" t="n">
        <v>3999</v>
      </c>
      <c r="J355" s="15" t="s">
        <v>2191</v>
      </c>
      <c r="K355" s="15" t="s">
        <v>2192</v>
      </c>
      <c r="L355" s="15" t="s">
        <v>2184</v>
      </c>
      <c r="M355" s="15" t="s">
        <v>1478</v>
      </c>
      <c r="N355" s="15"/>
    </row>
    <row r="356" customFormat="false" ht="39" hidden="false" customHeight="true" outlineLevel="0" collapsed="false">
      <c r="A356" s="15" t="s">
        <v>2603</v>
      </c>
      <c r="B356" s="15" t="s">
        <v>312</v>
      </c>
      <c r="C356" s="15" t="s">
        <v>375</v>
      </c>
      <c r="D356" s="15" t="s">
        <v>2347</v>
      </c>
      <c r="E356" s="15" t="s">
        <v>2234</v>
      </c>
      <c r="F356" s="15" t="s">
        <v>2190</v>
      </c>
      <c r="G356" s="15" t="s">
        <v>120</v>
      </c>
      <c r="H356" s="15" t="s">
        <v>1988</v>
      </c>
      <c r="I356" s="23" t="n">
        <v>3999</v>
      </c>
      <c r="J356" s="15" t="s">
        <v>2191</v>
      </c>
      <c r="K356" s="15" t="s">
        <v>2192</v>
      </c>
      <c r="L356" s="15" t="s">
        <v>2184</v>
      </c>
      <c r="M356" s="15" t="s">
        <v>1478</v>
      </c>
      <c r="N356" s="15"/>
    </row>
    <row r="357" customFormat="false" ht="39" hidden="false" customHeight="true" outlineLevel="0" collapsed="false">
      <c r="A357" s="15" t="s">
        <v>2604</v>
      </c>
      <c r="B357" s="15" t="s">
        <v>312</v>
      </c>
      <c r="C357" s="15" t="s">
        <v>375</v>
      </c>
      <c r="D357" s="15" t="s">
        <v>2345</v>
      </c>
      <c r="E357" s="15" t="s">
        <v>2117</v>
      </c>
      <c r="F357" s="15" t="s">
        <v>2190</v>
      </c>
      <c r="G357" s="15" t="s">
        <v>120</v>
      </c>
      <c r="H357" s="15" t="s">
        <v>1988</v>
      </c>
      <c r="I357" s="23" t="n">
        <v>3999</v>
      </c>
      <c r="J357" s="15" t="s">
        <v>2191</v>
      </c>
      <c r="K357" s="15" t="s">
        <v>2192</v>
      </c>
      <c r="L357" s="15" t="s">
        <v>2184</v>
      </c>
      <c r="M357" s="15" t="s">
        <v>1478</v>
      </c>
      <c r="N357" s="15" t="s">
        <v>2580</v>
      </c>
    </row>
    <row r="358" customFormat="false" ht="39" hidden="false" customHeight="true" outlineLevel="0" collapsed="false">
      <c r="A358" s="15" t="s">
        <v>2605</v>
      </c>
      <c r="B358" s="15" t="s">
        <v>312</v>
      </c>
      <c r="C358" s="15" t="s">
        <v>375</v>
      </c>
      <c r="D358" s="15" t="s">
        <v>2349</v>
      </c>
      <c r="E358" s="15" t="s">
        <v>2106</v>
      </c>
      <c r="F358" s="15" t="s">
        <v>2190</v>
      </c>
      <c r="G358" s="15" t="s">
        <v>2350</v>
      </c>
      <c r="H358" s="15" t="s">
        <v>1998</v>
      </c>
      <c r="I358" s="23" t="n">
        <v>3549</v>
      </c>
      <c r="J358" s="15" t="s">
        <v>2191</v>
      </c>
      <c r="K358" s="15" t="s">
        <v>2192</v>
      </c>
      <c r="L358" s="15" t="s">
        <v>2184</v>
      </c>
      <c r="M358" s="15" t="s">
        <v>1478</v>
      </c>
      <c r="N358" s="15" t="s">
        <v>2351</v>
      </c>
    </row>
    <row r="359" customFormat="false" ht="39" hidden="false" customHeight="true" outlineLevel="0" collapsed="false">
      <c r="A359" s="15" t="s">
        <v>2606</v>
      </c>
      <c r="B359" s="15" t="s">
        <v>312</v>
      </c>
      <c r="C359" s="15" t="s">
        <v>375</v>
      </c>
      <c r="D359" s="15" t="s">
        <v>2256</v>
      </c>
      <c r="E359" s="15" t="s">
        <v>2106</v>
      </c>
      <c r="F359" s="15" t="s">
        <v>2190</v>
      </c>
      <c r="G359" s="15" t="s">
        <v>120</v>
      </c>
      <c r="H359" s="15" t="s">
        <v>1988</v>
      </c>
      <c r="I359" s="23" t="n">
        <v>3499</v>
      </c>
      <c r="J359" s="15" t="s">
        <v>2191</v>
      </c>
      <c r="K359" s="15" t="s">
        <v>2192</v>
      </c>
      <c r="L359" s="15" t="s">
        <v>2184</v>
      </c>
      <c r="M359" s="15" t="s">
        <v>1478</v>
      </c>
      <c r="N359" s="15"/>
    </row>
    <row r="360" customFormat="false" ht="39" hidden="false" customHeight="true" outlineLevel="0" collapsed="false">
      <c r="A360" s="15" t="s">
        <v>2607</v>
      </c>
      <c r="B360" s="15" t="s">
        <v>312</v>
      </c>
      <c r="C360" s="15" t="s">
        <v>375</v>
      </c>
      <c r="D360" s="15" t="s">
        <v>2258</v>
      </c>
      <c r="E360" s="15" t="s">
        <v>2106</v>
      </c>
      <c r="F360" s="15" t="s">
        <v>2190</v>
      </c>
      <c r="G360" s="15" t="s">
        <v>120</v>
      </c>
      <c r="H360" s="15" t="s">
        <v>1988</v>
      </c>
      <c r="I360" s="23" t="n">
        <v>3499</v>
      </c>
      <c r="J360" s="15" t="s">
        <v>2191</v>
      </c>
      <c r="K360" s="15" t="s">
        <v>2192</v>
      </c>
      <c r="L360" s="15" t="s">
        <v>2184</v>
      </c>
      <c r="M360" s="15" t="s">
        <v>1478</v>
      </c>
      <c r="N360" s="15"/>
    </row>
    <row r="361" customFormat="false" ht="39" hidden="false" customHeight="true" outlineLevel="0" collapsed="false">
      <c r="A361" s="15" t="s">
        <v>2608</v>
      </c>
      <c r="B361" s="15" t="s">
        <v>312</v>
      </c>
      <c r="C361" s="15" t="s">
        <v>375</v>
      </c>
      <c r="D361" s="15" t="s">
        <v>2353</v>
      </c>
      <c r="E361" s="15" t="s">
        <v>2099</v>
      </c>
      <c r="F361" s="15" t="s">
        <v>2190</v>
      </c>
      <c r="G361" s="15" t="s">
        <v>120</v>
      </c>
      <c r="H361" s="15" t="s">
        <v>1988</v>
      </c>
      <c r="I361" s="23" t="n">
        <v>3499</v>
      </c>
      <c r="J361" s="15" t="s">
        <v>2191</v>
      </c>
      <c r="K361" s="15" t="s">
        <v>2192</v>
      </c>
      <c r="L361" s="15" t="s">
        <v>2184</v>
      </c>
      <c r="M361" s="15" t="s">
        <v>1478</v>
      </c>
      <c r="N361" s="15"/>
    </row>
    <row r="362" customFormat="false" ht="39" hidden="false" customHeight="true" outlineLevel="0" collapsed="false">
      <c r="A362" s="15" t="s">
        <v>2609</v>
      </c>
      <c r="B362" s="15" t="s">
        <v>312</v>
      </c>
      <c r="C362" s="15" t="s">
        <v>375</v>
      </c>
      <c r="D362" s="15" t="s">
        <v>2320</v>
      </c>
      <c r="E362" s="15" t="s">
        <v>2321</v>
      </c>
      <c r="F362" s="15" t="s">
        <v>2190</v>
      </c>
      <c r="G362" s="15" t="s">
        <v>120</v>
      </c>
      <c r="H362" s="15" t="s">
        <v>1988</v>
      </c>
      <c r="I362" s="23" t="n">
        <v>3399</v>
      </c>
      <c r="J362" s="15" t="s">
        <v>2191</v>
      </c>
      <c r="K362" s="15" t="s">
        <v>2192</v>
      </c>
      <c r="L362" s="15" t="s">
        <v>2184</v>
      </c>
      <c r="M362" s="15" t="s">
        <v>1478</v>
      </c>
      <c r="N362" s="15"/>
    </row>
    <row r="363" customFormat="false" ht="39" hidden="false" customHeight="true" outlineLevel="0" collapsed="false">
      <c r="A363" s="15" t="s">
        <v>2610</v>
      </c>
      <c r="B363" s="15" t="s">
        <v>312</v>
      </c>
      <c r="C363" s="15" t="s">
        <v>375</v>
      </c>
      <c r="D363" s="15" t="s">
        <v>2611</v>
      </c>
      <c r="E363" s="15" t="s">
        <v>1986</v>
      </c>
      <c r="F363" s="15" t="s">
        <v>2190</v>
      </c>
      <c r="G363" s="15" t="s">
        <v>120</v>
      </c>
      <c r="H363" s="15" t="s">
        <v>1988</v>
      </c>
      <c r="I363" s="23" t="n">
        <v>3399</v>
      </c>
      <c r="J363" s="15" t="s">
        <v>2191</v>
      </c>
      <c r="K363" s="15" t="s">
        <v>2192</v>
      </c>
      <c r="L363" s="15" t="s">
        <v>2184</v>
      </c>
      <c r="M363" s="15" t="s">
        <v>1478</v>
      </c>
      <c r="N363" s="15"/>
    </row>
    <row r="364" customFormat="false" ht="39" hidden="false" customHeight="true" outlineLevel="0" collapsed="false">
      <c r="A364" s="15" t="s">
        <v>2612</v>
      </c>
      <c r="B364" s="15" t="s">
        <v>312</v>
      </c>
      <c r="C364" s="15" t="s">
        <v>375</v>
      </c>
      <c r="D364" s="15" t="s">
        <v>2355</v>
      </c>
      <c r="E364" s="15" t="s">
        <v>2047</v>
      </c>
      <c r="F364" s="15" t="s">
        <v>2190</v>
      </c>
      <c r="G364" s="15" t="s">
        <v>120</v>
      </c>
      <c r="H364" s="15" t="s">
        <v>1988</v>
      </c>
      <c r="I364" s="23" t="n">
        <v>3199</v>
      </c>
      <c r="J364" s="15" t="s">
        <v>2191</v>
      </c>
      <c r="K364" s="15" t="s">
        <v>2192</v>
      </c>
      <c r="L364" s="15" t="s">
        <v>2184</v>
      </c>
      <c r="M364" s="15" t="s">
        <v>1478</v>
      </c>
      <c r="N364" s="15"/>
    </row>
    <row r="365" customFormat="false" ht="39" hidden="false" customHeight="true" outlineLevel="0" collapsed="false">
      <c r="A365" s="15" t="s">
        <v>2613</v>
      </c>
      <c r="B365" s="15" t="s">
        <v>312</v>
      </c>
      <c r="C365" s="15" t="s">
        <v>375</v>
      </c>
      <c r="D365" s="15" t="s">
        <v>2357</v>
      </c>
      <c r="E365" s="15" t="s">
        <v>2321</v>
      </c>
      <c r="F365" s="15" t="s">
        <v>2190</v>
      </c>
      <c r="G365" s="15" t="s">
        <v>120</v>
      </c>
      <c r="H365" s="15" t="s">
        <v>1988</v>
      </c>
      <c r="I365" s="23" t="n">
        <v>2838</v>
      </c>
      <c r="J365" s="15" t="s">
        <v>2191</v>
      </c>
      <c r="K365" s="15" t="s">
        <v>2192</v>
      </c>
      <c r="L365" s="15" t="s">
        <v>2184</v>
      </c>
      <c r="M365" s="15" t="s">
        <v>1478</v>
      </c>
      <c r="N365" s="15"/>
    </row>
    <row r="366" customFormat="false" ht="39" hidden="false" customHeight="true" outlineLevel="0" collapsed="false">
      <c r="A366" s="15" t="s">
        <v>2614</v>
      </c>
      <c r="B366" s="15" t="s">
        <v>312</v>
      </c>
      <c r="C366" s="15" t="s">
        <v>375</v>
      </c>
      <c r="D366" s="15" t="s">
        <v>2615</v>
      </c>
      <c r="E366" s="15" t="s">
        <v>2027</v>
      </c>
      <c r="F366" s="15" t="s">
        <v>2190</v>
      </c>
      <c r="G366" s="15" t="s">
        <v>120</v>
      </c>
      <c r="H366" s="15" t="s">
        <v>1988</v>
      </c>
      <c r="I366" s="23" t="n">
        <v>2799</v>
      </c>
      <c r="J366" s="15" t="s">
        <v>2191</v>
      </c>
      <c r="K366" s="15" t="s">
        <v>2192</v>
      </c>
      <c r="L366" s="15" t="s">
        <v>2184</v>
      </c>
      <c r="M366" s="15" t="s">
        <v>1478</v>
      </c>
      <c r="N366" s="15"/>
    </row>
    <row r="367" customFormat="false" ht="39" hidden="false" customHeight="true" outlineLevel="0" collapsed="false">
      <c r="A367" s="15" t="s">
        <v>2616</v>
      </c>
      <c r="B367" s="15" t="s">
        <v>312</v>
      </c>
      <c r="C367" s="15" t="s">
        <v>375</v>
      </c>
      <c r="D367" s="15" t="s">
        <v>2617</v>
      </c>
      <c r="E367" s="15" t="s">
        <v>1986</v>
      </c>
      <c r="F367" s="15" t="s">
        <v>2190</v>
      </c>
      <c r="G367" s="15" t="s">
        <v>120</v>
      </c>
      <c r="H367" s="15" t="s">
        <v>1988</v>
      </c>
      <c r="I367" s="23" t="n">
        <v>2599</v>
      </c>
      <c r="J367" s="15" t="s">
        <v>2191</v>
      </c>
      <c r="K367" s="15" t="s">
        <v>2192</v>
      </c>
      <c r="L367" s="15" t="s">
        <v>2184</v>
      </c>
      <c r="M367" s="15" t="s">
        <v>1478</v>
      </c>
      <c r="N367" s="15"/>
    </row>
    <row r="368" customFormat="false" ht="39" hidden="false" customHeight="true" outlineLevel="0" collapsed="false">
      <c r="A368" s="15" t="s">
        <v>2618</v>
      </c>
      <c r="B368" s="15" t="s">
        <v>312</v>
      </c>
      <c r="C368" s="15" t="s">
        <v>375</v>
      </c>
      <c r="D368" s="15" t="s">
        <v>2359</v>
      </c>
      <c r="E368" s="15" t="s">
        <v>2099</v>
      </c>
      <c r="F368" s="15" t="s">
        <v>2190</v>
      </c>
      <c r="G368" s="15" t="s">
        <v>120</v>
      </c>
      <c r="H368" s="15" t="s">
        <v>1988</v>
      </c>
      <c r="I368" s="23" t="n">
        <v>2599</v>
      </c>
      <c r="J368" s="15" t="s">
        <v>2191</v>
      </c>
      <c r="K368" s="15" t="s">
        <v>2192</v>
      </c>
      <c r="L368" s="15" t="s">
        <v>2184</v>
      </c>
      <c r="M368" s="15" t="s">
        <v>1478</v>
      </c>
      <c r="N368" s="15"/>
    </row>
    <row r="369" customFormat="false" ht="39" hidden="false" customHeight="true" outlineLevel="0" collapsed="false">
      <c r="A369" s="15" t="s">
        <v>2619</v>
      </c>
      <c r="B369" s="15" t="s">
        <v>312</v>
      </c>
      <c r="C369" s="15" t="s">
        <v>375</v>
      </c>
      <c r="D369" s="15" t="s">
        <v>2238</v>
      </c>
      <c r="E369" s="15" t="s">
        <v>2027</v>
      </c>
      <c r="F369" s="15" t="s">
        <v>2190</v>
      </c>
      <c r="G369" s="15" t="s">
        <v>120</v>
      </c>
      <c r="H369" s="15" t="s">
        <v>1988</v>
      </c>
      <c r="I369" s="23" t="n">
        <v>2599</v>
      </c>
      <c r="J369" s="15" t="s">
        <v>2191</v>
      </c>
      <c r="K369" s="15" t="s">
        <v>2192</v>
      </c>
      <c r="L369" s="15" t="s">
        <v>2184</v>
      </c>
      <c r="M369" s="15" t="s">
        <v>1478</v>
      </c>
      <c r="N369" s="15"/>
    </row>
    <row r="370" customFormat="false" ht="39" hidden="false" customHeight="true" outlineLevel="0" collapsed="false">
      <c r="A370" s="15" t="s">
        <v>2620</v>
      </c>
      <c r="B370" s="15" t="s">
        <v>312</v>
      </c>
      <c r="C370" s="15" t="s">
        <v>375</v>
      </c>
      <c r="D370" s="15" t="s">
        <v>2621</v>
      </c>
      <c r="E370" s="15" t="s">
        <v>2002</v>
      </c>
      <c r="F370" s="15" t="s">
        <v>2190</v>
      </c>
      <c r="G370" s="15" t="s">
        <v>120</v>
      </c>
      <c r="H370" s="15" t="s">
        <v>1988</v>
      </c>
      <c r="I370" s="23" t="n">
        <v>2299</v>
      </c>
      <c r="J370" s="15" t="s">
        <v>2191</v>
      </c>
      <c r="K370" s="15" t="s">
        <v>2192</v>
      </c>
      <c r="L370" s="15" t="s">
        <v>2184</v>
      </c>
      <c r="M370" s="15" t="s">
        <v>1478</v>
      </c>
      <c r="N370" s="15"/>
    </row>
    <row r="371" customFormat="false" ht="39" hidden="false" customHeight="true" outlineLevel="0" collapsed="false">
      <c r="A371" s="15" t="s">
        <v>2622</v>
      </c>
      <c r="B371" s="15" t="s">
        <v>312</v>
      </c>
      <c r="C371" s="15" t="s">
        <v>375</v>
      </c>
      <c r="D371" s="15" t="s">
        <v>2326</v>
      </c>
      <c r="E371" s="15" t="s">
        <v>2321</v>
      </c>
      <c r="F371" s="15" t="s">
        <v>2190</v>
      </c>
      <c r="G371" s="15" t="s">
        <v>120</v>
      </c>
      <c r="H371" s="15" t="s">
        <v>1988</v>
      </c>
      <c r="I371" s="23" t="n">
        <v>2099</v>
      </c>
      <c r="J371" s="15" t="s">
        <v>2191</v>
      </c>
      <c r="K371" s="15" t="s">
        <v>2192</v>
      </c>
      <c r="L371" s="15" t="s">
        <v>2184</v>
      </c>
      <c r="M371" s="15" t="s">
        <v>1478</v>
      </c>
      <c r="N371" s="15"/>
    </row>
    <row r="372" customFormat="false" ht="39" hidden="false" customHeight="true" outlineLevel="0" collapsed="false">
      <c r="A372" s="15" t="s">
        <v>2623</v>
      </c>
      <c r="B372" s="15" t="s">
        <v>312</v>
      </c>
      <c r="C372" s="15" t="s">
        <v>375</v>
      </c>
      <c r="D372" s="15" t="s">
        <v>2262</v>
      </c>
      <c r="E372" s="15" t="s">
        <v>2234</v>
      </c>
      <c r="F372" s="15" t="s">
        <v>2190</v>
      </c>
      <c r="G372" s="15" t="s">
        <v>120</v>
      </c>
      <c r="H372" s="15" t="s">
        <v>1988</v>
      </c>
      <c r="I372" s="23" t="n">
        <v>2005</v>
      </c>
      <c r="J372" s="15" t="s">
        <v>2191</v>
      </c>
      <c r="K372" s="15" t="s">
        <v>2192</v>
      </c>
      <c r="L372" s="15" t="s">
        <v>2184</v>
      </c>
      <c r="M372" s="15" t="s">
        <v>1478</v>
      </c>
      <c r="N372" s="15"/>
    </row>
    <row r="373" customFormat="false" ht="39" hidden="false" customHeight="true" outlineLevel="0" collapsed="false">
      <c r="A373" s="15" t="s">
        <v>2624</v>
      </c>
      <c r="B373" s="15" t="s">
        <v>312</v>
      </c>
      <c r="C373" s="15" t="s">
        <v>375</v>
      </c>
      <c r="D373" s="15" t="s">
        <v>2328</v>
      </c>
      <c r="E373" s="15" t="s">
        <v>2321</v>
      </c>
      <c r="F373" s="15" t="s">
        <v>2190</v>
      </c>
      <c r="G373" s="15" t="s">
        <v>120</v>
      </c>
      <c r="H373" s="15" t="s">
        <v>1988</v>
      </c>
      <c r="I373" s="23" t="n">
        <v>1999</v>
      </c>
      <c r="J373" s="15" t="s">
        <v>2191</v>
      </c>
      <c r="K373" s="15" t="s">
        <v>2192</v>
      </c>
      <c r="L373" s="15" t="s">
        <v>2184</v>
      </c>
      <c r="M373" s="15" t="s">
        <v>1478</v>
      </c>
      <c r="N373" s="15"/>
    </row>
    <row r="374" customFormat="false" ht="39" hidden="false" customHeight="true" outlineLevel="0" collapsed="false">
      <c r="A374" s="15" t="s">
        <v>2625</v>
      </c>
      <c r="B374" s="15" t="s">
        <v>312</v>
      </c>
      <c r="C374" s="15" t="s">
        <v>375</v>
      </c>
      <c r="D374" s="15" t="s">
        <v>2626</v>
      </c>
      <c r="E374" s="15" t="s">
        <v>1986</v>
      </c>
      <c r="F374" s="15" t="s">
        <v>2190</v>
      </c>
      <c r="G374" s="15" t="s">
        <v>120</v>
      </c>
      <c r="H374" s="15" t="s">
        <v>1988</v>
      </c>
      <c r="I374" s="23" t="n">
        <v>1999</v>
      </c>
      <c r="J374" s="15" t="s">
        <v>2191</v>
      </c>
      <c r="K374" s="15" t="s">
        <v>2192</v>
      </c>
      <c r="L374" s="15" t="s">
        <v>2184</v>
      </c>
      <c r="M374" s="15" t="s">
        <v>1478</v>
      </c>
      <c r="N374" s="15"/>
    </row>
    <row r="375" customFormat="false" ht="39" hidden="false" customHeight="true" outlineLevel="0" collapsed="false">
      <c r="A375" s="15" t="s">
        <v>2627</v>
      </c>
      <c r="B375" s="15" t="s">
        <v>312</v>
      </c>
      <c r="C375" s="15" t="s">
        <v>375</v>
      </c>
      <c r="D375" s="15" t="s">
        <v>2363</v>
      </c>
      <c r="E375" s="15" t="s">
        <v>2234</v>
      </c>
      <c r="F375" s="15" t="s">
        <v>2190</v>
      </c>
      <c r="G375" s="15" t="s">
        <v>120</v>
      </c>
      <c r="H375" s="15" t="s">
        <v>1988</v>
      </c>
      <c r="I375" s="23" t="n">
        <v>1899</v>
      </c>
      <c r="J375" s="15" t="s">
        <v>2191</v>
      </c>
      <c r="K375" s="15" t="s">
        <v>2192</v>
      </c>
      <c r="L375" s="15" t="s">
        <v>2184</v>
      </c>
      <c r="M375" s="15" t="s">
        <v>1478</v>
      </c>
      <c r="N375" s="15"/>
    </row>
    <row r="376" customFormat="false" ht="39" hidden="false" customHeight="true" outlineLevel="0" collapsed="false">
      <c r="A376" s="15" t="s">
        <v>2628</v>
      </c>
      <c r="B376" s="15" t="s">
        <v>312</v>
      </c>
      <c r="C376" s="15" t="s">
        <v>375</v>
      </c>
      <c r="D376" s="15" t="s">
        <v>2363</v>
      </c>
      <c r="E376" s="15" t="s">
        <v>2234</v>
      </c>
      <c r="F376" s="15" t="s">
        <v>2190</v>
      </c>
      <c r="G376" s="15" t="s">
        <v>120</v>
      </c>
      <c r="H376" s="15" t="s">
        <v>1988</v>
      </c>
      <c r="I376" s="23" t="n">
        <v>1799</v>
      </c>
      <c r="J376" s="15" t="s">
        <v>2191</v>
      </c>
      <c r="K376" s="15" t="s">
        <v>2192</v>
      </c>
      <c r="L376" s="15" t="s">
        <v>2184</v>
      </c>
      <c r="M376" s="15" t="s">
        <v>1478</v>
      </c>
      <c r="N376" s="15"/>
    </row>
    <row r="377" customFormat="false" ht="39" hidden="false" customHeight="true" outlineLevel="0" collapsed="false">
      <c r="A377" s="15" t="s">
        <v>2629</v>
      </c>
      <c r="B377" s="15" t="s">
        <v>312</v>
      </c>
      <c r="C377" s="15" t="s">
        <v>375</v>
      </c>
      <c r="D377" s="15" t="s">
        <v>2630</v>
      </c>
      <c r="E377" s="15" t="s">
        <v>2032</v>
      </c>
      <c r="F377" s="15" t="s">
        <v>2190</v>
      </c>
      <c r="G377" s="15" t="s">
        <v>120</v>
      </c>
      <c r="H377" s="15" t="s">
        <v>1988</v>
      </c>
      <c r="I377" s="23" t="n">
        <v>1698</v>
      </c>
      <c r="J377" s="15" t="s">
        <v>2191</v>
      </c>
      <c r="K377" s="15" t="s">
        <v>2192</v>
      </c>
      <c r="L377" s="15" t="s">
        <v>2184</v>
      </c>
      <c r="M377" s="15" t="s">
        <v>1478</v>
      </c>
      <c r="N377" s="15"/>
    </row>
    <row r="378" customFormat="false" ht="39" hidden="false" customHeight="true" outlineLevel="0" collapsed="false">
      <c r="A378" s="15" t="s">
        <v>2631</v>
      </c>
      <c r="B378" s="15" t="s">
        <v>312</v>
      </c>
      <c r="C378" s="15" t="s">
        <v>375</v>
      </c>
      <c r="D378" s="15" t="s">
        <v>2632</v>
      </c>
      <c r="E378" s="15" t="s">
        <v>2032</v>
      </c>
      <c r="F378" s="15" t="s">
        <v>2190</v>
      </c>
      <c r="G378" s="15" t="s">
        <v>120</v>
      </c>
      <c r="H378" s="15" t="s">
        <v>1988</v>
      </c>
      <c r="I378" s="23" t="n">
        <v>1617</v>
      </c>
      <c r="J378" s="15" t="s">
        <v>2191</v>
      </c>
      <c r="K378" s="15" t="s">
        <v>2192</v>
      </c>
      <c r="L378" s="15" t="s">
        <v>2184</v>
      </c>
      <c r="M378" s="15" t="s">
        <v>1478</v>
      </c>
      <c r="N378" s="15"/>
    </row>
    <row r="379" customFormat="false" ht="39" hidden="false" customHeight="true" outlineLevel="0" collapsed="false">
      <c r="A379" s="15" t="s">
        <v>2633</v>
      </c>
      <c r="B379" s="15" t="s">
        <v>312</v>
      </c>
      <c r="C379" s="15" t="s">
        <v>375</v>
      </c>
      <c r="D379" s="15" t="s">
        <v>2634</v>
      </c>
      <c r="E379" s="15" t="s">
        <v>1986</v>
      </c>
      <c r="F379" s="15" t="s">
        <v>2190</v>
      </c>
      <c r="G379" s="15" t="s">
        <v>120</v>
      </c>
      <c r="H379" s="15" t="s">
        <v>1988</v>
      </c>
      <c r="I379" s="23" t="n">
        <v>1599</v>
      </c>
      <c r="J379" s="15" t="s">
        <v>2191</v>
      </c>
      <c r="K379" s="15" t="s">
        <v>2192</v>
      </c>
      <c r="L379" s="15" t="s">
        <v>2184</v>
      </c>
      <c r="M379" s="15" t="s">
        <v>1478</v>
      </c>
      <c r="N379" s="15"/>
    </row>
    <row r="380" customFormat="false" ht="39" hidden="false" customHeight="true" outlineLevel="0" collapsed="false">
      <c r="A380" s="15" t="s">
        <v>2635</v>
      </c>
      <c r="B380" s="15" t="s">
        <v>312</v>
      </c>
      <c r="C380" s="15" t="s">
        <v>375</v>
      </c>
      <c r="D380" s="15" t="s">
        <v>2268</v>
      </c>
      <c r="E380" s="15" t="s">
        <v>2032</v>
      </c>
      <c r="F380" s="15" t="s">
        <v>2190</v>
      </c>
      <c r="G380" s="15" t="s">
        <v>120</v>
      </c>
      <c r="H380" s="15" t="s">
        <v>1988</v>
      </c>
      <c r="I380" s="23" t="n">
        <v>1499</v>
      </c>
      <c r="J380" s="15" t="s">
        <v>2191</v>
      </c>
      <c r="K380" s="15" t="s">
        <v>2192</v>
      </c>
      <c r="L380" s="15" t="s">
        <v>2184</v>
      </c>
      <c r="M380" s="15" t="s">
        <v>1478</v>
      </c>
      <c r="N380" s="15"/>
    </row>
    <row r="381" customFormat="false" ht="39" hidden="false" customHeight="true" outlineLevel="0" collapsed="false">
      <c r="A381" s="15" t="s">
        <v>2636</v>
      </c>
      <c r="B381" s="15" t="s">
        <v>312</v>
      </c>
      <c r="C381" s="15" t="s">
        <v>375</v>
      </c>
      <c r="D381" s="15" t="s">
        <v>2245</v>
      </c>
      <c r="E381" s="15" t="s">
        <v>2027</v>
      </c>
      <c r="F381" s="15" t="s">
        <v>2190</v>
      </c>
      <c r="G381" s="15" t="s">
        <v>120</v>
      </c>
      <c r="H381" s="15" t="s">
        <v>1988</v>
      </c>
      <c r="I381" s="23" t="n">
        <v>1499</v>
      </c>
      <c r="J381" s="15" t="s">
        <v>2191</v>
      </c>
      <c r="K381" s="15" t="s">
        <v>2192</v>
      </c>
      <c r="L381" s="15" t="s">
        <v>2184</v>
      </c>
      <c r="M381" s="15" t="s">
        <v>1478</v>
      </c>
      <c r="N381" s="15" t="s">
        <v>2580</v>
      </c>
    </row>
    <row r="382" customFormat="false" ht="39" hidden="false" customHeight="true" outlineLevel="0" collapsed="false">
      <c r="A382" s="15" t="s">
        <v>2637</v>
      </c>
      <c r="B382" s="15" t="s">
        <v>312</v>
      </c>
      <c r="C382" s="15" t="s">
        <v>375</v>
      </c>
      <c r="D382" s="15" t="s">
        <v>2638</v>
      </c>
      <c r="E382" s="15" t="s">
        <v>2032</v>
      </c>
      <c r="F382" s="15" t="s">
        <v>2190</v>
      </c>
      <c r="G382" s="15" t="s">
        <v>120</v>
      </c>
      <c r="H382" s="15" t="s">
        <v>1988</v>
      </c>
      <c r="I382" s="23" t="n">
        <v>1499</v>
      </c>
      <c r="J382" s="15" t="s">
        <v>2191</v>
      </c>
      <c r="K382" s="15" t="s">
        <v>2192</v>
      </c>
      <c r="L382" s="15" t="s">
        <v>2184</v>
      </c>
      <c r="M382" s="15" t="s">
        <v>1478</v>
      </c>
      <c r="N382" s="15"/>
    </row>
    <row r="383" customFormat="false" ht="39" hidden="false" customHeight="true" outlineLevel="0" collapsed="false">
      <c r="A383" s="15" t="s">
        <v>2639</v>
      </c>
      <c r="B383" s="15" t="s">
        <v>312</v>
      </c>
      <c r="C383" s="15" t="s">
        <v>375</v>
      </c>
      <c r="D383" s="15" t="s">
        <v>2634</v>
      </c>
      <c r="E383" s="15" t="s">
        <v>1986</v>
      </c>
      <c r="F383" s="15" t="s">
        <v>2190</v>
      </c>
      <c r="G383" s="15" t="s">
        <v>120</v>
      </c>
      <c r="H383" s="15" t="s">
        <v>1988</v>
      </c>
      <c r="I383" s="23" t="n">
        <v>1499</v>
      </c>
      <c r="J383" s="15" t="s">
        <v>2191</v>
      </c>
      <c r="K383" s="15" t="s">
        <v>2192</v>
      </c>
      <c r="L383" s="15" t="s">
        <v>2184</v>
      </c>
      <c r="M383" s="15" t="s">
        <v>1478</v>
      </c>
      <c r="N383" s="15"/>
    </row>
    <row r="384" customFormat="false" ht="39" hidden="false" customHeight="true" outlineLevel="0" collapsed="false">
      <c r="A384" s="15" t="s">
        <v>2640</v>
      </c>
      <c r="B384" s="15" t="s">
        <v>312</v>
      </c>
      <c r="C384" s="15" t="s">
        <v>375</v>
      </c>
      <c r="D384" s="15" t="s">
        <v>2641</v>
      </c>
      <c r="E384" s="15" t="s">
        <v>2002</v>
      </c>
      <c r="F384" s="15" t="s">
        <v>2190</v>
      </c>
      <c r="G384" s="15" t="s">
        <v>120</v>
      </c>
      <c r="H384" s="15" t="s">
        <v>1988</v>
      </c>
      <c r="I384" s="23" t="n">
        <v>1299</v>
      </c>
      <c r="J384" s="15" t="s">
        <v>2191</v>
      </c>
      <c r="K384" s="15" t="s">
        <v>2192</v>
      </c>
      <c r="L384" s="15" t="s">
        <v>2184</v>
      </c>
      <c r="M384" s="15" t="s">
        <v>1478</v>
      </c>
      <c r="N384" s="15"/>
    </row>
    <row r="385" customFormat="false" ht="39" hidden="false" customHeight="true" outlineLevel="0" collapsed="false">
      <c r="A385" s="15" t="s">
        <v>2642</v>
      </c>
      <c r="B385" s="15" t="s">
        <v>312</v>
      </c>
      <c r="C385" s="15" t="s">
        <v>375</v>
      </c>
      <c r="D385" s="15" t="s">
        <v>2366</v>
      </c>
      <c r="E385" s="15" t="s">
        <v>2099</v>
      </c>
      <c r="F385" s="15" t="s">
        <v>2190</v>
      </c>
      <c r="G385" s="15" t="s">
        <v>120</v>
      </c>
      <c r="H385" s="15" t="s">
        <v>1988</v>
      </c>
      <c r="I385" s="23" t="n">
        <v>1199</v>
      </c>
      <c r="J385" s="15" t="s">
        <v>2191</v>
      </c>
      <c r="K385" s="15" t="s">
        <v>2192</v>
      </c>
      <c r="L385" s="15" t="s">
        <v>2184</v>
      </c>
      <c r="M385" s="15" t="s">
        <v>1478</v>
      </c>
      <c r="N385" s="15"/>
    </row>
    <row r="386" customFormat="false" ht="39" hidden="false" customHeight="true" outlineLevel="0" collapsed="false">
      <c r="A386" s="15" t="s">
        <v>2643</v>
      </c>
      <c r="B386" s="15" t="s">
        <v>312</v>
      </c>
      <c r="C386" s="15" t="s">
        <v>375</v>
      </c>
      <c r="D386" s="15" t="s">
        <v>2644</v>
      </c>
      <c r="E386" s="15" t="s">
        <v>2032</v>
      </c>
      <c r="F386" s="15" t="s">
        <v>2190</v>
      </c>
      <c r="G386" s="15" t="s">
        <v>120</v>
      </c>
      <c r="H386" s="15" t="s">
        <v>1988</v>
      </c>
      <c r="I386" s="23" t="n">
        <v>1192</v>
      </c>
      <c r="J386" s="15" t="s">
        <v>2191</v>
      </c>
      <c r="K386" s="15" t="s">
        <v>2192</v>
      </c>
      <c r="L386" s="15" t="s">
        <v>2184</v>
      </c>
      <c r="M386" s="15" t="s">
        <v>1478</v>
      </c>
      <c r="N386" s="15"/>
    </row>
    <row r="387" customFormat="false" ht="39" hidden="false" customHeight="true" outlineLevel="0" collapsed="false">
      <c r="A387" s="15" t="s">
        <v>2645</v>
      </c>
      <c r="B387" s="15" t="s">
        <v>312</v>
      </c>
      <c r="C387" s="15" t="s">
        <v>375</v>
      </c>
      <c r="D387" s="15" t="s">
        <v>2366</v>
      </c>
      <c r="E387" s="15" t="s">
        <v>2099</v>
      </c>
      <c r="F387" s="15" t="s">
        <v>2190</v>
      </c>
      <c r="G387" s="15" t="s">
        <v>120</v>
      </c>
      <c r="H387" s="15" t="s">
        <v>1988</v>
      </c>
      <c r="I387" s="23" t="n">
        <v>1063</v>
      </c>
      <c r="J387" s="15" t="s">
        <v>2191</v>
      </c>
      <c r="K387" s="15" t="s">
        <v>2192</v>
      </c>
      <c r="L387" s="15" t="s">
        <v>2184</v>
      </c>
      <c r="M387" s="15" t="s">
        <v>1478</v>
      </c>
      <c r="N387" s="15"/>
    </row>
    <row r="388" customFormat="false" ht="39" hidden="false" customHeight="true" outlineLevel="0" collapsed="false">
      <c r="A388" s="15" t="s">
        <v>2646</v>
      </c>
      <c r="B388" s="15" t="s">
        <v>312</v>
      </c>
      <c r="C388" s="15" t="s">
        <v>375</v>
      </c>
      <c r="D388" s="15" t="s">
        <v>2369</v>
      </c>
      <c r="E388" s="15" t="s">
        <v>2234</v>
      </c>
      <c r="F388" s="15" t="s">
        <v>2190</v>
      </c>
      <c r="G388" s="15" t="s">
        <v>120</v>
      </c>
      <c r="H388" s="15" t="s">
        <v>1988</v>
      </c>
      <c r="I388" s="23" t="n">
        <v>999</v>
      </c>
      <c r="J388" s="15" t="s">
        <v>2191</v>
      </c>
      <c r="K388" s="15" t="s">
        <v>2192</v>
      </c>
      <c r="L388" s="15" t="s">
        <v>2184</v>
      </c>
      <c r="M388" s="15" t="s">
        <v>1478</v>
      </c>
      <c r="N388" s="15"/>
    </row>
    <row r="389" customFormat="false" ht="39" hidden="false" customHeight="true" outlineLevel="0" collapsed="false">
      <c r="A389" s="15" t="s">
        <v>2647</v>
      </c>
      <c r="B389" s="15" t="s">
        <v>312</v>
      </c>
      <c r="C389" s="15" t="s">
        <v>375</v>
      </c>
      <c r="D389" s="15" t="s">
        <v>2298</v>
      </c>
      <c r="E389" s="15" t="s">
        <v>2234</v>
      </c>
      <c r="F389" s="15" t="s">
        <v>2190</v>
      </c>
      <c r="G389" s="15" t="s">
        <v>120</v>
      </c>
      <c r="H389" s="15" t="s">
        <v>1988</v>
      </c>
      <c r="I389" s="23" t="n">
        <v>999</v>
      </c>
      <c r="J389" s="15" t="s">
        <v>2191</v>
      </c>
      <c r="K389" s="15" t="s">
        <v>2192</v>
      </c>
      <c r="L389" s="15" t="s">
        <v>2184</v>
      </c>
      <c r="M389" s="15" t="s">
        <v>1478</v>
      </c>
      <c r="N389" s="15"/>
    </row>
    <row r="390" customFormat="false" ht="39" hidden="false" customHeight="true" outlineLevel="0" collapsed="false">
      <c r="A390" s="15" t="s">
        <v>2648</v>
      </c>
      <c r="B390" s="15" t="s">
        <v>312</v>
      </c>
      <c r="C390" s="15" t="s">
        <v>375</v>
      </c>
      <c r="D390" s="15" t="s">
        <v>2649</v>
      </c>
      <c r="E390" s="15" t="s">
        <v>1986</v>
      </c>
      <c r="F390" s="15" t="s">
        <v>2190</v>
      </c>
      <c r="G390" s="15" t="s">
        <v>120</v>
      </c>
      <c r="H390" s="15" t="s">
        <v>1988</v>
      </c>
      <c r="I390" s="23" t="n">
        <v>849</v>
      </c>
      <c r="J390" s="15" t="s">
        <v>2191</v>
      </c>
      <c r="K390" s="15" t="s">
        <v>2192</v>
      </c>
      <c r="L390" s="15" t="s">
        <v>2184</v>
      </c>
      <c r="M390" s="15" t="s">
        <v>1478</v>
      </c>
      <c r="N390" s="15"/>
    </row>
    <row r="391" customFormat="false" ht="39" hidden="false" customHeight="true" outlineLevel="0" collapsed="false">
      <c r="A391" s="15" t="s">
        <v>2650</v>
      </c>
      <c r="B391" s="15" t="s">
        <v>312</v>
      </c>
      <c r="C391" s="15" t="s">
        <v>375</v>
      </c>
      <c r="D391" s="15" t="s">
        <v>2371</v>
      </c>
      <c r="E391" s="15" t="s">
        <v>2032</v>
      </c>
      <c r="F391" s="15" t="s">
        <v>2190</v>
      </c>
      <c r="G391" s="15" t="s">
        <v>120</v>
      </c>
      <c r="H391" s="15" t="s">
        <v>1988</v>
      </c>
      <c r="I391" s="23" t="n">
        <v>799</v>
      </c>
      <c r="J391" s="15" t="s">
        <v>2191</v>
      </c>
      <c r="K391" s="15" t="s">
        <v>2192</v>
      </c>
      <c r="L391" s="15" t="s">
        <v>2184</v>
      </c>
      <c r="M391" s="15" t="s">
        <v>1478</v>
      </c>
      <c r="N391" s="15"/>
    </row>
    <row r="392" customFormat="false" ht="39" hidden="false" customHeight="true" outlineLevel="0" collapsed="false">
      <c r="A392" s="15" t="s">
        <v>2651</v>
      </c>
      <c r="B392" s="15" t="s">
        <v>312</v>
      </c>
      <c r="C392" s="15" t="s">
        <v>375</v>
      </c>
      <c r="D392" s="15" t="s">
        <v>2375</v>
      </c>
      <c r="E392" s="15" t="s">
        <v>2234</v>
      </c>
      <c r="F392" s="15" t="s">
        <v>2190</v>
      </c>
      <c r="G392" s="15" t="s">
        <v>120</v>
      </c>
      <c r="H392" s="15" t="s">
        <v>1988</v>
      </c>
      <c r="I392" s="23" t="n">
        <v>799</v>
      </c>
      <c r="J392" s="15" t="s">
        <v>2191</v>
      </c>
      <c r="K392" s="15" t="s">
        <v>2192</v>
      </c>
      <c r="L392" s="15" t="s">
        <v>2184</v>
      </c>
      <c r="M392" s="15" t="s">
        <v>1478</v>
      </c>
      <c r="N392" s="15"/>
    </row>
    <row r="393" customFormat="false" ht="39" hidden="false" customHeight="true" outlineLevel="0" collapsed="false">
      <c r="A393" s="15" t="s">
        <v>2652</v>
      </c>
      <c r="B393" s="15" t="s">
        <v>312</v>
      </c>
      <c r="C393" s="15" t="s">
        <v>375</v>
      </c>
      <c r="D393" s="15" t="s">
        <v>2373</v>
      </c>
      <c r="E393" s="15" t="s">
        <v>2047</v>
      </c>
      <c r="F393" s="15" t="s">
        <v>2190</v>
      </c>
      <c r="G393" s="15" t="s">
        <v>120</v>
      </c>
      <c r="H393" s="15" t="s">
        <v>1988</v>
      </c>
      <c r="I393" s="23" t="n">
        <v>799</v>
      </c>
      <c r="J393" s="15" t="s">
        <v>2191</v>
      </c>
      <c r="K393" s="15" t="s">
        <v>2192</v>
      </c>
      <c r="L393" s="15" t="s">
        <v>2184</v>
      </c>
      <c r="M393" s="15" t="s">
        <v>1478</v>
      </c>
      <c r="N393" s="15"/>
    </row>
    <row r="394" customFormat="false" ht="39" hidden="false" customHeight="true" outlineLevel="0" collapsed="false">
      <c r="A394" s="15" t="s">
        <v>2653</v>
      </c>
      <c r="B394" s="15" t="s">
        <v>312</v>
      </c>
      <c r="C394" s="15" t="s">
        <v>375</v>
      </c>
      <c r="D394" s="15" t="s">
        <v>2377</v>
      </c>
      <c r="E394" s="15" t="s">
        <v>2234</v>
      </c>
      <c r="F394" s="15" t="s">
        <v>2190</v>
      </c>
      <c r="G394" s="15" t="s">
        <v>120</v>
      </c>
      <c r="H394" s="15" t="s">
        <v>1988</v>
      </c>
      <c r="I394" s="23" t="n">
        <v>752</v>
      </c>
      <c r="J394" s="15" t="s">
        <v>2191</v>
      </c>
      <c r="K394" s="15" t="s">
        <v>2192</v>
      </c>
      <c r="L394" s="15" t="s">
        <v>2184</v>
      </c>
      <c r="M394" s="15" t="s">
        <v>1478</v>
      </c>
      <c r="N394" s="15"/>
    </row>
    <row r="395" customFormat="false" ht="39" hidden="false" customHeight="true" outlineLevel="0" collapsed="false">
      <c r="A395" s="15" t="s">
        <v>2654</v>
      </c>
      <c r="B395" s="15" t="s">
        <v>312</v>
      </c>
      <c r="C395" s="15" t="s">
        <v>375</v>
      </c>
      <c r="D395" s="15" t="s">
        <v>2379</v>
      </c>
      <c r="E395" s="15" t="s">
        <v>2234</v>
      </c>
      <c r="F395" s="15" t="s">
        <v>2190</v>
      </c>
      <c r="G395" s="15" t="s">
        <v>120</v>
      </c>
      <c r="H395" s="15" t="s">
        <v>1988</v>
      </c>
      <c r="I395" s="23" t="n">
        <v>752</v>
      </c>
      <c r="J395" s="15" t="s">
        <v>2191</v>
      </c>
      <c r="K395" s="15" t="s">
        <v>2192</v>
      </c>
      <c r="L395" s="15" t="s">
        <v>2184</v>
      </c>
      <c r="M395" s="15" t="s">
        <v>1478</v>
      </c>
      <c r="N395" s="15"/>
    </row>
    <row r="396" customFormat="false" ht="39" hidden="false" customHeight="true" outlineLevel="0" collapsed="false">
      <c r="A396" s="15" t="s">
        <v>2655</v>
      </c>
      <c r="B396" s="15" t="s">
        <v>312</v>
      </c>
      <c r="C396" s="15" t="s">
        <v>375</v>
      </c>
      <c r="D396" s="15" t="s">
        <v>2381</v>
      </c>
      <c r="E396" s="15" t="s">
        <v>2234</v>
      </c>
      <c r="F396" s="15" t="s">
        <v>2190</v>
      </c>
      <c r="G396" s="15" t="s">
        <v>120</v>
      </c>
      <c r="H396" s="15" t="s">
        <v>1988</v>
      </c>
      <c r="I396" s="23" t="n">
        <v>739</v>
      </c>
      <c r="J396" s="15" t="s">
        <v>2191</v>
      </c>
      <c r="K396" s="15" t="s">
        <v>2192</v>
      </c>
      <c r="L396" s="15" t="s">
        <v>2184</v>
      </c>
      <c r="M396" s="15" t="s">
        <v>1478</v>
      </c>
      <c r="N396" s="15"/>
    </row>
    <row r="397" customFormat="false" ht="39" hidden="false" customHeight="true" outlineLevel="0" collapsed="false">
      <c r="A397" s="15" t="s">
        <v>2656</v>
      </c>
      <c r="B397" s="15" t="s">
        <v>312</v>
      </c>
      <c r="C397" s="15" t="s">
        <v>375</v>
      </c>
      <c r="D397" s="15" t="s">
        <v>2302</v>
      </c>
      <c r="E397" s="15" t="s">
        <v>2234</v>
      </c>
      <c r="F397" s="15" t="s">
        <v>2190</v>
      </c>
      <c r="G397" s="15" t="s">
        <v>120</v>
      </c>
      <c r="H397" s="15" t="s">
        <v>1988</v>
      </c>
      <c r="I397" s="23" t="n">
        <v>699</v>
      </c>
      <c r="J397" s="15" t="s">
        <v>2191</v>
      </c>
      <c r="K397" s="15" t="s">
        <v>2192</v>
      </c>
      <c r="L397" s="15" t="s">
        <v>2184</v>
      </c>
      <c r="M397" s="15" t="s">
        <v>1478</v>
      </c>
      <c r="N397" s="15" t="s">
        <v>2580</v>
      </c>
    </row>
    <row r="398" customFormat="false" ht="39" hidden="false" customHeight="true" outlineLevel="0" collapsed="false">
      <c r="A398" s="15" t="s">
        <v>2657</v>
      </c>
      <c r="B398" s="15" t="s">
        <v>312</v>
      </c>
      <c r="C398" s="15" t="s">
        <v>375</v>
      </c>
      <c r="D398" s="15" t="s">
        <v>2306</v>
      </c>
      <c r="E398" s="15" t="s">
        <v>2234</v>
      </c>
      <c r="F398" s="15" t="s">
        <v>2190</v>
      </c>
      <c r="G398" s="15" t="s">
        <v>120</v>
      </c>
      <c r="H398" s="15" t="s">
        <v>1988</v>
      </c>
      <c r="I398" s="23" t="n">
        <v>669</v>
      </c>
      <c r="J398" s="15" t="s">
        <v>2191</v>
      </c>
      <c r="K398" s="15" t="s">
        <v>2192</v>
      </c>
      <c r="L398" s="15" t="s">
        <v>2184</v>
      </c>
      <c r="M398" s="15" t="s">
        <v>1478</v>
      </c>
      <c r="N398" s="15"/>
    </row>
    <row r="399" customFormat="false" ht="39" hidden="false" customHeight="true" outlineLevel="0" collapsed="false">
      <c r="A399" s="15" t="s">
        <v>2658</v>
      </c>
      <c r="B399" s="15" t="s">
        <v>312</v>
      </c>
      <c r="C399" s="15" t="s">
        <v>375</v>
      </c>
      <c r="D399" s="15" t="s">
        <v>2383</v>
      </c>
      <c r="E399" s="15" t="s">
        <v>2234</v>
      </c>
      <c r="F399" s="15" t="s">
        <v>2190</v>
      </c>
      <c r="G399" s="15" t="s">
        <v>120</v>
      </c>
      <c r="H399" s="15" t="s">
        <v>1988</v>
      </c>
      <c r="I399" s="23" t="n">
        <v>659</v>
      </c>
      <c r="J399" s="15" t="s">
        <v>2191</v>
      </c>
      <c r="K399" s="15" t="s">
        <v>2192</v>
      </c>
      <c r="L399" s="15" t="s">
        <v>2184</v>
      </c>
      <c r="M399" s="15" t="s">
        <v>1478</v>
      </c>
      <c r="N399" s="15"/>
    </row>
    <row r="400" customFormat="false" ht="39" hidden="false" customHeight="true" outlineLevel="0" collapsed="false">
      <c r="A400" s="15" t="s">
        <v>2659</v>
      </c>
      <c r="B400" s="15" t="s">
        <v>312</v>
      </c>
      <c r="C400" s="15" t="s">
        <v>375</v>
      </c>
      <c r="D400" s="15" t="s">
        <v>2250</v>
      </c>
      <c r="E400" s="15" t="s">
        <v>2002</v>
      </c>
      <c r="F400" s="15" t="s">
        <v>2190</v>
      </c>
      <c r="G400" s="15" t="s">
        <v>120</v>
      </c>
      <c r="H400" s="15" t="s">
        <v>1988</v>
      </c>
      <c r="I400" s="23" t="n">
        <v>649</v>
      </c>
      <c r="J400" s="15" t="s">
        <v>2191</v>
      </c>
      <c r="K400" s="15" t="s">
        <v>2192</v>
      </c>
      <c r="L400" s="15" t="s">
        <v>2184</v>
      </c>
      <c r="M400" s="15" t="s">
        <v>1478</v>
      </c>
      <c r="N400" s="15"/>
    </row>
    <row r="401" customFormat="false" ht="39" hidden="false" customHeight="true" outlineLevel="0" collapsed="false">
      <c r="A401" s="15" t="s">
        <v>2660</v>
      </c>
      <c r="B401" s="15" t="s">
        <v>312</v>
      </c>
      <c r="C401" s="15" t="s">
        <v>375</v>
      </c>
      <c r="D401" s="15" t="s">
        <v>2661</v>
      </c>
      <c r="E401" s="15" t="s">
        <v>2002</v>
      </c>
      <c r="F401" s="15" t="s">
        <v>2190</v>
      </c>
      <c r="G401" s="15" t="s">
        <v>120</v>
      </c>
      <c r="H401" s="15" t="s">
        <v>1988</v>
      </c>
      <c r="I401" s="23" t="n">
        <v>645</v>
      </c>
      <c r="J401" s="15" t="s">
        <v>2191</v>
      </c>
      <c r="K401" s="15" t="s">
        <v>2192</v>
      </c>
      <c r="L401" s="15" t="s">
        <v>2184</v>
      </c>
      <c r="M401" s="15" t="s">
        <v>1478</v>
      </c>
      <c r="N401" s="15"/>
    </row>
    <row r="402" customFormat="false" ht="39" hidden="false" customHeight="true" outlineLevel="0" collapsed="false">
      <c r="A402" s="15" t="s">
        <v>2662</v>
      </c>
      <c r="B402" s="15" t="s">
        <v>312</v>
      </c>
      <c r="C402" s="15" t="s">
        <v>375</v>
      </c>
      <c r="D402" s="15" t="s">
        <v>2252</v>
      </c>
      <c r="E402" s="15" t="s">
        <v>2027</v>
      </c>
      <c r="F402" s="15" t="s">
        <v>2190</v>
      </c>
      <c r="G402" s="15" t="s">
        <v>120</v>
      </c>
      <c r="H402" s="15" t="s">
        <v>1988</v>
      </c>
      <c r="I402" s="23" t="n">
        <v>599</v>
      </c>
      <c r="J402" s="15" t="s">
        <v>2191</v>
      </c>
      <c r="K402" s="15" t="s">
        <v>2192</v>
      </c>
      <c r="L402" s="15" t="s">
        <v>2184</v>
      </c>
      <c r="M402" s="15" t="s">
        <v>1478</v>
      </c>
      <c r="N402" s="15"/>
    </row>
    <row r="403" customFormat="false" ht="39" hidden="false" customHeight="true" outlineLevel="0" collapsed="false">
      <c r="A403" s="15" t="s">
        <v>2663</v>
      </c>
      <c r="B403" s="15" t="s">
        <v>312</v>
      </c>
      <c r="C403" s="15" t="s">
        <v>375</v>
      </c>
      <c r="D403" s="15" t="s">
        <v>2308</v>
      </c>
      <c r="E403" s="15" t="s">
        <v>2002</v>
      </c>
      <c r="F403" s="15" t="s">
        <v>2190</v>
      </c>
      <c r="G403" s="15" t="s">
        <v>120</v>
      </c>
      <c r="H403" s="15" t="s">
        <v>1988</v>
      </c>
      <c r="I403" s="23" t="n">
        <v>599</v>
      </c>
      <c r="J403" s="15" t="s">
        <v>2191</v>
      </c>
      <c r="K403" s="15" t="s">
        <v>2192</v>
      </c>
      <c r="L403" s="15" t="s">
        <v>2184</v>
      </c>
      <c r="M403" s="15" t="s">
        <v>1478</v>
      </c>
      <c r="N403" s="15"/>
    </row>
    <row r="404" customFormat="false" ht="39" hidden="false" customHeight="true" outlineLevel="0" collapsed="false">
      <c r="A404" s="15" t="s">
        <v>2664</v>
      </c>
      <c r="B404" s="15" t="s">
        <v>312</v>
      </c>
      <c r="C404" s="15" t="s">
        <v>375</v>
      </c>
      <c r="D404" s="15" t="s">
        <v>2385</v>
      </c>
      <c r="E404" s="15" t="s">
        <v>2047</v>
      </c>
      <c r="F404" s="15" t="s">
        <v>2190</v>
      </c>
      <c r="G404" s="15" t="s">
        <v>120</v>
      </c>
      <c r="H404" s="15" t="s">
        <v>1988</v>
      </c>
      <c r="I404" s="23" t="n">
        <v>579</v>
      </c>
      <c r="J404" s="15" t="s">
        <v>2191</v>
      </c>
      <c r="K404" s="15" t="s">
        <v>2192</v>
      </c>
      <c r="L404" s="15" t="s">
        <v>2184</v>
      </c>
      <c r="M404" s="15" t="s">
        <v>1478</v>
      </c>
      <c r="N404" s="15"/>
    </row>
    <row r="405" customFormat="false" ht="39" hidden="false" customHeight="true" outlineLevel="0" collapsed="false">
      <c r="A405" s="15" t="s">
        <v>2665</v>
      </c>
      <c r="B405" s="15" t="s">
        <v>312</v>
      </c>
      <c r="C405" s="15" t="s">
        <v>375</v>
      </c>
      <c r="D405" s="15" t="s">
        <v>2387</v>
      </c>
      <c r="E405" s="15" t="s">
        <v>2234</v>
      </c>
      <c r="F405" s="15" t="s">
        <v>2190</v>
      </c>
      <c r="G405" s="15" t="s">
        <v>120</v>
      </c>
      <c r="H405" s="15" t="s">
        <v>1988</v>
      </c>
      <c r="I405" s="23" t="n">
        <v>549</v>
      </c>
      <c r="J405" s="15" t="s">
        <v>2191</v>
      </c>
      <c r="K405" s="15" t="s">
        <v>2192</v>
      </c>
      <c r="L405" s="15" t="s">
        <v>2184</v>
      </c>
      <c r="M405" s="15" t="s">
        <v>1478</v>
      </c>
      <c r="N405" s="15"/>
    </row>
    <row r="406" customFormat="false" ht="39" hidden="false" customHeight="true" outlineLevel="0" collapsed="false">
      <c r="A406" s="15" t="s">
        <v>2666</v>
      </c>
      <c r="B406" s="15" t="s">
        <v>312</v>
      </c>
      <c r="C406" s="15" t="s">
        <v>375</v>
      </c>
      <c r="D406" s="15" t="s">
        <v>2312</v>
      </c>
      <c r="E406" s="15" t="s">
        <v>2002</v>
      </c>
      <c r="F406" s="15" t="s">
        <v>2190</v>
      </c>
      <c r="G406" s="15" t="s">
        <v>120</v>
      </c>
      <c r="H406" s="15" t="s">
        <v>1988</v>
      </c>
      <c r="I406" s="23" t="n">
        <v>549</v>
      </c>
      <c r="J406" s="15" t="s">
        <v>2191</v>
      </c>
      <c r="K406" s="15" t="s">
        <v>2192</v>
      </c>
      <c r="L406" s="15" t="s">
        <v>2184</v>
      </c>
      <c r="M406" s="15" t="s">
        <v>1478</v>
      </c>
      <c r="N406" s="15"/>
    </row>
    <row r="407" customFormat="false" ht="39" hidden="false" customHeight="true" outlineLevel="0" collapsed="false">
      <c r="A407" s="15" t="s">
        <v>2667</v>
      </c>
      <c r="B407" s="15" t="s">
        <v>312</v>
      </c>
      <c r="C407" s="15" t="s">
        <v>375</v>
      </c>
      <c r="D407" s="15" t="s">
        <v>2310</v>
      </c>
      <c r="E407" s="15" t="s">
        <v>2002</v>
      </c>
      <c r="F407" s="15" t="s">
        <v>2190</v>
      </c>
      <c r="G407" s="15" t="s">
        <v>120</v>
      </c>
      <c r="H407" s="15" t="s">
        <v>1988</v>
      </c>
      <c r="I407" s="23" t="n">
        <v>549</v>
      </c>
      <c r="J407" s="15" t="s">
        <v>2191</v>
      </c>
      <c r="K407" s="15" t="s">
        <v>2192</v>
      </c>
      <c r="L407" s="15" t="s">
        <v>2184</v>
      </c>
      <c r="M407" s="15" t="s">
        <v>1478</v>
      </c>
      <c r="N407" s="15"/>
    </row>
    <row r="408" customFormat="false" ht="39" hidden="false" customHeight="true" outlineLevel="0" collapsed="false">
      <c r="A408" s="15" t="s">
        <v>2668</v>
      </c>
      <c r="B408" s="15" t="s">
        <v>312</v>
      </c>
      <c r="C408" s="15" t="s">
        <v>375</v>
      </c>
      <c r="D408" s="15" t="s">
        <v>2669</v>
      </c>
      <c r="E408" s="15" t="s">
        <v>2032</v>
      </c>
      <c r="F408" s="15" t="s">
        <v>2190</v>
      </c>
      <c r="G408" s="15" t="s">
        <v>120</v>
      </c>
      <c r="H408" s="15" t="s">
        <v>1988</v>
      </c>
      <c r="I408" s="23" t="n">
        <v>549</v>
      </c>
      <c r="J408" s="15" t="s">
        <v>2191</v>
      </c>
      <c r="K408" s="15" t="s">
        <v>2192</v>
      </c>
      <c r="L408" s="15" t="s">
        <v>2184</v>
      </c>
      <c r="M408" s="15" t="s">
        <v>1478</v>
      </c>
      <c r="N408" s="15"/>
    </row>
    <row r="409" customFormat="false" ht="39" hidden="false" customHeight="true" outlineLevel="0" collapsed="false">
      <c r="A409" s="15" t="s">
        <v>2670</v>
      </c>
      <c r="B409" s="15" t="s">
        <v>312</v>
      </c>
      <c r="C409" s="15" t="s">
        <v>375</v>
      </c>
      <c r="D409" s="15" t="s">
        <v>2389</v>
      </c>
      <c r="E409" s="15" t="s">
        <v>2234</v>
      </c>
      <c r="F409" s="15" t="s">
        <v>2190</v>
      </c>
      <c r="G409" s="15" t="s">
        <v>120</v>
      </c>
      <c r="H409" s="15" t="s">
        <v>1988</v>
      </c>
      <c r="I409" s="23" t="n">
        <v>499</v>
      </c>
      <c r="J409" s="15" t="s">
        <v>2191</v>
      </c>
      <c r="K409" s="15" t="s">
        <v>2192</v>
      </c>
      <c r="L409" s="15" t="s">
        <v>2184</v>
      </c>
      <c r="M409" s="15" t="s">
        <v>1478</v>
      </c>
      <c r="N409" s="15"/>
    </row>
    <row r="410" customFormat="false" ht="39" hidden="false" customHeight="true" outlineLevel="0" collapsed="false">
      <c r="A410" s="15" t="s">
        <v>2671</v>
      </c>
      <c r="B410" s="15" t="s">
        <v>312</v>
      </c>
      <c r="C410" s="15" t="s">
        <v>375</v>
      </c>
      <c r="D410" s="15" t="s">
        <v>2272</v>
      </c>
      <c r="E410" s="15" t="s">
        <v>2002</v>
      </c>
      <c r="F410" s="15" t="s">
        <v>2190</v>
      </c>
      <c r="G410" s="15" t="s">
        <v>120</v>
      </c>
      <c r="H410" s="15" t="s">
        <v>1988</v>
      </c>
      <c r="I410" s="23" t="n">
        <v>499</v>
      </c>
      <c r="J410" s="15" t="s">
        <v>2191</v>
      </c>
      <c r="K410" s="15" t="s">
        <v>2192</v>
      </c>
      <c r="L410" s="15" t="s">
        <v>2184</v>
      </c>
      <c r="M410" s="15" t="s">
        <v>1478</v>
      </c>
      <c r="N410" s="15"/>
    </row>
    <row r="411" customFormat="false" ht="39" hidden="false" customHeight="true" outlineLevel="0" collapsed="false">
      <c r="A411" s="15" t="s">
        <v>2672</v>
      </c>
      <c r="B411" s="15" t="s">
        <v>312</v>
      </c>
      <c r="C411" s="15" t="s">
        <v>375</v>
      </c>
      <c r="D411" s="15" t="s">
        <v>2274</v>
      </c>
      <c r="E411" s="15" t="s">
        <v>2002</v>
      </c>
      <c r="F411" s="15" t="s">
        <v>2190</v>
      </c>
      <c r="G411" s="15" t="s">
        <v>120</v>
      </c>
      <c r="H411" s="15" t="s">
        <v>1988</v>
      </c>
      <c r="I411" s="23" t="n">
        <v>449</v>
      </c>
      <c r="J411" s="15" t="s">
        <v>2191</v>
      </c>
      <c r="K411" s="15" t="s">
        <v>2192</v>
      </c>
      <c r="L411" s="15" t="s">
        <v>2184</v>
      </c>
      <c r="M411" s="15" t="s">
        <v>1478</v>
      </c>
      <c r="N411" s="15"/>
    </row>
    <row r="412" customFormat="false" ht="39" hidden="false" customHeight="true" outlineLevel="0" collapsed="false">
      <c r="A412" s="15" t="s">
        <v>2673</v>
      </c>
      <c r="B412" s="15" t="s">
        <v>312</v>
      </c>
      <c r="C412" s="15" t="s">
        <v>375</v>
      </c>
      <c r="D412" s="15" t="s">
        <v>2391</v>
      </c>
      <c r="E412" s="15" t="s">
        <v>2234</v>
      </c>
      <c r="F412" s="15" t="s">
        <v>2190</v>
      </c>
      <c r="G412" s="15" t="s">
        <v>120</v>
      </c>
      <c r="H412" s="15" t="s">
        <v>1988</v>
      </c>
      <c r="I412" s="23" t="n">
        <v>444</v>
      </c>
      <c r="J412" s="15" t="s">
        <v>2191</v>
      </c>
      <c r="K412" s="15" t="s">
        <v>2192</v>
      </c>
      <c r="L412" s="15" t="s">
        <v>2184</v>
      </c>
      <c r="M412" s="15" t="s">
        <v>1478</v>
      </c>
      <c r="N412" s="15"/>
    </row>
    <row r="413" customFormat="false" ht="39" hidden="false" customHeight="true" outlineLevel="0" collapsed="false">
      <c r="A413" s="15" t="s">
        <v>2674</v>
      </c>
      <c r="B413" s="15" t="s">
        <v>312</v>
      </c>
      <c r="C413" s="15" t="s">
        <v>375</v>
      </c>
      <c r="D413" s="15" t="s">
        <v>2314</v>
      </c>
      <c r="E413" s="15" t="s">
        <v>2234</v>
      </c>
      <c r="F413" s="15" t="s">
        <v>2190</v>
      </c>
      <c r="G413" s="15" t="s">
        <v>120</v>
      </c>
      <c r="H413" s="15" t="s">
        <v>1988</v>
      </c>
      <c r="I413" s="23" t="n">
        <v>439</v>
      </c>
      <c r="J413" s="15" t="s">
        <v>2191</v>
      </c>
      <c r="K413" s="15" t="s">
        <v>2192</v>
      </c>
      <c r="L413" s="15" t="s">
        <v>2184</v>
      </c>
      <c r="M413" s="15" t="s">
        <v>1478</v>
      </c>
      <c r="N413" s="15"/>
    </row>
    <row r="414" customFormat="false" ht="39" hidden="false" customHeight="true" outlineLevel="0" collapsed="false">
      <c r="A414" s="15" t="s">
        <v>2675</v>
      </c>
      <c r="B414" s="15" t="s">
        <v>312</v>
      </c>
      <c r="C414" s="15" t="s">
        <v>375</v>
      </c>
      <c r="D414" s="15" t="s">
        <v>2393</v>
      </c>
      <c r="E414" s="15" t="s">
        <v>2234</v>
      </c>
      <c r="F414" s="15" t="s">
        <v>2190</v>
      </c>
      <c r="G414" s="15" t="s">
        <v>120</v>
      </c>
      <c r="H414" s="15" t="s">
        <v>1988</v>
      </c>
      <c r="I414" s="23" t="n">
        <v>431</v>
      </c>
      <c r="J414" s="15" t="s">
        <v>2191</v>
      </c>
      <c r="K414" s="15" t="s">
        <v>2192</v>
      </c>
      <c r="L414" s="15" t="s">
        <v>2184</v>
      </c>
      <c r="M414" s="15" t="s">
        <v>1478</v>
      </c>
      <c r="N414" s="15"/>
    </row>
    <row r="415" customFormat="false" ht="39" hidden="false" customHeight="true" outlineLevel="0" collapsed="false">
      <c r="A415" s="15" t="s">
        <v>2676</v>
      </c>
      <c r="B415" s="15" t="s">
        <v>312</v>
      </c>
      <c r="C415" s="15" t="s">
        <v>375</v>
      </c>
      <c r="D415" s="15" t="s">
        <v>2395</v>
      </c>
      <c r="E415" s="15" t="s">
        <v>2234</v>
      </c>
      <c r="F415" s="15" t="s">
        <v>2190</v>
      </c>
      <c r="G415" s="15" t="s">
        <v>120</v>
      </c>
      <c r="H415" s="15" t="s">
        <v>1988</v>
      </c>
      <c r="I415" s="23" t="n">
        <v>419</v>
      </c>
      <c r="J415" s="15" t="s">
        <v>2191</v>
      </c>
      <c r="K415" s="15" t="s">
        <v>2192</v>
      </c>
      <c r="L415" s="15" t="s">
        <v>2184</v>
      </c>
      <c r="M415" s="15" t="s">
        <v>1478</v>
      </c>
      <c r="N415" s="15"/>
    </row>
    <row r="416" customFormat="false" ht="39" hidden="false" customHeight="true" outlineLevel="0" collapsed="false">
      <c r="A416" s="15" t="s">
        <v>2677</v>
      </c>
      <c r="B416" s="15" t="s">
        <v>312</v>
      </c>
      <c r="C416" s="15" t="s">
        <v>375</v>
      </c>
      <c r="D416" s="15" t="s">
        <v>2397</v>
      </c>
      <c r="E416" s="15" t="s">
        <v>2234</v>
      </c>
      <c r="F416" s="15" t="s">
        <v>2190</v>
      </c>
      <c r="G416" s="15" t="s">
        <v>120</v>
      </c>
      <c r="H416" s="15" t="s">
        <v>1988</v>
      </c>
      <c r="I416" s="23" t="n">
        <v>419</v>
      </c>
      <c r="J416" s="15" t="s">
        <v>2191</v>
      </c>
      <c r="K416" s="15" t="s">
        <v>2192</v>
      </c>
      <c r="L416" s="15" t="s">
        <v>2184</v>
      </c>
      <c r="M416" s="15" t="s">
        <v>1478</v>
      </c>
      <c r="N416" s="15"/>
    </row>
    <row r="417" customFormat="false" ht="39" hidden="false" customHeight="true" outlineLevel="0" collapsed="false">
      <c r="A417" s="15" t="s">
        <v>2678</v>
      </c>
      <c r="B417" s="15" t="s">
        <v>312</v>
      </c>
      <c r="C417" s="15" t="s">
        <v>375</v>
      </c>
      <c r="D417" s="15" t="s">
        <v>2401</v>
      </c>
      <c r="E417" s="15" t="s">
        <v>2331</v>
      </c>
      <c r="F417" s="15" t="s">
        <v>2190</v>
      </c>
      <c r="G417" s="15" t="s">
        <v>120</v>
      </c>
      <c r="H417" s="15" t="s">
        <v>1988</v>
      </c>
      <c r="I417" s="23" t="n">
        <v>399</v>
      </c>
      <c r="J417" s="15" t="s">
        <v>2191</v>
      </c>
      <c r="K417" s="15" t="s">
        <v>2192</v>
      </c>
      <c r="L417" s="15" t="s">
        <v>2184</v>
      </c>
      <c r="M417" s="15" t="s">
        <v>1478</v>
      </c>
      <c r="N417" s="15"/>
    </row>
    <row r="418" customFormat="false" ht="39" hidden="false" customHeight="true" outlineLevel="0" collapsed="false">
      <c r="A418" s="15" t="s">
        <v>2679</v>
      </c>
      <c r="B418" s="15" t="s">
        <v>312</v>
      </c>
      <c r="C418" s="15" t="s">
        <v>375</v>
      </c>
      <c r="D418" s="15" t="s">
        <v>2399</v>
      </c>
      <c r="E418" s="15" t="s">
        <v>2234</v>
      </c>
      <c r="F418" s="15" t="s">
        <v>2190</v>
      </c>
      <c r="G418" s="15" t="s">
        <v>120</v>
      </c>
      <c r="H418" s="15" t="s">
        <v>1988</v>
      </c>
      <c r="I418" s="23" t="n">
        <v>399</v>
      </c>
      <c r="J418" s="15" t="s">
        <v>2191</v>
      </c>
      <c r="K418" s="15" t="s">
        <v>2192</v>
      </c>
      <c r="L418" s="15" t="s">
        <v>2184</v>
      </c>
      <c r="M418" s="15" t="s">
        <v>1478</v>
      </c>
      <c r="N418" s="15"/>
    </row>
    <row r="419" customFormat="false" ht="39" hidden="false" customHeight="true" outlineLevel="0" collapsed="false">
      <c r="A419" s="15" t="s">
        <v>2680</v>
      </c>
      <c r="B419" s="15" t="s">
        <v>312</v>
      </c>
      <c r="C419" s="15" t="s">
        <v>375</v>
      </c>
      <c r="D419" s="15" t="s">
        <v>2278</v>
      </c>
      <c r="E419" s="15" t="s">
        <v>2002</v>
      </c>
      <c r="F419" s="15" t="s">
        <v>2190</v>
      </c>
      <c r="G419" s="15" t="s">
        <v>120</v>
      </c>
      <c r="H419" s="15" t="s">
        <v>1988</v>
      </c>
      <c r="I419" s="23" t="n">
        <v>349</v>
      </c>
      <c r="J419" s="15" t="s">
        <v>2191</v>
      </c>
      <c r="K419" s="15" t="s">
        <v>2192</v>
      </c>
      <c r="L419" s="15" t="s">
        <v>2184</v>
      </c>
      <c r="M419" s="15" t="s">
        <v>1478</v>
      </c>
      <c r="N419" s="15"/>
    </row>
    <row r="420" customFormat="false" ht="39" hidden="false" customHeight="true" outlineLevel="0" collapsed="false">
      <c r="A420" s="15" t="s">
        <v>2681</v>
      </c>
      <c r="B420" s="15" t="s">
        <v>312</v>
      </c>
      <c r="C420" s="15" t="s">
        <v>375</v>
      </c>
      <c r="D420" s="15" t="s">
        <v>2282</v>
      </c>
      <c r="E420" s="15" t="s">
        <v>2002</v>
      </c>
      <c r="F420" s="15" t="s">
        <v>2190</v>
      </c>
      <c r="G420" s="15" t="s">
        <v>120</v>
      </c>
      <c r="H420" s="15" t="s">
        <v>1988</v>
      </c>
      <c r="I420" s="23" t="n">
        <v>339</v>
      </c>
      <c r="J420" s="15" t="s">
        <v>2191</v>
      </c>
      <c r="K420" s="15" t="s">
        <v>2192</v>
      </c>
      <c r="L420" s="15" t="s">
        <v>2184</v>
      </c>
      <c r="M420" s="15" t="s">
        <v>1478</v>
      </c>
      <c r="N420" s="15"/>
    </row>
    <row r="421" customFormat="false" ht="39" hidden="false" customHeight="true" outlineLevel="0" collapsed="false">
      <c r="A421" s="15" t="s">
        <v>2682</v>
      </c>
      <c r="B421" s="15" t="s">
        <v>312</v>
      </c>
      <c r="C421" s="15" t="s">
        <v>375</v>
      </c>
      <c r="D421" s="15" t="s">
        <v>2284</v>
      </c>
      <c r="E421" s="15" t="s">
        <v>2002</v>
      </c>
      <c r="F421" s="15" t="s">
        <v>2190</v>
      </c>
      <c r="G421" s="15" t="s">
        <v>120</v>
      </c>
      <c r="H421" s="15" t="s">
        <v>1988</v>
      </c>
      <c r="I421" s="23" t="n">
        <v>339</v>
      </c>
      <c r="J421" s="15" t="s">
        <v>2191</v>
      </c>
      <c r="K421" s="15" t="s">
        <v>2192</v>
      </c>
      <c r="L421" s="15" t="s">
        <v>2184</v>
      </c>
      <c r="M421" s="15" t="s">
        <v>1478</v>
      </c>
      <c r="N421" s="15"/>
    </row>
    <row r="422" customFormat="false" ht="39" hidden="false" customHeight="true" outlineLevel="0" collapsed="false">
      <c r="A422" s="15" t="s">
        <v>2683</v>
      </c>
      <c r="B422" s="15" t="s">
        <v>312</v>
      </c>
      <c r="C422" s="15" t="s">
        <v>375</v>
      </c>
      <c r="D422" s="15" t="s">
        <v>2280</v>
      </c>
      <c r="E422" s="15" t="s">
        <v>2002</v>
      </c>
      <c r="F422" s="15" t="s">
        <v>2190</v>
      </c>
      <c r="G422" s="15" t="s">
        <v>120</v>
      </c>
      <c r="H422" s="15" t="s">
        <v>1988</v>
      </c>
      <c r="I422" s="23" t="n">
        <v>339</v>
      </c>
      <c r="J422" s="15" t="s">
        <v>2191</v>
      </c>
      <c r="K422" s="15" t="s">
        <v>2192</v>
      </c>
      <c r="L422" s="15" t="s">
        <v>2184</v>
      </c>
      <c r="M422" s="15" t="s">
        <v>1478</v>
      </c>
      <c r="N422" s="15"/>
    </row>
    <row r="423" customFormat="false" ht="39" hidden="false" customHeight="true" outlineLevel="0" collapsed="false">
      <c r="A423" s="15" t="s">
        <v>2684</v>
      </c>
      <c r="B423" s="15" t="s">
        <v>312</v>
      </c>
      <c r="C423" s="15" t="s">
        <v>375</v>
      </c>
      <c r="D423" s="15" t="s">
        <v>2286</v>
      </c>
      <c r="E423" s="15" t="s">
        <v>2002</v>
      </c>
      <c r="F423" s="15" t="s">
        <v>2190</v>
      </c>
      <c r="G423" s="15" t="s">
        <v>120</v>
      </c>
      <c r="H423" s="15" t="s">
        <v>1988</v>
      </c>
      <c r="I423" s="23" t="n">
        <v>333</v>
      </c>
      <c r="J423" s="15" t="s">
        <v>2191</v>
      </c>
      <c r="K423" s="15" t="s">
        <v>2192</v>
      </c>
      <c r="L423" s="15" t="s">
        <v>2184</v>
      </c>
      <c r="M423" s="15" t="s">
        <v>1478</v>
      </c>
      <c r="N423" s="15"/>
    </row>
    <row r="424" customFormat="false" ht="39" hidden="false" customHeight="true" outlineLevel="0" collapsed="false">
      <c r="A424" s="15" t="s">
        <v>2685</v>
      </c>
      <c r="B424" s="15" t="s">
        <v>312</v>
      </c>
      <c r="C424" s="15" t="s">
        <v>375</v>
      </c>
      <c r="D424" s="15" t="s">
        <v>2403</v>
      </c>
      <c r="E424" s="15" t="s">
        <v>2234</v>
      </c>
      <c r="F424" s="15" t="s">
        <v>2190</v>
      </c>
      <c r="G424" s="15" t="s">
        <v>120</v>
      </c>
      <c r="H424" s="15" t="s">
        <v>1988</v>
      </c>
      <c r="I424" s="23" t="n">
        <v>330</v>
      </c>
      <c r="J424" s="15" t="s">
        <v>2191</v>
      </c>
      <c r="K424" s="15" t="s">
        <v>2192</v>
      </c>
      <c r="L424" s="15" t="s">
        <v>2184</v>
      </c>
      <c r="M424" s="15" t="s">
        <v>1478</v>
      </c>
      <c r="N424" s="15"/>
    </row>
    <row r="425" customFormat="false" ht="39" hidden="false" customHeight="true" outlineLevel="0" collapsed="false">
      <c r="A425" s="15" t="s">
        <v>2686</v>
      </c>
      <c r="B425" s="15" t="s">
        <v>312</v>
      </c>
      <c r="C425" s="15" t="s">
        <v>375</v>
      </c>
      <c r="D425" s="15" t="s">
        <v>2405</v>
      </c>
      <c r="E425" s="15" t="s">
        <v>2002</v>
      </c>
      <c r="F425" s="15" t="s">
        <v>2190</v>
      </c>
      <c r="G425" s="15" t="s">
        <v>120</v>
      </c>
      <c r="H425" s="15" t="s">
        <v>1988</v>
      </c>
      <c r="I425" s="23" t="n">
        <v>329</v>
      </c>
      <c r="J425" s="15" t="s">
        <v>2191</v>
      </c>
      <c r="K425" s="15" t="s">
        <v>2192</v>
      </c>
      <c r="L425" s="15" t="s">
        <v>2184</v>
      </c>
      <c r="M425" s="15" t="s">
        <v>1478</v>
      </c>
      <c r="N425" s="15"/>
    </row>
    <row r="426" customFormat="false" ht="39" hidden="false" customHeight="true" outlineLevel="0" collapsed="false">
      <c r="A426" s="15" t="s">
        <v>2687</v>
      </c>
      <c r="B426" s="15" t="s">
        <v>312</v>
      </c>
      <c r="C426" s="15" t="s">
        <v>375</v>
      </c>
      <c r="D426" s="15" t="s">
        <v>2407</v>
      </c>
      <c r="E426" s="15" t="s">
        <v>2234</v>
      </c>
      <c r="F426" s="15" t="s">
        <v>2190</v>
      </c>
      <c r="G426" s="15" t="s">
        <v>120</v>
      </c>
      <c r="H426" s="15" t="s">
        <v>1988</v>
      </c>
      <c r="I426" s="23" t="n">
        <v>319</v>
      </c>
      <c r="J426" s="15" t="s">
        <v>2191</v>
      </c>
      <c r="K426" s="15" t="s">
        <v>2192</v>
      </c>
      <c r="L426" s="15" t="s">
        <v>2184</v>
      </c>
      <c r="M426" s="15" t="s">
        <v>1478</v>
      </c>
      <c r="N426" s="15"/>
    </row>
    <row r="427" customFormat="false" ht="39" hidden="false" customHeight="true" outlineLevel="0" collapsed="false">
      <c r="A427" s="15" t="s">
        <v>2688</v>
      </c>
      <c r="B427" s="15" t="s">
        <v>312</v>
      </c>
      <c r="C427" s="15" t="s">
        <v>375</v>
      </c>
      <c r="D427" s="15" t="s">
        <v>2409</v>
      </c>
      <c r="E427" s="15" t="s">
        <v>2234</v>
      </c>
      <c r="F427" s="15" t="s">
        <v>2190</v>
      </c>
      <c r="G427" s="15" t="s">
        <v>120</v>
      </c>
      <c r="H427" s="15" t="s">
        <v>1988</v>
      </c>
      <c r="I427" s="23" t="n">
        <v>319</v>
      </c>
      <c r="J427" s="15" t="s">
        <v>2191</v>
      </c>
      <c r="K427" s="15" t="s">
        <v>2192</v>
      </c>
      <c r="L427" s="15" t="s">
        <v>2184</v>
      </c>
      <c r="M427" s="15" t="s">
        <v>1478</v>
      </c>
      <c r="N427" s="15"/>
    </row>
    <row r="428" customFormat="false" ht="39" hidden="false" customHeight="true" outlineLevel="0" collapsed="false">
      <c r="A428" s="15" t="s">
        <v>2689</v>
      </c>
      <c r="B428" s="15" t="s">
        <v>312</v>
      </c>
      <c r="C428" s="15" t="s">
        <v>375</v>
      </c>
      <c r="D428" s="15" t="s">
        <v>2411</v>
      </c>
      <c r="E428" s="15" t="s">
        <v>2234</v>
      </c>
      <c r="F428" s="15" t="s">
        <v>2190</v>
      </c>
      <c r="G428" s="15" t="s">
        <v>120</v>
      </c>
      <c r="H428" s="15" t="s">
        <v>1988</v>
      </c>
      <c r="I428" s="23" t="n">
        <v>319</v>
      </c>
      <c r="J428" s="15" t="s">
        <v>2191</v>
      </c>
      <c r="K428" s="15" t="s">
        <v>2192</v>
      </c>
      <c r="L428" s="15" t="s">
        <v>2184</v>
      </c>
      <c r="M428" s="15" t="s">
        <v>1478</v>
      </c>
      <c r="N428" s="15"/>
    </row>
    <row r="429" customFormat="false" ht="39" hidden="false" customHeight="true" outlineLevel="0" collapsed="false">
      <c r="A429" s="15" t="s">
        <v>2690</v>
      </c>
      <c r="B429" s="15" t="s">
        <v>312</v>
      </c>
      <c r="C429" s="15" t="s">
        <v>375</v>
      </c>
      <c r="D429" s="15" t="s">
        <v>2288</v>
      </c>
      <c r="E429" s="15" t="s">
        <v>2002</v>
      </c>
      <c r="F429" s="15" t="s">
        <v>2190</v>
      </c>
      <c r="G429" s="15" t="s">
        <v>120</v>
      </c>
      <c r="H429" s="15" t="s">
        <v>1988</v>
      </c>
      <c r="I429" s="23" t="n">
        <v>299</v>
      </c>
      <c r="J429" s="15" t="s">
        <v>2191</v>
      </c>
      <c r="K429" s="15" t="s">
        <v>2192</v>
      </c>
      <c r="L429" s="15" t="s">
        <v>2184</v>
      </c>
      <c r="M429" s="15" t="s">
        <v>1478</v>
      </c>
      <c r="N429" s="15"/>
    </row>
    <row r="430" customFormat="false" ht="39" hidden="false" customHeight="true" outlineLevel="0" collapsed="false">
      <c r="A430" s="15" t="s">
        <v>2691</v>
      </c>
      <c r="B430" s="15" t="s">
        <v>312</v>
      </c>
      <c r="C430" s="15" t="s">
        <v>375</v>
      </c>
      <c r="D430" s="15" t="s">
        <v>2223</v>
      </c>
      <c r="E430" s="15" t="s">
        <v>2002</v>
      </c>
      <c r="F430" s="15" t="s">
        <v>2190</v>
      </c>
      <c r="G430" s="15" t="s">
        <v>120</v>
      </c>
      <c r="H430" s="15" t="s">
        <v>1988</v>
      </c>
      <c r="I430" s="23" t="n">
        <v>299</v>
      </c>
      <c r="J430" s="15" t="s">
        <v>2191</v>
      </c>
      <c r="K430" s="15" t="s">
        <v>2192</v>
      </c>
      <c r="L430" s="15" t="s">
        <v>2184</v>
      </c>
      <c r="M430" s="15" t="s">
        <v>1478</v>
      </c>
      <c r="N430" s="15"/>
    </row>
    <row r="431" customFormat="false" ht="39" hidden="false" customHeight="true" outlineLevel="0" collapsed="false">
      <c r="A431" s="15" t="s">
        <v>2692</v>
      </c>
      <c r="B431" s="15" t="s">
        <v>312</v>
      </c>
      <c r="C431" s="15" t="s">
        <v>375</v>
      </c>
      <c r="D431" s="15" t="s">
        <v>2413</v>
      </c>
      <c r="E431" s="15" t="s">
        <v>2234</v>
      </c>
      <c r="F431" s="15" t="s">
        <v>2190</v>
      </c>
      <c r="G431" s="15" t="s">
        <v>120</v>
      </c>
      <c r="H431" s="15" t="s">
        <v>1988</v>
      </c>
      <c r="I431" s="23" t="n">
        <v>289</v>
      </c>
      <c r="J431" s="15" t="s">
        <v>2191</v>
      </c>
      <c r="K431" s="15" t="s">
        <v>2192</v>
      </c>
      <c r="L431" s="15" t="s">
        <v>2184</v>
      </c>
      <c r="M431" s="15" t="s">
        <v>1478</v>
      </c>
      <c r="N431" s="15"/>
    </row>
    <row r="432" customFormat="false" ht="39" hidden="false" customHeight="true" outlineLevel="0" collapsed="false">
      <c r="A432" s="15" t="s">
        <v>2693</v>
      </c>
      <c r="B432" s="15" t="s">
        <v>312</v>
      </c>
      <c r="C432" s="15" t="s">
        <v>375</v>
      </c>
      <c r="D432" s="15" t="s">
        <v>2415</v>
      </c>
      <c r="E432" s="15" t="s">
        <v>2234</v>
      </c>
      <c r="F432" s="15" t="s">
        <v>2190</v>
      </c>
      <c r="G432" s="15" t="s">
        <v>120</v>
      </c>
      <c r="H432" s="15" t="s">
        <v>1988</v>
      </c>
      <c r="I432" s="23" t="n">
        <v>269</v>
      </c>
      <c r="J432" s="15" t="s">
        <v>2191</v>
      </c>
      <c r="K432" s="15" t="s">
        <v>2192</v>
      </c>
      <c r="L432" s="15" t="s">
        <v>2184</v>
      </c>
      <c r="M432" s="15" t="s">
        <v>1478</v>
      </c>
      <c r="N432" s="15"/>
    </row>
    <row r="433" customFormat="false" ht="39" hidden="false" customHeight="true" outlineLevel="0" collapsed="false">
      <c r="A433" s="15" t="s">
        <v>2694</v>
      </c>
      <c r="B433" s="15" t="s">
        <v>312</v>
      </c>
      <c r="C433" s="15" t="s">
        <v>375</v>
      </c>
      <c r="D433" s="15" t="s">
        <v>2254</v>
      </c>
      <c r="E433" s="15" t="s">
        <v>2234</v>
      </c>
      <c r="F433" s="15" t="s">
        <v>2190</v>
      </c>
      <c r="G433" s="15" t="s">
        <v>120</v>
      </c>
      <c r="H433" s="15" t="s">
        <v>1988</v>
      </c>
      <c r="I433" s="23" t="n">
        <v>262</v>
      </c>
      <c r="J433" s="15" t="s">
        <v>2191</v>
      </c>
      <c r="K433" s="15" t="s">
        <v>2192</v>
      </c>
      <c r="L433" s="15" t="s">
        <v>2184</v>
      </c>
      <c r="M433" s="15" t="s">
        <v>1478</v>
      </c>
      <c r="N433" s="15" t="s">
        <v>2695</v>
      </c>
    </row>
    <row r="434" customFormat="false" ht="39" hidden="false" customHeight="true" outlineLevel="0" collapsed="false">
      <c r="A434" s="15" t="s">
        <v>2696</v>
      </c>
      <c r="B434" s="15" t="s">
        <v>312</v>
      </c>
      <c r="C434" s="15" t="s">
        <v>375</v>
      </c>
      <c r="D434" s="15" t="s">
        <v>2417</v>
      </c>
      <c r="E434" s="15" t="s">
        <v>2234</v>
      </c>
      <c r="F434" s="15" t="s">
        <v>2190</v>
      </c>
      <c r="G434" s="15" t="s">
        <v>120</v>
      </c>
      <c r="H434" s="15" t="s">
        <v>1988</v>
      </c>
      <c r="I434" s="23" t="n">
        <v>249</v>
      </c>
      <c r="J434" s="15" t="s">
        <v>2191</v>
      </c>
      <c r="K434" s="15" t="s">
        <v>2192</v>
      </c>
      <c r="L434" s="15" t="s">
        <v>2184</v>
      </c>
      <c r="M434" s="15" t="s">
        <v>1478</v>
      </c>
      <c r="N434" s="15"/>
    </row>
    <row r="435" customFormat="false" ht="39" hidden="false" customHeight="true" outlineLevel="0" collapsed="false">
      <c r="A435" s="15" t="s">
        <v>2697</v>
      </c>
      <c r="B435" s="15" t="s">
        <v>312</v>
      </c>
      <c r="C435" s="15" t="s">
        <v>375</v>
      </c>
      <c r="D435" s="15" t="s">
        <v>2419</v>
      </c>
      <c r="E435" s="15" t="s">
        <v>2234</v>
      </c>
      <c r="F435" s="15" t="s">
        <v>2190</v>
      </c>
      <c r="G435" s="15" t="s">
        <v>120</v>
      </c>
      <c r="H435" s="15" t="s">
        <v>1988</v>
      </c>
      <c r="I435" s="23" t="n">
        <v>243</v>
      </c>
      <c r="J435" s="15" t="s">
        <v>2191</v>
      </c>
      <c r="K435" s="15" t="s">
        <v>2192</v>
      </c>
      <c r="L435" s="15" t="s">
        <v>2184</v>
      </c>
      <c r="M435" s="15" t="s">
        <v>1478</v>
      </c>
      <c r="N435" s="15"/>
    </row>
    <row r="436" customFormat="false" ht="39" hidden="false" customHeight="true" outlineLevel="0" collapsed="false">
      <c r="A436" s="15" t="s">
        <v>2698</v>
      </c>
      <c r="B436" s="15" t="s">
        <v>312</v>
      </c>
      <c r="C436" s="15" t="s">
        <v>375</v>
      </c>
      <c r="D436" s="15" t="s">
        <v>2316</v>
      </c>
      <c r="E436" s="15" t="s">
        <v>2002</v>
      </c>
      <c r="F436" s="15" t="s">
        <v>2190</v>
      </c>
      <c r="G436" s="15" t="s">
        <v>120</v>
      </c>
      <c r="H436" s="15" t="s">
        <v>1988</v>
      </c>
      <c r="I436" s="23" t="n">
        <v>239</v>
      </c>
      <c r="J436" s="15" t="s">
        <v>2191</v>
      </c>
      <c r="K436" s="15" t="s">
        <v>2192</v>
      </c>
      <c r="L436" s="15" t="s">
        <v>2184</v>
      </c>
      <c r="M436" s="15" t="s">
        <v>1478</v>
      </c>
      <c r="N436" s="15"/>
    </row>
    <row r="437" customFormat="false" ht="39" hidden="false" customHeight="true" outlineLevel="0" collapsed="false">
      <c r="A437" s="15" t="s">
        <v>2699</v>
      </c>
      <c r="B437" s="15" t="s">
        <v>312</v>
      </c>
      <c r="C437" s="15" t="s">
        <v>375</v>
      </c>
      <c r="D437" s="15" t="s">
        <v>2421</v>
      </c>
      <c r="E437" s="15" t="s">
        <v>2234</v>
      </c>
      <c r="F437" s="15" t="s">
        <v>2190</v>
      </c>
      <c r="G437" s="15" t="s">
        <v>120</v>
      </c>
      <c r="H437" s="15" t="s">
        <v>1988</v>
      </c>
      <c r="I437" s="23" t="n">
        <v>222</v>
      </c>
      <c r="J437" s="15" t="s">
        <v>2191</v>
      </c>
      <c r="K437" s="15" t="s">
        <v>2192</v>
      </c>
      <c r="L437" s="15" t="s">
        <v>2184</v>
      </c>
      <c r="M437" s="15" t="s">
        <v>1478</v>
      </c>
      <c r="N437" s="15"/>
    </row>
    <row r="438" customFormat="false" ht="39" hidden="false" customHeight="true" outlineLevel="0" collapsed="false">
      <c r="A438" s="15" t="s">
        <v>2700</v>
      </c>
      <c r="B438" s="15" t="s">
        <v>312</v>
      </c>
      <c r="C438" s="15" t="s">
        <v>375</v>
      </c>
      <c r="D438" s="15" t="s">
        <v>2423</v>
      </c>
      <c r="E438" s="15" t="s">
        <v>2234</v>
      </c>
      <c r="F438" s="15" t="s">
        <v>2190</v>
      </c>
      <c r="G438" s="15" t="s">
        <v>120</v>
      </c>
      <c r="H438" s="15" t="s">
        <v>1988</v>
      </c>
      <c r="I438" s="23" t="n">
        <v>222</v>
      </c>
      <c r="J438" s="15" t="s">
        <v>2191</v>
      </c>
      <c r="K438" s="15" t="s">
        <v>2192</v>
      </c>
      <c r="L438" s="15" t="s">
        <v>2184</v>
      </c>
      <c r="M438" s="15" t="s">
        <v>1478</v>
      </c>
      <c r="N438" s="15"/>
    </row>
    <row r="439" customFormat="false" ht="39" hidden="false" customHeight="true" outlineLevel="0" collapsed="false">
      <c r="A439" s="15" t="s">
        <v>2701</v>
      </c>
      <c r="B439" s="15" t="s">
        <v>312</v>
      </c>
      <c r="C439" s="15" t="s">
        <v>375</v>
      </c>
      <c r="D439" s="15" t="s">
        <v>2425</v>
      </c>
      <c r="E439" s="15" t="s">
        <v>2234</v>
      </c>
      <c r="F439" s="15" t="s">
        <v>2190</v>
      </c>
      <c r="G439" s="15" t="s">
        <v>120</v>
      </c>
      <c r="H439" s="15" t="s">
        <v>1988</v>
      </c>
      <c r="I439" s="23" t="n">
        <v>221</v>
      </c>
      <c r="J439" s="15" t="s">
        <v>2191</v>
      </c>
      <c r="K439" s="15" t="s">
        <v>2192</v>
      </c>
      <c r="L439" s="15" t="s">
        <v>2184</v>
      </c>
      <c r="M439" s="15" t="s">
        <v>1478</v>
      </c>
      <c r="N439" s="15"/>
    </row>
    <row r="440" customFormat="false" ht="39" hidden="false" customHeight="true" outlineLevel="0" collapsed="false">
      <c r="A440" s="15" t="s">
        <v>2702</v>
      </c>
      <c r="B440" s="15" t="s">
        <v>312</v>
      </c>
      <c r="C440" s="15" t="s">
        <v>375</v>
      </c>
      <c r="D440" s="15" t="s">
        <v>2427</v>
      </c>
      <c r="E440" s="15" t="s">
        <v>2234</v>
      </c>
      <c r="F440" s="15" t="s">
        <v>2190</v>
      </c>
      <c r="G440" s="15" t="s">
        <v>120</v>
      </c>
      <c r="H440" s="15" t="s">
        <v>1988</v>
      </c>
      <c r="I440" s="23" t="n">
        <v>199</v>
      </c>
      <c r="J440" s="15" t="s">
        <v>2191</v>
      </c>
      <c r="K440" s="15" t="s">
        <v>2192</v>
      </c>
      <c r="L440" s="15" t="s">
        <v>2184</v>
      </c>
      <c r="M440" s="15" t="s">
        <v>1478</v>
      </c>
      <c r="N440" s="15"/>
    </row>
    <row r="441" customFormat="false" ht="39" hidden="false" customHeight="true" outlineLevel="0" collapsed="false">
      <c r="A441" s="15" t="s">
        <v>2703</v>
      </c>
      <c r="B441" s="15" t="s">
        <v>312</v>
      </c>
      <c r="C441" s="15" t="s">
        <v>375</v>
      </c>
      <c r="D441" s="15" t="s">
        <v>2431</v>
      </c>
      <c r="E441" s="15" t="s">
        <v>2234</v>
      </c>
      <c r="F441" s="15" t="s">
        <v>2190</v>
      </c>
      <c r="G441" s="15" t="s">
        <v>120</v>
      </c>
      <c r="H441" s="15" t="s">
        <v>1988</v>
      </c>
      <c r="I441" s="23" t="n">
        <v>195</v>
      </c>
      <c r="J441" s="15" t="s">
        <v>2191</v>
      </c>
      <c r="K441" s="15" t="s">
        <v>2192</v>
      </c>
      <c r="L441" s="15" t="s">
        <v>2184</v>
      </c>
      <c r="M441" s="15" t="s">
        <v>1478</v>
      </c>
      <c r="N441" s="15"/>
    </row>
    <row r="442" customFormat="false" ht="39" hidden="false" customHeight="true" outlineLevel="0" collapsed="false">
      <c r="A442" s="15" t="s">
        <v>2704</v>
      </c>
      <c r="B442" s="15" t="s">
        <v>312</v>
      </c>
      <c r="C442" s="15" t="s">
        <v>375</v>
      </c>
      <c r="D442" s="15" t="s">
        <v>2429</v>
      </c>
      <c r="E442" s="15" t="s">
        <v>2234</v>
      </c>
      <c r="F442" s="15" t="s">
        <v>2190</v>
      </c>
      <c r="G442" s="15" t="s">
        <v>120</v>
      </c>
      <c r="H442" s="15" t="s">
        <v>1988</v>
      </c>
      <c r="I442" s="23" t="n">
        <v>195</v>
      </c>
      <c r="J442" s="15" t="s">
        <v>2191</v>
      </c>
      <c r="K442" s="15" t="s">
        <v>2192</v>
      </c>
      <c r="L442" s="15" t="s">
        <v>2184</v>
      </c>
      <c r="M442" s="15" t="s">
        <v>1478</v>
      </c>
      <c r="N442" s="15"/>
    </row>
    <row r="443" customFormat="false" ht="39" hidden="false" customHeight="true" outlineLevel="0" collapsed="false">
      <c r="A443" s="15" t="s">
        <v>2705</v>
      </c>
      <c r="B443" s="15" t="s">
        <v>312</v>
      </c>
      <c r="C443" s="15" t="s">
        <v>375</v>
      </c>
      <c r="D443" s="15" t="s">
        <v>2433</v>
      </c>
      <c r="E443" s="15" t="s">
        <v>2234</v>
      </c>
      <c r="F443" s="15" t="s">
        <v>2190</v>
      </c>
      <c r="G443" s="15" t="s">
        <v>120</v>
      </c>
      <c r="H443" s="15" t="s">
        <v>1988</v>
      </c>
      <c r="I443" s="23" t="n">
        <v>195</v>
      </c>
      <c r="J443" s="15" t="s">
        <v>2191</v>
      </c>
      <c r="K443" s="15" t="s">
        <v>2192</v>
      </c>
      <c r="L443" s="15" t="s">
        <v>2184</v>
      </c>
      <c r="M443" s="15" t="s">
        <v>1478</v>
      </c>
      <c r="N443" s="15"/>
    </row>
    <row r="444" customFormat="false" ht="39" hidden="false" customHeight="true" outlineLevel="0" collapsed="false">
      <c r="A444" s="15" t="s">
        <v>2706</v>
      </c>
      <c r="B444" s="15" t="s">
        <v>312</v>
      </c>
      <c r="C444" s="15" t="s">
        <v>375</v>
      </c>
      <c r="D444" s="15" t="s">
        <v>2435</v>
      </c>
      <c r="E444" s="15" t="s">
        <v>2234</v>
      </c>
      <c r="F444" s="15" t="s">
        <v>2190</v>
      </c>
      <c r="G444" s="15" t="s">
        <v>120</v>
      </c>
      <c r="H444" s="15" t="s">
        <v>1988</v>
      </c>
      <c r="I444" s="23" t="n">
        <v>190</v>
      </c>
      <c r="J444" s="15" t="s">
        <v>2191</v>
      </c>
      <c r="K444" s="15" t="s">
        <v>2192</v>
      </c>
      <c r="L444" s="15" t="s">
        <v>2184</v>
      </c>
      <c r="M444" s="15" t="s">
        <v>1478</v>
      </c>
      <c r="N444" s="15"/>
    </row>
    <row r="445" customFormat="false" ht="39" hidden="false" customHeight="true" outlineLevel="0" collapsed="false">
      <c r="A445" s="15" t="s">
        <v>2707</v>
      </c>
      <c r="B445" s="15" t="s">
        <v>312</v>
      </c>
      <c r="C445" s="15" t="s">
        <v>375</v>
      </c>
      <c r="D445" s="15" t="s">
        <v>2437</v>
      </c>
      <c r="E445" s="15" t="s">
        <v>2234</v>
      </c>
      <c r="F445" s="15" t="s">
        <v>2190</v>
      </c>
      <c r="G445" s="15" t="s">
        <v>120</v>
      </c>
      <c r="H445" s="15" t="s">
        <v>1988</v>
      </c>
      <c r="I445" s="23" t="n">
        <v>177</v>
      </c>
      <c r="J445" s="15" t="s">
        <v>2191</v>
      </c>
      <c r="K445" s="15" t="s">
        <v>2192</v>
      </c>
      <c r="L445" s="15" t="s">
        <v>2184</v>
      </c>
      <c r="M445" s="15" t="s">
        <v>1478</v>
      </c>
      <c r="N445" s="15"/>
    </row>
    <row r="446" customFormat="false" ht="39" hidden="false" customHeight="true" outlineLevel="0" collapsed="false">
      <c r="A446" s="15" t="s">
        <v>2708</v>
      </c>
      <c r="B446" s="15" t="s">
        <v>312</v>
      </c>
      <c r="C446" s="15" t="s">
        <v>375</v>
      </c>
      <c r="D446" s="15" t="s">
        <v>2439</v>
      </c>
      <c r="E446" s="15" t="s">
        <v>2234</v>
      </c>
      <c r="F446" s="15" t="s">
        <v>2190</v>
      </c>
      <c r="G446" s="15" t="s">
        <v>120</v>
      </c>
      <c r="H446" s="15" t="s">
        <v>1988</v>
      </c>
      <c r="I446" s="23" t="n">
        <v>174</v>
      </c>
      <c r="J446" s="15" t="s">
        <v>2191</v>
      </c>
      <c r="K446" s="15" t="s">
        <v>2192</v>
      </c>
      <c r="L446" s="15" t="s">
        <v>2184</v>
      </c>
      <c r="M446" s="15" t="s">
        <v>1478</v>
      </c>
      <c r="N446" s="15"/>
    </row>
    <row r="447" customFormat="false" ht="39" hidden="false" customHeight="true" outlineLevel="0" collapsed="false">
      <c r="A447" s="15" t="s">
        <v>2709</v>
      </c>
      <c r="B447" s="15" t="s">
        <v>312</v>
      </c>
      <c r="C447" s="15" t="s">
        <v>375</v>
      </c>
      <c r="D447" s="15" t="s">
        <v>2441</v>
      </c>
      <c r="E447" s="15" t="s">
        <v>2234</v>
      </c>
      <c r="F447" s="15" t="s">
        <v>2190</v>
      </c>
      <c r="G447" s="15" t="s">
        <v>120</v>
      </c>
      <c r="H447" s="15" t="s">
        <v>1988</v>
      </c>
      <c r="I447" s="23" t="n">
        <v>159</v>
      </c>
      <c r="J447" s="15" t="s">
        <v>2191</v>
      </c>
      <c r="K447" s="15" t="s">
        <v>2192</v>
      </c>
      <c r="L447" s="15" t="s">
        <v>2184</v>
      </c>
      <c r="M447" s="15" t="s">
        <v>1478</v>
      </c>
      <c r="N447" s="15"/>
    </row>
    <row r="448" customFormat="false" ht="39" hidden="false" customHeight="true" outlineLevel="0" collapsed="false">
      <c r="A448" s="15" t="s">
        <v>2710</v>
      </c>
      <c r="B448" s="15" t="s">
        <v>312</v>
      </c>
      <c r="C448" s="15" t="s">
        <v>375</v>
      </c>
      <c r="D448" s="15" t="s">
        <v>2443</v>
      </c>
      <c r="E448" s="15" t="s">
        <v>2234</v>
      </c>
      <c r="F448" s="15" t="s">
        <v>2190</v>
      </c>
      <c r="G448" s="15" t="s">
        <v>120</v>
      </c>
      <c r="H448" s="15" t="s">
        <v>1988</v>
      </c>
      <c r="I448" s="23" t="n">
        <v>99</v>
      </c>
      <c r="J448" s="15" t="s">
        <v>2191</v>
      </c>
      <c r="K448" s="15" t="s">
        <v>2192</v>
      </c>
      <c r="L448" s="15" t="s">
        <v>2184</v>
      </c>
      <c r="M448" s="15" t="s">
        <v>1478</v>
      </c>
      <c r="N448" s="15"/>
    </row>
    <row r="449" customFormat="false" ht="39" hidden="false" customHeight="true" outlineLevel="0" collapsed="false">
      <c r="A449" s="15" t="s">
        <v>2711</v>
      </c>
      <c r="B449" s="15" t="s">
        <v>312</v>
      </c>
      <c r="C449" s="15" t="s">
        <v>375</v>
      </c>
      <c r="D449" s="15" t="s">
        <v>2445</v>
      </c>
      <c r="E449" s="15" t="s">
        <v>2234</v>
      </c>
      <c r="F449" s="15" t="s">
        <v>2190</v>
      </c>
      <c r="G449" s="15" t="s">
        <v>120</v>
      </c>
      <c r="H449" s="15" t="s">
        <v>1988</v>
      </c>
      <c r="I449" s="23" t="n">
        <v>43</v>
      </c>
      <c r="J449" s="15" t="s">
        <v>2191</v>
      </c>
      <c r="K449" s="15" t="s">
        <v>2192</v>
      </c>
      <c r="L449" s="15" t="s">
        <v>2184</v>
      </c>
      <c r="M449" s="15" t="s">
        <v>1478</v>
      </c>
      <c r="N449" s="15"/>
    </row>
    <row r="450" customFormat="false" ht="39" hidden="false" customHeight="true" outlineLevel="0" collapsed="false">
      <c r="A450" s="15" t="s">
        <v>2712</v>
      </c>
      <c r="B450" s="15" t="s">
        <v>312</v>
      </c>
      <c r="C450" s="15" t="s">
        <v>375</v>
      </c>
      <c r="D450" s="15" t="s">
        <v>2447</v>
      </c>
      <c r="E450" s="15" t="s">
        <v>2234</v>
      </c>
      <c r="F450" s="15" t="s">
        <v>2190</v>
      </c>
      <c r="G450" s="15" t="s">
        <v>120</v>
      </c>
      <c r="H450" s="15" t="s">
        <v>1988</v>
      </c>
      <c r="I450" s="23" t="n">
        <v>30</v>
      </c>
      <c r="J450" s="15" t="s">
        <v>2191</v>
      </c>
      <c r="K450" s="15" t="s">
        <v>2192</v>
      </c>
      <c r="L450" s="15" t="s">
        <v>2184</v>
      </c>
      <c r="M450" s="15" t="s">
        <v>1478</v>
      </c>
      <c r="N450" s="15"/>
    </row>
    <row r="451" customFormat="false" ht="39" hidden="false" customHeight="true" outlineLevel="0" collapsed="false">
      <c r="A451" s="15" t="s">
        <v>2713</v>
      </c>
      <c r="B451" s="15" t="s">
        <v>312</v>
      </c>
      <c r="C451" s="15" t="s">
        <v>444</v>
      </c>
      <c r="D451" s="15" t="s">
        <v>2318</v>
      </c>
      <c r="E451" s="15" t="s">
        <v>2027</v>
      </c>
      <c r="F451" s="15" t="s">
        <v>2190</v>
      </c>
      <c r="G451" s="15" t="s">
        <v>120</v>
      </c>
      <c r="H451" s="15" t="s">
        <v>1988</v>
      </c>
      <c r="I451" s="23" t="n">
        <v>28999</v>
      </c>
      <c r="J451" s="15" t="s">
        <v>2191</v>
      </c>
      <c r="K451" s="15" t="s">
        <v>2192</v>
      </c>
      <c r="L451" s="15" t="s">
        <v>2184</v>
      </c>
      <c r="M451" s="15" t="s">
        <v>1478</v>
      </c>
      <c r="N451" s="15"/>
    </row>
    <row r="452" customFormat="false" ht="39" hidden="false" customHeight="true" outlineLevel="0" collapsed="false">
      <c r="A452" s="15" t="s">
        <v>2714</v>
      </c>
      <c r="B452" s="15" t="s">
        <v>312</v>
      </c>
      <c r="C452" s="15" t="s">
        <v>444</v>
      </c>
      <c r="D452" s="15" t="s">
        <v>2330</v>
      </c>
      <c r="E452" s="15" t="s">
        <v>2331</v>
      </c>
      <c r="F452" s="15" t="s">
        <v>2190</v>
      </c>
      <c r="G452" s="15" t="s">
        <v>2332</v>
      </c>
      <c r="H452" s="15" t="s">
        <v>2064</v>
      </c>
      <c r="I452" s="23" t="n">
        <v>27999</v>
      </c>
      <c r="J452" s="15" t="s">
        <v>2191</v>
      </c>
      <c r="K452" s="15" t="s">
        <v>2192</v>
      </c>
      <c r="L452" s="15" t="s">
        <v>2184</v>
      </c>
      <c r="M452" s="15" t="s">
        <v>1478</v>
      </c>
      <c r="N452" s="15" t="s">
        <v>2333</v>
      </c>
    </row>
    <row r="453" customFormat="false" ht="39" hidden="false" customHeight="true" outlineLevel="0" collapsed="false">
      <c r="A453" s="15" t="s">
        <v>2715</v>
      </c>
      <c r="B453" s="15" t="s">
        <v>312</v>
      </c>
      <c r="C453" s="15" t="s">
        <v>444</v>
      </c>
      <c r="D453" s="15" t="s">
        <v>2335</v>
      </c>
      <c r="E453" s="15" t="s">
        <v>2047</v>
      </c>
      <c r="F453" s="15" t="s">
        <v>2190</v>
      </c>
      <c r="G453" s="15" t="s">
        <v>120</v>
      </c>
      <c r="H453" s="15" t="s">
        <v>1988</v>
      </c>
      <c r="I453" s="23" t="n">
        <v>19999</v>
      </c>
      <c r="J453" s="15" t="s">
        <v>2191</v>
      </c>
      <c r="K453" s="15" t="s">
        <v>2192</v>
      </c>
      <c r="L453" s="15" t="s">
        <v>2184</v>
      </c>
      <c r="M453" s="15" t="s">
        <v>1478</v>
      </c>
      <c r="N453" s="15"/>
    </row>
    <row r="454" customFormat="false" ht="39" hidden="false" customHeight="true" outlineLevel="0" collapsed="false">
      <c r="A454" s="15" t="s">
        <v>2716</v>
      </c>
      <c r="B454" s="15" t="s">
        <v>312</v>
      </c>
      <c r="C454" s="15" t="s">
        <v>444</v>
      </c>
      <c r="D454" s="15" t="s">
        <v>2189</v>
      </c>
      <c r="E454" s="15" t="s">
        <v>2002</v>
      </c>
      <c r="F454" s="15" t="s">
        <v>2190</v>
      </c>
      <c r="G454" s="15" t="s">
        <v>120</v>
      </c>
      <c r="H454" s="15" t="s">
        <v>1988</v>
      </c>
      <c r="I454" s="23" t="n">
        <v>17999</v>
      </c>
      <c r="J454" s="15" t="s">
        <v>2191</v>
      </c>
      <c r="K454" s="15" t="s">
        <v>2192</v>
      </c>
      <c r="L454" s="15" t="s">
        <v>2184</v>
      </c>
      <c r="M454" s="15" t="s">
        <v>1478</v>
      </c>
      <c r="N454" s="15"/>
    </row>
    <row r="455" customFormat="false" ht="39" hidden="false" customHeight="true" outlineLevel="0" collapsed="false">
      <c r="A455" s="15" t="s">
        <v>2717</v>
      </c>
      <c r="B455" s="15" t="s">
        <v>312</v>
      </c>
      <c r="C455" s="15" t="s">
        <v>444</v>
      </c>
      <c r="D455" s="15" t="s">
        <v>2337</v>
      </c>
      <c r="E455" s="15" t="s">
        <v>2331</v>
      </c>
      <c r="F455" s="15" t="s">
        <v>2190</v>
      </c>
      <c r="G455" s="15" t="s">
        <v>2332</v>
      </c>
      <c r="H455" s="15" t="s">
        <v>2064</v>
      </c>
      <c r="I455" s="23" t="n">
        <v>14399</v>
      </c>
      <c r="J455" s="15" t="s">
        <v>2191</v>
      </c>
      <c r="K455" s="15" t="s">
        <v>2192</v>
      </c>
      <c r="L455" s="15" t="s">
        <v>2184</v>
      </c>
      <c r="M455" s="15" t="s">
        <v>1478</v>
      </c>
      <c r="N455" s="15" t="s">
        <v>2333</v>
      </c>
    </row>
    <row r="456" customFormat="false" ht="39" hidden="false" customHeight="true" outlineLevel="0" collapsed="false">
      <c r="A456" s="15" t="s">
        <v>2718</v>
      </c>
      <c r="B456" s="15" t="s">
        <v>312</v>
      </c>
      <c r="C456" s="15" t="s">
        <v>444</v>
      </c>
      <c r="D456" s="15" t="s">
        <v>2290</v>
      </c>
      <c r="E456" s="15" t="s">
        <v>2234</v>
      </c>
      <c r="F456" s="15" t="s">
        <v>2190</v>
      </c>
      <c r="G456" s="15" t="s">
        <v>120</v>
      </c>
      <c r="H456" s="15" t="s">
        <v>1988</v>
      </c>
      <c r="I456" s="23" t="n">
        <v>12999</v>
      </c>
      <c r="J456" s="15" t="s">
        <v>2191</v>
      </c>
      <c r="K456" s="15" t="s">
        <v>2192</v>
      </c>
      <c r="L456" s="15" t="s">
        <v>2184</v>
      </c>
      <c r="M456" s="15" t="s">
        <v>1478</v>
      </c>
      <c r="N456" s="15" t="s">
        <v>2719</v>
      </c>
    </row>
    <row r="457" customFormat="false" ht="39" hidden="false" customHeight="true" outlineLevel="0" collapsed="false">
      <c r="A457" s="15" t="s">
        <v>2720</v>
      </c>
      <c r="B457" s="15" t="s">
        <v>312</v>
      </c>
      <c r="C457" s="15" t="s">
        <v>444</v>
      </c>
      <c r="D457" s="15" t="s">
        <v>2292</v>
      </c>
      <c r="E457" s="15" t="s">
        <v>2234</v>
      </c>
      <c r="F457" s="15" t="s">
        <v>2190</v>
      </c>
      <c r="G457" s="15" t="s">
        <v>120</v>
      </c>
      <c r="H457" s="15" t="s">
        <v>1988</v>
      </c>
      <c r="I457" s="23" t="n">
        <v>11999</v>
      </c>
      <c r="J457" s="15" t="s">
        <v>2191</v>
      </c>
      <c r="K457" s="15" t="s">
        <v>2192</v>
      </c>
      <c r="L457" s="15" t="s">
        <v>2184</v>
      </c>
      <c r="M457" s="15" t="s">
        <v>1478</v>
      </c>
      <c r="N457" s="15"/>
    </row>
    <row r="458" customFormat="false" ht="39" hidden="false" customHeight="true" outlineLevel="0" collapsed="false">
      <c r="A458" s="15" t="s">
        <v>2721</v>
      </c>
      <c r="B458" s="15" t="s">
        <v>312</v>
      </c>
      <c r="C458" s="15" t="s">
        <v>444</v>
      </c>
      <c r="D458" s="15" t="s">
        <v>2722</v>
      </c>
      <c r="E458" s="15" t="s">
        <v>1996</v>
      </c>
      <c r="F458" s="15" t="s">
        <v>2190</v>
      </c>
      <c r="G458" s="15" t="s">
        <v>2195</v>
      </c>
      <c r="H458" s="15" t="s">
        <v>2196</v>
      </c>
      <c r="I458" s="23" t="n">
        <v>9999</v>
      </c>
      <c r="J458" s="15" t="s">
        <v>2191</v>
      </c>
      <c r="K458" s="15" t="s">
        <v>2192</v>
      </c>
      <c r="L458" s="15" t="s">
        <v>2184</v>
      </c>
      <c r="M458" s="15" t="s">
        <v>1478</v>
      </c>
      <c r="N458" s="15" t="s">
        <v>2456</v>
      </c>
    </row>
    <row r="459" customFormat="false" ht="39" hidden="false" customHeight="true" outlineLevel="0" collapsed="false">
      <c r="A459" s="15" t="s">
        <v>2723</v>
      </c>
      <c r="B459" s="15" t="s">
        <v>312</v>
      </c>
      <c r="C459" s="15" t="s">
        <v>444</v>
      </c>
      <c r="D459" s="15" t="s">
        <v>2339</v>
      </c>
      <c r="E459" s="15" t="s">
        <v>2331</v>
      </c>
      <c r="F459" s="15" t="s">
        <v>2190</v>
      </c>
      <c r="G459" s="15" t="s">
        <v>2332</v>
      </c>
      <c r="H459" s="15" t="s">
        <v>2064</v>
      </c>
      <c r="I459" s="23" t="n">
        <v>9599</v>
      </c>
      <c r="J459" s="15" t="s">
        <v>2191</v>
      </c>
      <c r="K459" s="15" t="s">
        <v>2192</v>
      </c>
      <c r="L459" s="15" t="s">
        <v>2184</v>
      </c>
      <c r="M459" s="15" t="s">
        <v>1478</v>
      </c>
      <c r="N459" s="15" t="s">
        <v>2333</v>
      </c>
    </row>
    <row r="460" customFormat="false" ht="39" hidden="false" customHeight="true" outlineLevel="0" collapsed="false">
      <c r="A460" s="15" t="s">
        <v>2724</v>
      </c>
      <c r="B460" s="15" t="s">
        <v>312</v>
      </c>
      <c r="C460" s="15" t="s">
        <v>444</v>
      </c>
      <c r="D460" s="15" t="s">
        <v>2584</v>
      </c>
      <c r="E460" s="15" t="s">
        <v>1986</v>
      </c>
      <c r="F460" s="15" t="s">
        <v>2190</v>
      </c>
      <c r="G460" s="15" t="s">
        <v>2585</v>
      </c>
      <c r="H460" s="15" t="s">
        <v>1998</v>
      </c>
      <c r="I460" s="23" t="n">
        <v>8299</v>
      </c>
      <c r="J460" s="15" t="s">
        <v>2191</v>
      </c>
      <c r="K460" s="15" t="s">
        <v>2192</v>
      </c>
      <c r="L460" s="15" t="s">
        <v>2184</v>
      </c>
      <c r="M460" s="15" t="s">
        <v>1478</v>
      </c>
      <c r="N460" s="15" t="s">
        <v>2725</v>
      </c>
    </row>
    <row r="461" customFormat="false" ht="39" hidden="false" customHeight="true" outlineLevel="0" collapsed="false">
      <c r="A461" s="15" t="s">
        <v>2726</v>
      </c>
      <c r="B461" s="15" t="s">
        <v>312</v>
      </c>
      <c r="C461" s="15" t="s">
        <v>444</v>
      </c>
      <c r="D461" s="15" t="s">
        <v>2727</v>
      </c>
      <c r="E461" s="15" t="s">
        <v>2027</v>
      </c>
      <c r="F461" s="15" t="s">
        <v>2190</v>
      </c>
      <c r="G461" s="15" t="s">
        <v>2728</v>
      </c>
      <c r="H461" s="15" t="s">
        <v>2196</v>
      </c>
      <c r="I461" s="23" t="n">
        <v>7999</v>
      </c>
      <c r="J461" s="15" t="s">
        <v>2191</v>
      </c>
      <c r="K461" s="15" t="s">
        <v>2192</v>
      </c>
      <c r="L461" s="15" t="s">
        <v>2184</v>
      </c>
      <c r="M461" s="15" t="s">
        <v>1478</v>
      </c>
      <c r="N461" s="15" t="s">
        <v>2729</v>
      </c>
    </row>
    <row r="462" customFormat="false" ht="39" hidden="false" customHeight="true" outlineLevel="0" collapsed="false">
      <c r="A462" s="15" t="s">
        <v>2730</v>
      </c>
      <c r="B462" s="15" t="s">
        <v>312</v>
      </c>
      <c r="C462" s="15" t="s">
        <v>444</v>
      </c>
      <c r="D462" s="15" t="s">
        <v>2731</v>
      </c>
      <c r="E462" s="15" t="s">
        <v>2117</v>
      </c>
      <c r="F462" s="15" t="s">
        <v>2190</v>
      </c>
      <c r="G462" s="15" t="s">
        <v>2732</v>
      </c>
      <c r="H462" s="15" t="s">
        <v>1998</v>
      </c>
      <c r="I462" s="23" t="n">
        <v>7999</v>
      </c>
      <c r="J462" s="15" t="s">
        <v>2191</v>
      </c>
      <c r="K462" s="15" t="s">
        <v>2192</v>
      </c>
      <c r="L462" s="15" t="s">
        <v>2184</v>
      </c>
      <c r="M462" s="15" t="s">
        <v>1478</v>
      </c>
      <c r="N462" s="15" t="s">
        <v>2733</v>
      </c>
    </row>
    <row r="463" customFormat="false" ht="39" hidden="false" customHeight="true" outlineLevel="0" collapsed="false">
      <c r="A463" s="15" t="s">
        <v>2734</v>
      </c>
      <c r="B463" s="15" t="s">
        <v>312</v>
      </c>
      <c r="C463" s="15" t="s">
        <v>444</v>
      </c>
      <c r="D463" s="15" t="s">
        <v>2341</v>
      </c>
      <c r="E463" s="15" t="s">
        <v>2331</v>
      </c>
      <c r="F463" s="15" t="s">
        <v>2190</v>
      </c>
      <c r="G463" s="15" t="s">
        <v>120</v>
      </c>
      <c r="H463" s="15" t="s">
        <v>1988</v>
      </c>
      <c r="I463" s="23" t="n">
        <v>7254</v>
      </c>
      <c r="J463" s="15" t="s">
        <v>2191</v>
      </c>
      <c r="K463" s="15" t="s">
        <v>2192</v>
      </c>
      <c r="L463" s="15" t="s">
        <v>2184</v>
      </c>
      <c r="M463" s="15" t="s">
        <v>1478</v>
      </c>
      <c r="N463" s="15"/>
    </row>
    <row r="464" customFormat="false" ht="39" hidden="false" customHeight="true" outlineLevel="0" collapsed="false">
      <c r="A464" s="15" t="s">
        <v>2735</v>
      </c>
      <c r="B464" s="15" t="s">
        <v>312</v>
      </c>
      <c r="C464" s="15" t="s">
        <v>444</v>
      </c>
      <c r="D464" s="15" t="s">
        <v>2731</v>
      </c>
      <c r="E464" s="15" t="s">
        <v>2117</v>
      </c>
      <c r="F464" s="15" t="s">
        <v>2190</v>
      </c>
      <c r="G464" s="15" t="s">
        <v>2732</v>
      </c>
      <c r="H464" s="15" t="s">
        <v>1998</v>
      </c>
      <c r="I464" s="23" t="n">
        <v>6999</v>
      </c>
      <c r="J464" s="15" t="s">
        <v>2191</v>
      </c>
      <c r="K464" s="15" t="s">
        <v>2192</v>
      </c>
      <c r="L464" s="15" t="s">
        <v>2184</v>
      </c>
      <c r="M464" s="15" t="s">
        <v>1478</v>
      </c>
      <c r="N464" s="15" t="s">
        <v>2733</v>
      </c>
    </row>
    <row r="465" customFormat="false" ht="39" hidden="false" customHeight="true" outlineLevel="0" collapsed="false">
      <c r="A465" s="15" t="s">
        <v>2736</v>
      </c>
      <c r="B465" s="15" t="s">
        <v>312</v>
      </c>
      <c r="C465" s="15" t="s">
        <v>444</v>
      </c>
      <c r="D465" s="15" t="s">
        <v>2225</v>
      </c>
      <c r="E465" s="15" t="s">
        <v>2027</v>
      </c>
      <c r="F465" s="15" t="s">
        <v>2190</v>
      </c>
      <c r="G465" s="15" t="s">
        <v>2226</v>
      </c>
      <c r="H465" s="15" t="s">
        <v>2064</v>
      </c>
      <c r="I465" s="23" t="n">
        <v>6999</v>
      </c>
      <c r="J465" s="15" t="s">
        <v>2191</v>
      </c>
      <c r="K465" s="15" t="s">
        <v>2192</v>
      </c>
      <c r="L465" s="15" t="s">
        <v>2184</v>
      </c>
      <c r="M465" s="15" t="s">
        <v>1478</v>
      </c>
      <c r="N465" s="15" t="s">
        <v>2227</v>
      </c>
    </row>
    <row r="466" customFormat="false" ht="39" hidden="false" customHeight="true" outlineLevel="0" collapsed="false">
      <c r="A466" s="15" t="s">
        <v>2737</v>
      </c>
      <c r="B466" s="15" t="s">
        <v>312</v>
      </c>
      <c r="C466" s="15" t="s">
        <v>444</v>
      </c>
      <c r="D466" s="15" t="s">
        <v>2229</v>
      </c>
      <c r="E466" s="15" t="s">
        <v>2027</v>
      </c>
      <c r="F466" s="15" t="s">
        <v>2190</v>
      </c>
      <c r="G466" s="15" t="s">
        <v>2230</v>
      </c>
      <c r="H466" s="15" t="s">
        <v>2064</v>
      </c>
      <c r="I466" s="23" t="n">
        <v>6699</v>
      </c>
      <c r="J466" s="15" t="s">
        <v>2191</v>
      </c>
      <c r="K466" s="15" t="s">
        <v>2192</v>
      </c>
      <c r="L466" s="15" t="s">
        <v>2184</v>
      </c>
      <c r="M466" s="15" t="s">
        <v>1478</v>
      </c>
      <c r="N466" s="15" t="s">
        <v>2231</v>
      </c>
    </row>
    <row r="467" customFormat="false" ht="39" hidden="false" customHeight="true" outlineLevel="0" collapsed="false">
      <c r="A467" s="15" t="s">
        <v>2738</v>
      </c>
      <c r="B467" s="15" t="s">
        <v>312</v>
      </c>
      <c r="C467" s="15" t="s">
        <v>444</v>
      </c>
      <c r="D467" s="15" t="s">
        <v>2343</v>
      </c>
      <c r="E467" s="15" t="s">
        <v>2331</v>
      </c>
      <c r="F467" s="15" t="s">
        <v>2190</v>
      </c>
      <c r="G467" s="15" t="s">
        <v>120</v>
      </c>
      <c r="H467" s="15" t="s">
        <v>1988</v>
      </c>
      <c r="I467" s="23" t="n">
        <v>6599</v>
      </c>
      <c r="J467" s="15" t="s">
        <v>2191</v>
      </c>
      <c r="K467" s="15" t="s">
        <v>2192</v>
      </c>
      <c r="L467" s="15" t="s">
        <v>2184</v>
      </c>
      <c r="M467" s="15" t="s">
        <v>1478</v>
      </c>
      <c r="N467" s="15"/>
    </row>
    <row r="468" customFormat="false" ht="39" hidden="false" customHeight="true" outlineLevel="0" collapsed="false">
      <c r="A468" s="15" t="s">
        <v>2739</v>
      </c>
      <c r="B468" s="15" t="s">
        <v>312</v>
      </c>
      <c r="C468" s="15" t="s">
        <v>444</v>
      </c>
      <c r="D468" s="15" t="s">
        <v>2294</v>
      </c>
      <c r="E468" s="15" t="s">
        <v>2234</v>
      </c>
      <c r="F468" s="15" t="s">
        <v>2190</v>
      </c>
      <c r="G468" s="15" t="s">
        <v>120</v>
      </c>
      <c r="H468" s="15" t="s">
        <v>1988</v>
      </c>
      <c r="I468" s="23" t="n">
        <v>5999</v>
      </c>
      <c r="J468" s="15" t="s">
        <v>2191</v>
      </c>
      <c r="K468" s="15" t="s">
        <v>2192</v>
      </c>
      <c r="L468" s="15" t="s">
        <v>2184</v>
      </c>
      <c r="M468" s="15" t="s">
        <v>1478</v>
      </c>
      <c r="N468" s="15"/>
    </row>
    <row r="469" customFormat="false" ht="39" hidden="false" customHeight="true" outlineLevel="0" collapsed="false">
      <c r="A469" s="15" t="s">
        <v>2740</v>
      </c>
      <c r="B469" s="15" t="s">
        <v>312</v>
      </c>
      <c r="C469" s="15" t="s">
        <v>444</v>
      </c>
      <c r="D469" s="15" t="s">
        <v>2741</v>
      </c>
      <c r="E469" s="15" t="s">
        <v>2234</v>
      </c>
      <c r="F469" s="15" t="s">
        <v>2190</v>
      </c>
      <c r="G469" s="15" t="s">
        <v>2742</v>
      </c>
      <c r="H469" s="15" t="s">
        <v>1988</v>
      </c>
      <c r="I469" s="23" t="n">
        <v>5999</v>
      </c>
      <c r="J469" s="15" t="s">
        <v>2191</v>
      </c>
      <c r="K469" s="15" t="s">
        <v>2192</v>
      </c>
      <c r="L469" s="15" t="s">
        <v>2184</v>
      </c>
      <c r="M469" s="15" t="s">
        <v>1478</v>
      </c>
      <c r="N469" s="15" t="s">
        <v>2743</v>
      </c>
    </row>
    <row r="470" customFormat="false" ht="39" hidden="false" customHeight="true" outlineLevel="0" collapsed="false">
      <c r="A470" s="15" t="s">
        <v>2744</v>
      </c>
      <c r="B470" s="15" t="s">
        <v>312</v>
      </c>
      <c r="C470" s="15" t="s">
        <v>444</v>
      </c>
      <c r="D470" s="15" t="s">
        <v>2745</v>
      </c>
      <c r="E470" s="15" t="s">
        <v>1986</v>
      </c>
      <c r="F470" s="15" t="s">
        <v>2190</v>
      </c>
      <c r="G470" s="15" t="s">
        <v>120</v>
      </c>
      <c r="H470" s="15" t="s">
        <v>1988</v>
      </c>
      <c r="I470" s="23" t="n">
        <v>5799</v>
      </c>
      <c r="J470" s="15" t="s">
        <v>2191</v>
      </c>
      <c r="K470" s="15" t="s">
        <v>2192</v>
      </c>
      <c r="L470" s="15" t="s">
        <v>2184</v>
      </c>
      <c r="M470" s="15" t="s">
        <v>1478</v>
      </c>
      <c r="N470" s="15"/>
    </row>
    <row r="471" customFormat="false" ht="39" hidden="false" customHeight="true" outlineLevel="0" collapsed="false">
      <c r="A471" s="15" t="s">
        <v>2746</v>
      </c>
      <c r="B471" s="15" t="s">
        <v>312</v>
      </c>
      <c r="C471" s="15" t="s">
        <v>444</v>
      </c>
      <c r="D471" s="15" t="s">
        <v>2320</v>
      </c>
      <c r="E471" s="15" t="s">
        <v>2321</v>
      </c>
      <c r="F471" s="15" t="s">
        <v>2190</v>
      </c>
      <c r="G471" s="15" t="s">
        <v>120</v>
      </c>
      <c r="H471" s="15" t="s">
        <v>1988</v>
      </c>
      <c r="I471" s="23" t="n">
        <v>4299</v>
      </c>
      <c r="J471" s="15" t="s">
        <v>2191</v>
      </c>
      <c r="K471" s="15" t="s">
        <v>2192</v>
      </c>
      <c r="L471" s="15" t="s">
        <v>2184</v>
      </c>
      <c r="M471" s="15" t="s">
        <v>1478</v>
      </c>
      <c r="N471" s="15"/>
    </row>
    <row r="472" customFormat="false" ht="39" hidden="false" customHeight="true" outlineLevel="0" collapsed="false">
      <c r="A472" s="15" t="s">
        <v>2747</v>
      </c>
      <c r="B472" s="15" t="s">
        <v>312</v>
      </c>
      <c r="C472" s="15" t="s">
        <v>444</v>
      </c>
      <c r="D472" s="15" t="s">
        <v>2296</v>
      </c>
      <c r="E472" s="15" t="s">
        <v>2234</v>
      </c>
      <c r="F472" s="15" t="s">
        <v>2190</v>
      </c>
      <c r="G472" s="15" t="s">
        <v>120</v>
      </c>
      <c r="H472" s="15" t="s">
        <v>1988</v>
      </c>
      <c r="I472" s="23" t="n">
        <v>4099</v>
      </c>
      <c r="J472" s="15" t="s">
        <v>2191</v>
      </c>
      <c r="K472" s="15" t="s">
        <v>2192</v>
      </c>
      <c r="L472" s="15" t="s">
        <v>2184</v>
      </c>
      <c r="M472" s="15" t="s">
        <v>1478</v>
      </c>
      <c r="N472" s="15"/>
    </row>
    <row r="473" customFormat="false" ht="39" hidden="false" customHeight="true" outlineLevel="0" collapsed="false">
      <c r="A473" s="15" t="s">
        <v>2748</v>
      </c>
      <c r="B473" s="15" t="s">
        <v>312</v>
      </c>
      <c r="C473" s="15" t="s">
        <v>444</v>
      </c>
      <c r="D473" s="15" t="s">
        <v>2345</v>
      </c>
      <c r="E473" s="15" t="s">
        <v>2117</v>
      </c>
      <c r="F473" s="15" t="s">
        <v>2190</v>
      </c>
      <c r="G473" s="15" t="s">
        <v>120</v>
      </c>
      <c r="H473" s="15" t="s">
        <v>1988</v>
      </c>
      <c r="I473" s="23" t="n">
        <v>3999</v>
      </c>
      <c r="J473" s="15" t="s">
        <v>2191</v>
      </c>
      <c r="K473" s="15" t="s">
        <v>2192</v>
      </c>
      <c r="L473" s="15" t="s">
        <v>2184</v>
      </c>
      <c r="M473" s="15" t="s">
        <v>1478</v>
      </c>
      <c r="N473" s="15" t="s">
        <v>2719</v>
      </c>
    </row>
    <row r="474" customFormat="false" ht="39" hidden="false" customHeight="true" outlineLevel="0" collapsed="false">
      <c r="A474" s="15" t="s">
        <v>2749</v>
      </c>
      <c r="B474" s="15" t="s">
        <v>312</v>
      </c>
      <c r="C474" s="15" t="s">
        <v>444</v>
      </c>
      <c r="D474" s="15" t="s">
        <v>2347</v>
      </c>
      <c r="E474" s="15" t="s">
        <v>2234</v>
      </c>
      <c r="F474" s="15" t="s">
        <v>2190</v>
      </c>
      <c r="G474" s="15" t="s">
        <v>120</v>
      </c>
      <c r="H474" s="15" t="s">
        <v>1988</v>
      </c>
      <c r="I474" s="23" t="n">
        <v>3999</v>
      </c>
      <c r="J474" s="15" t="s">
        <v>2191</v>
      </c>
      <c r="K474" s="15" t="s">
        <v>2192</v>
      </c>
      <c r="L474" s="15" t="s">
        <v>2184</v>
      </c>
      <c r="M474" s="15" t="s">
        <v>1478</v>
      </c>
      <c r="N474" s="15"/>
    </row>
    <row r="475" customFormat="false" ht="39" hidden="false" customHeight="true" outlineLevel="0" collapsed="false">
      <c r="A475" s="15" t="s">
        <v>2750</v>
      </c>
      <c r="B475" s="15" t="s">
        <v>312</v>
      </c>
      <c r="C475" s="15" t="s">
        <v>444</v>
      </c>
      <c r="D475" s="15" t="s">
        <v>2323</v>
      </c>
      <c r="E475" s="15" t="s">
        <v>2321</v>
      </c>
      <c r="F475" s="15" t="s">
        <v>2190</v>
      </c>
      <c r="G475" s="15" t="s">
        <v>120</v>
      </c>
      <c r="H475" s="15" t="s">
        <v>1988</v>
      </c>
      <c r="I475" s="23" t="n">
        <v>3999</v>
      </c>
      <c r="J475" s="15" t="s">
        <v>2191</v>
      </c>
      <c r="K475" s="15" t="s">
        <v>2192</v>
      </c>
      <c r="L475" s="15" t="s">
        <v>2184</v>
      </c>
      <c r="M475" s="15" t="s">
        <v>1478</v>
      </c>
      <c r="N475" s="15"/>
    </row>
    <row r="476" customFormat="false" ht="39" hidden="false" customHeight="true" outlineLevel="0" collapsed="false">
      <c r="A476" s="15" t="s">
        <v>2751</v>
      </c>
      <c r="B476" s="15" t="s">
        <v>312</v>
      </c>
      <c r="C476" s="15" t="s">
        <v>444</v>
      </c>
      <c r="D476" s="15" t="s">
        <v>2752</v>
      </c>
      <c r="E476" s="15" t="s">
        <v>2234</v>
      </c>
      <c r="F476" s="15" t="s">
        <v>2190</v>
      </c>
      <c r="G476" s="15" t="s">
        <v>2753</v>
      </c>
      <c r="H476" s="15" t="s">
        <v>1988</v>
      </c>
      <c r="I476" s="23" t="n">
        <v>3699</v>
      </c>
      <c r="J476" s="15" t="s">
        <v>2191</v>
      </c>
      <c r="K476" s="15" t="s">
        <v>2192</v>
      </c>
      <c r="L476" s="15" t="s">
        <v>2184</v>
      </c>
      <c r="M476" s="15" t="s">
        <v>1478</v>
      </c>
      <c r="N476" s="15" t="s">
        <v>2754</v>
      </c>
    </row>
    <row r="477" customFormat="false" ht="39" hidden="false" customHeight="true" outlineLevel="0" collapsed="false">
      <c r="A477" s="15" t="s">
        <v>2755</v>
      </c>
      <c r="B477" s="15" t="s">
        <v>312</v>
      </c>
      <c r="C477" s="15" t="s">
        <v>444</v>
      </c>
      <c r="D477" s="15" t="s">
        <v>2756</v>
      </c>
      <c r="E477" s="15" t="s">
        <v>2027</v>
      </c>
      <c r="F477" s="15" t="s">
        <v>2190</v>
      </c>
      <c r="G477" s="15" t="s">
        <v>120</v>
      </c>
      <c r="H477" s="15" t="s">
        <v>1988</v>
      </c>
      <c r="I477" s="23" t="n">
        <v>3635</v>
      </c>
      <c r="J477" s="15" t="s">
        <v>2191</v>
      </c>
      <c r="K477" s="15" t="s">
        <v>2192</v>
      </c>
      <c r="L477" s="15" t="s">
        <v>2184</v>
      </c>
      <c r="M477" s="15" t="s">
        <v>1478</v>
      </c>
      <c r="N477" s="15"/>
    </row>
    <row r="478" customFormat="false" ht="39" hidden="false" customHeight="true" outlineLevel="0" collapsed="false">
      <c r="A478" s="15" t="s">
        <v>2757</v>
      </c>
      <c r="B478" s="15" t="s">
        <v>312</v>
      </c>
      <c r="C478" s="15" t="s">
        <v>444</v>
      </c>
      <c r="D478" s="15" t="s">
        <v>2349</v>
      </c>
      <c r="E478" s="15" t="s">
        <v>2106</v>
      </c>
      <c r="F478" s="15" t="s">
        <v>2190</v>
      </c>
      <c r="G478" s="15" t="s">
        <v>2350</v>
      </c>
      <c r="H478" s="15" t="s">
        <v>1998</v>
      </c>
      <c r="I478" s="23" t="n">
        <v>3549</v>
      </c>
      <c r="J478" s="15" t="s">
        <v>2191</v>
      </c>
      <c r="K478" s="15" t="s">
        <v>2192</v>
      </c>
      <c r="L478" s="15" t="s">
        <v>2184</v>
      </c>
      <c r="M478" s="15" t="s">
        <v>1478</v>
      </c>
      <c r="N478" s="15" t="s">
        <v>2351</v>
      </c>
    </row>
    <row r="479" customFormat="false" ht="39" hidden="false" customHeight="true" outlineLevel="0" collapsed="false">
      <c r="A479" s="15" t="s">
        <v>2758</v>
      </c>
      <c r="B479" s="15" t="s">
        <v>312</v>
      </c>
      <c r="C479" s="15" t="s">
        <v>444</v>
      </c>
      <c r="D479" s="15" t="s">
        <v>2258</v>
      </c>
      <c r="E479" s="15" t="s">
        <v>2106</v>
      </c>
      <c r="F479" s="15" t="s">
        <v>2190</v>
      </c>
      <c r="G479" s="15" t="s">
        <v>120</v>
      </c>
      <c r="H479" s="15" t="s">
        <v>1988</v>
      </c>
      <c r="I479" s="23" t="n">
        <v>3499</v>
      </c>
      <c r="J479" s="15" t="s">
        <v>2191</v>
      </c>
      <c r="K479" s="15" t="s">
        <v>2192</v>
      </c>
      <c r="L479" s="15" t="s">
        <v>2184</v>
      </c>
      <c r="M479" s="15" t="s">
        <v>1478</v>
      </c>
      <c r="N479" s="15"/>
    </row>
    <row r="480" customFormat="false" ht="39" hidden="false" customHeight="true" outlineLevel="0" collapsed="false">
      <c r="A480" s="15" t="s">
        <v>2759</v>
      </c>
      <c r="B480" s="15" t="s">
        <v>312</v>
      </c>
      <c r="C480" s="15" t="s">
        <v>444</v>
      </c>
      <c r="D480" s="15" t="s">
        <v>2256</v>
      </c>
      <c r="E480" s="15" t="s">
        <v>2106</v>
      </c>
      <c r="F480" s="15" t="s">
        <v>2190</v>
      </c>
      <c r="G480" s="15" t="s">
        <v>120</v>
      </c>
      <c r="H480" s="15" t="s">
        <v>1988</v>
      </c>
      <c r="I480" s="23" t="n">
        <v>3499</v>
      </c>
      <c r="J480" s="15" t="s">
        <v>2191</v>
      </c>
      <c r="K480" s="15" t="s">
        <v>2192</v>
      </c>
      <c r="L480" s="15" t="s">
        <v>2184</v>
      </c>
      <c r="M480" s="15" t="s">
        <v>1478</v>
      </c>
      <c r="N480" s="15"/>
    </row>
    <row r="481" customFormat="false" ht="39" hidden="false" customHeight="true" outlineLevel="0" collapsed="false">
      <c r="A481" s="15" t="s">
        <v>2760</v>
      </c>
      <c r="B481" s="15" t="s">
        <v>312</v>
      </c>
      <c r="C481" s="15" t="s">
        <v>444</v>
      </c>
      <c r="D481" s="15" t="s">
        <v>2353</v>
      </c>
      <c r="E481" s="15" t="s">
        <v>2099</v>
      </c>
      <c r="F481" s="15" t="s">
        <v>2190</v>
      </c>
      <c r="G481" s="15" t="s">
        <v>120</v>
      </c>
      <c r="H481" s="15" t="s">
        <v>1988</v>
      </c>
      <c r="I481" s="23" t="n">
        <v>3499</v>
      </c>
      <c r="J481" s="15" t="s">
        <v>2191</v>
      </c>
      <c r="K481" s="15" t="s">
        <v>2192</v>
      </c>
      <c r="L481" s="15" t="s">
        <v>2184</v>
      </c>
      <c r="M481" s="15" t="s">
        <v>1478</v>
      </c>
      <c r="N481" s="15"/>
    </row>
    <row r="482" customFormat="false" ht="39" hidden="false" customHeight="true" outlineLevel="0" collapsed="false">
      <c r="A482" s="15" t="s">
        <v>2761</v>
      </c>
      <c r="B482" s="15" t="s">
        <v>312</v>
      </c>
      <c r="C482" s="15" t="s">
        <v>444</v>
      </c>
      <c r="D482" s="15" t="s">
        <v>2320</v>
      </c>
      <c r="E482" s="15" t="s">
        <v>2321</v>
      </c>
      <c r="F482" s="15" t="s">
        <v>2190</v>
      </c>
      <c r="G482" s="15" t="s">
        <v>120</v>
      </c>
      <c r="H482" s="15" t="s">
        <v>1988</v>
      </c>
      <c r="I482" s="23" t="n">
        <v>3399</v>
      </c>
      <c r="J482" s="15" t="s">
        <v>2191</v>
      </c>
      <c r="K482" s="15" t="s">
        <v>2192</v>
      </c>
      <c r="L482" s="15" t="s">
        <v>2184</v>
      </c>
      <c r="M482" s="15" t="s">
        <v>1478</v>
      </c>
      <c r="N482" s="15"/>
    </row>
    <row r="483" customFormat="false" ht="39" hidden="false" customHeight="true" outlineLevel="0" collapsed="false">
      <c r="A483" s="15" t="s">
        <v>2762</v>
      </c>
      <c r="B483" s="15" t="s">
        <v>312</v>
      </c>
      <c r="C483" s="15" t="s">
        <v>444</v>
      </c>
      <c r="D483" s="15" t="s">
        <v>2355</v>
      </c>
      <c r="E483" s="15" t="s">
        <v>2047</v>
      </c>
      <c r="F483" s="15" t="s">
        <v>2190</v>
      </c>
      <c r="G483" s="15" t="s">
        <v>120</v>
      </c>
      <c r="H483" s="15" t="s">
        <v>1988</v>
      </c>
      <c r="I483" s="23" t="n">
        <v>3199</v>
      </c>
      <c r="J483" s="15" t="s">
        <v>2191</v>
      </c>
      <c r="K483" s="15" t="s">
        <v>2192</v>
      </c>
      <c r="L483" s="15" t="s">
        <v>2184</v>
      </c>
      <c r="M483" s="15" t="s">
        <v>1478</v>
      </c>
      <c r="N483" s="15"/>
    </row>
    <row r="484" customFormat="false" ht="39" hidden="false" customHeight="true" outlineLevel="0" collapsed="false">
      <c r="A484" s="15" t="s">
        <v>2763</v>
      </c>
      <c r="B484" s="15" t="s">
        <v>312</v>
      </c>
      <c r="C484" s="15" t="s">
        <v>444</v>
      </c>
      <c r="D484" s="15" t="s">
        <v>2764</v>
      </c>
      <c r="E484" s="15" t="s">
        <v>2002</v>
      </c>
      <c r="F484" s="15" t="s">
        <v>2190</v>
      </c>
      <c r="G484" s="15" t="s">
        <v>120</v>
      </c>
      <c r="H484" s="15" t="s">
        <v>1988</v>
      </c>
      <c r="I484" s="23" t="n">
        <v>2999</v>
      </c>
      <c r="J484" s="15" t="s">
        <v>2191</v>
      </c>
      <c r="K484" s="15" t="s">
        <v>2192</v>
      </c>
      <c r="L484" s="15" t="s">
        <v>2184</v>
      </c>
      <c r="M484" s="15" t="s">
        <v>1478</v>
      </c>
      <c r="N484" s="15"/>
    </row>
    <row r="485" customFormat="false" ht="39" hidden="false" customHeight="true" outlineLevel="0" collapsed="false">
      <c r="A485" s="15" t="s">
        <v>2765</v>
      </c>
      <c r="B485" s="15" t="s">
        <v>312</v>
      </c>
      <c r="C485" s="15" t="s">
        <v>444</v>
      </c>
      <c r="D485" s="15" t="s">
        <v>2357</v>
      </c>
      <c r="E485" s="15" t="s">
        <v>2321</v>
      </c>
      <c r="F485" s="15" t="s">
        <v>2190</v>
      </c>
      <c r="G485" s="15" t="s">
        <v>120</v>
      </c>
      <c r="H485" s="15" t="s">
        <v>1988</v>
      </c>
      <c r="I485" s="23" t="n">
        <v>2838</v>
      </c>
      <c r="J485" s="15" t="s">
        <v>2191</v>
      </c>
      <c r="K485" s="15" t="s">
        <v>2192</v>
      </c>
      <c r="L485" s="15" t="s">
        <v>2184</v>
      </c>
      <c r="M485" s="15" t="s">
        <v>1478</v>
      </c>
      <c r="N485" s="15"/>
    </row>
    <row r="486" customFormat="false" ht="39" hidden="false" customHeight="true" outlineLevel="0" collapsed="false">
      <c r="A486" s="15" t="s">
        <v>2766</v>
      </c>
      <c r="B486" s="15" t="s">
        <v>312</v>
      </c>
      <c r="C486" s="15" t="s">
        <v>444</v>
      </c>
      <c r="D486" s="15" t="s">
        <v>2767</v>
      </c>
      <c r="E486" s="15" t="s">
        <v>1986</v>
      </c>
      <c r="F486" s="15" t="s">
        <v>2190</v>
      </c>
      <c r="G486" s="15" t="s">
        <v>120</v>
      </c>
      <c r="H486" s="15" t="s">
        <v>1988</v>
      </c>
      <c r="I486" s="23" t="n">
        <v>2799</v>
      </c>
      <c r="J486" s="15" t="s">
        <v>2191</v>
      </c>
      <c r="K486" s="15" t="s">
        <v>2192</v>
      </c>
      <c r="L486" s="15" t="s">
        <v>2184</v>
      </c>
      <c r="M486" s="15" t="s">
        <v>1478</v>
      </c>
      <c r="N486" s="15"/>
    </row>
    <row r="487" customFormat="false" ht="39" hidden="false" customHeight="true" outlineLevel="0" collapsed="false">
      <c r="A487" s="15" t="s">
        <v>2768</v>
      </c>
      <c r="B487" s="15" t="s">
        <v>312</v>
      </c>
      <c r="C487" s="15" t="s">
        <v>444</v>
      </c>
      <c r="D487" s="15" t="s">
        <v>2769</v>
      </c>
      <c r="E487" s="15" t="s">
        <v>2027</v>
      </c>
      <c r="F487" s="15" t="s">
        <v>2190</v>
      </c>
      <c r="G487" s="15" t="s">
        <v>120</v>
      </c>
      <c r="H487" s="15" t="s">
        <v>1988</v>
      </c>
      <c r="I487" s="23" t="n">
        <v>2799</v>
      </c>
      <c r="J487" s="15" t="s">
        <v>2191</v>
      </c>
      <c r="K487" s="15" t="s">
        <v>2192</v>
      </c>
      <c r="L487" s="15" t="s">
        <v>2184</v>
      </c>
      <c r="M487" s="15" t="s">
        <v>1478</v>
      </c>
      <c r="N487" s="15"/>
    </row>
    <row r="488" customFormat="false" ht="39" hidden="false" customHeight="true" outlineLevel="0" collapsed="false">
      <c r="A488" s="15" t="s">
        <v>2770</v>
      </c>
      <c r="B488" s="15" t="s">
        <v>312</v>
      </c>
      <c r="C488" s="15" t="s">
        <v>444</v>
      </c>
      <c r="D488" s="15" t="s">
        <v>2771</v>
      </c>
      <c r="E488" s="15" t="s">
        <v>1986</v>
      </c>
      <c r="F488" s="15" t="s">
        <v>2190</v>
      </c>
      <c r="G488" s="15" t="s">
        <v>120</v>
      </c>
      <c r="H488" s="15" t="s">
        <v>1988</v>
      </c>
      <c r="I488" s="23" t="n">
        <v>2699</v>
      </c>
      <c r="J488" s="15" t="s">
        <v>2191</v>
      </c>
      <c r="K488" s="15" t="s">
        <v>2192</v>
      </c>
      <c r="L488" s="15" t="s">
        <v>2184</v>
      </c>
      <c r="M488" s="15" t="s">
        <v>1478</v>
      </c>
      <c r="N488" s="15" t="s">
        <v>2772</v>
      </c>
    </row>
    <row r="489" customFormat="false" ht="39" hidden="false" customHeight="true" outlineLevel="0" collapsed="false">
      <c r="A489" s="15" t="s">
        <v>2773</v>
      </c>
      <c r="B489" s="15" t="s">
        <v>312</v>
      </c>
      <c r="C489" s="15" t="s">
        <v>444</v>
      </c>
      <c r="D489" s="15" t="s">
        <v>2359</v>
      </c>
      <c r="E489" s="15" t="s">
        <v>2099</v>
      </c>
      <c r="F489" s="15" t="s">
        <v>2190</v>
      </c>
      <c r="G489" s="15" t="s">
        <v>120</v>
      </c>
      <c r="H489" s="15" t="s">
        <v>1988</v>
      </c>
      <c r="I489" s="23" t="n">
        <v>2599</v>
      </c>
      <c r="J489" s="15" t="s">
        <v>2191</v>
      </c>
      <c r="K489" s="15" t="s">
        <v>2192</v>
      </c>
      <c r="L489" s="15" t="s">
        <v>2184</v>
      </c>
      <c r="M489" s="15" t="s">
        <v>1478</v>
      </c>
      <c r="N489" s="15"/>
    </row>
    <row r="490" customFormat="false" ht="39" hidden="false" customHeight="true" outlineLevel="0" collapsed="false">
      <c r="A490" s="15" t="s">
        <v>2774</v>
      </c>
      <c r="B490" s="15" t="s">
        <v>312</v>
      </c>
      <c r="C490" s="15" t="s">
        <v>444</v>
      </c>
      <c r="D490" s="15" t="s">
        <v>2238</v>
      </c>
      <c r="E490" s="15" t="s">
        <v>2027</v>
      </c>
      <c r="F490" s="15" t="s">
        <v>2190</v>
      </c>
      <c r="G490" s="15" t="s">
        <v>120</v>
      </c>
      <c r="H490" s="15" t="s">
        <v>1988</v>
      </c>
      <c r="I490" s="23" t="n">
        <v>2599</v>
      </c>
      <c r="J490" s="15" t="s">
        <v>2191</v>
      </c>
      <c r="K490" s="15" t="s">
        <v>2192</v>
      </c>
      <c r="L490" s="15" t="s">
        <v>2184</v>
      </c>
      <c r="M490" s="15" t="s">
        <v>1478</v>
      </c>
      <c r="N490" s="15"/>
    </row>
    <row r="491" customFormat="false" ht="39" hidden="false" customHeight="true" outlineLevel="0" collapsed="false">
      <c r="A491" s="15" t="s">
        <v>2775</v>
      </c>
      <c r="B491" s="15" t="s">
        <v>312</v>
      </c>
      <c r="C491" s="15" t="s">
        <v>444</v>
      </c>
      <c r="D491" s="15" t="s">
        <v>2776</v>
      </c>
      <c r="E491" s="15" t="s">
        <v>2002</v>
      </c>
      <c r="F491" s="15" t="s">
        <v>2190</v>
      </c>
      <c r="G491" s="15" t="s">
        <v>120</v>
      </c>
      <c r="H491" s="15" t="s">
        <v>1988</v>
      </c>
      <c r="I491" s="23" t="n">
        <v>2349</v>
      </c>
      <c r="J491" s="15" t="s">
        <v>2191</v>
      </c>
      <c r="K491" s="15" t="s">
        <v>2192</v>
      </c>
      <c r="L491" s="15" t="s">
        <v>2184</v>
      </c>
      <c r="M491" s="15" t="s">
        <v>1478</v>
      </c>
      <c r="N491" s="15"/>
    </row>
    <row r="492" customFormat="false" ht="39" hidden="false" customHeight="true" outlineLevel="0" collapsed="false">
      <c r="A492" s="15" t="s">
        <v>2777</v>
      </c>
      <c r="B492" s="15" t="s">
        <v>312</v>
      </c>
      <c r="C492" s="15" t="s">
        <v>444</v>
      </c>
      <c r="D492" s="15" t="s">
        <v>2326</v>
      </c>
      <c r="E492" s="15" t="s">
        <v>2321</v>
      </c>
      <c r="F492" s="15" t="s">
        <v>2190</v>
      </c>
      <c r="G492" s="15" t="s">
        <v>120</v>
      </c>
      <c r="H492" s="15" t="s">
        <v>1988</v>
      </c>
      <c r="I492" s="23" t="n">
        <v>2099</v>
      </c>
      <c r="J492" s="15" t="s">
        <v>2191</v>
      </c>
      <c r="K492" s="15" t="s">
        <v>2192</v>
      </c>
      <c r="L492" s="15" t="s">
        <v>2184</v>
      </c>
      <c r="M492" s="15" t="s">
        <v>1478</v>
      </c>
      <c r="N492" s="15"/>
    </row>
    <row r="493" customFormat="false" ht="39" hidden="false" customHeight="true" outlineLevel="0" collapsed="false">
      <c r="A493" s="15" t="s">
        <v>2778</v>
      </c>
      <c r="B493" s="15" t="s">
        <v>312</v>
      </c>
      <c r="C493" s="15" t="s">
        <v>444</v>
      </c>
      <c r="D493" s="15" t="s">
        <v>2262</v>
      </c>
      <c r="E493" s="15" t="s">
        <v>2234</v>
      </c>
      <c r="F493" s="15" t="s">
        <v>2190</v>
      </c>
      <c r="G493" s="15" t="s">
        <v>120</v>
      </c>
      <c r="H493" s="15" t="s">
        <v>1988</v>
      </c>
      <c r="I493" s="23" t="n">
        <v>2005</v>
      </c>
      <c r="J493" s="15" t="s">
        <v>2191</v>
      </c>
      <c r="K493" s="15" t="s">
        <v>2192</v>
      </c>
      <c r="L493" s="15" t="s">
        <v>2184</v>
      </c>
      <c r="M493" s="15" t="s">
        <v>1478</v>
      </c>
      <c r="N493" s="15"/>
    </row>
    <row r="494" customFormat="false" ht="39" hidden="false" customHeight="true" outlineLevel="0" collapsed="false">
      <c r="A494" s="15" t="s">
        <v>2779</v>
      </c>
      <c r="B494" s="15" t="s">
        <v>312</v>
      </c>
      <c r="C494" s="15" t="s">
        <v>444</v>
      </c>
      <c r="D494" s="15" t="s">
        <v>2328</v>
      </c>
      <c r="E494" s="15" t="s">
        <v>2321</v>
      </c>
      <c r="F494" s="15" t="s">
        <v>2190</v>
      </c>
      <c r="G494" s="15" t="s">
        <v>120</v>
      </c>
      <c r="H494" s="15" t="s">
        <v>1988</v>
      </c>
      <c r="I494" s="23" t="n">
        <v>1999</v>
      </c>
      <c r="J494" s="15" t="s">
        <v>2191</v>
      </c>
      <c r="K494" s="15" t="s">
        <v>2192</v>
      </c>
      <c r="L494" s="15" t="s">
        <v>2184</v>
      </c>
      <c r="M494" s="15" t="s">
        <v>1478</v>
      </c>
      <c r="N494" s="15"/>
    </row>
    <row r="495" customFormat="false" ht="39" hidden="false" customHeight="true" outlineLevel="0" collapsed="false">
      <c r="A495" s="15" t="s">
        <v>2780</v>
      </c>
      <c r="B495" s="15" t="s">
        <v>312</v>
      </c>
      <c r="C495" s="15" t="s">
        <v>444</v>
      </c>
      <c r="D495" s="15" t="s">
        <v>2781</v>
      </c>
      <c r="E495" s="15" t="s">
        <v>2032</v>
      </c>
      <c r="F495" s="15" t="s">
        <v>2190</v>
      </c>
      <c r="G495" s="15" t="s">
        <v>120</v>
      </c>
      <c r="H495" s="15" t="s">
        <v>1988</v>
      </c>
      <c r="I495" s="23" t="n">
        <v>1999</v>
      </c>
      <c r="J495" s="15" t="s">
        <v>2191</v>
      </c>
      <c r="K495" s="15" t="s">
        <v>2192</v>
      </c>
      <c r="L495" s="15" t="s">
        <v>2184</v>
      </c>
      <c r="M495" s="15" t="s">
        <v>1478</v>
      </c>
      <c r="N495" s="15"/>
    </row>
    <row r="496" customFormat="false" ht="39" hidden="false" customHeight="true" outlineLevel="0" collapsed="false">
      <c r="A496" s="15" t="s">
        <v>2782</v>
      </c>
      <c r="B496" s="15" t="s">
        <v>312</v>
      </c>
      <c r="C496" s="15" t="s">
        <v>444</v>
      </c>
      <c r="D496" s="15" t="s">
        <v>2783</v>
      </c>
      <c r="E496" s="15" t="s">
        <v>2032</v>
      </c>
      <c r="F496" s="15" t="s">
        <v>2190</v>
      </c>
      <c r="G496" s="15" t="s">
        <v>120</v>
      </c>
      <c r="H496" s="15" t="s">
        <v>1988</v>
      </c>
      <c r="I496" s="23" t="n">
        <v>1999</v>
      </c>
      <c r="J496" s="15" t="s">
        <v>2191</v>
      </c>
      <c r="K496" s="15" t="s">
        <v>2192</v>
      </c>
      <c r="L496" s="15" t="s">
        <v>2184</v>
      </c>
      <c r="M496" s="15" t="s">
        <v>1478</v>
      </c>
      <c r="N496" s="15"/>
    </row>
    <row r="497" customFormat="false" ht="39" hidden="false" customHeight="true" outlineLevel="0" collapsed="false">
      <c r="A497" s="15" t="s">
        <v>2784</v>
      </c>
      <c r="B497" s="15" t="s">
        <v>312</v>
      </c>
      <c r="C497" s="15" t="s">
        <v>444</v>
      </c>
      <c r="D497" s="15" t="s">
        <v>2785</v>
      </c>
      <c r="E497" s="15" t="s">
        <v>2027</v>
      </c>
      <c r="F497" s="15" t="s">
        <v>2190</v>
      </c>
      <c r="G497" s="15" t="s">
        <v>120</v>
      </c>
      <c r="H497" s="15" t="s">
        <v>1988</v>
      </c>
      <c r="I497" s="23" t="n">
        <v>1999</v>
      </c>
      <c r="J497" s="15" t="s">
        <v>2191</v>
      </c>
      <c r="K497" s="15" t="s">
        <v>2192</v>
      </c>
      <c r="L497" s="15" t="s">
        <v>2184</v>
      </c>
      <c r="M497" s="15" t="s">
        <v>1478</v>
      </c>
      <c r="N497" s="15" t="s">
        <v>2786</v>
      </c>
    </row>
    <row r="498" customFormat="false" ht="39" hidden="false" customHeight="true" outlineLevel="0" collapsed="false">
      <c r="A498" s="15" t="s">
        <v>2787</v>
      </c>
      <c r="B498" s="15" t="s">
        <v>312</v>
      </c>
      <c r="C498" s="15" t="s">
        <v>444</v>
      </c>
      <c r="D498" s="15" t="s">
        <v>2363</v>
      </c>
      <c r="E498" s="15" t="s">
        <v>2234</v>
      </c>
      <c r="F498" s="15" t="s">
        <v>2190</v>
      </c>
      <c r="G498" s="15" t="s">
        <v>120</v>
      </c>
      <c r="H498" s="15" t="s">
        <v>1988</v>
      </c>
      <c r="I498" s="23" t="n">
        <v>1899</v>
      </c>
      <c r="J498" s="15" t="s">
        <v>2191</v>
      </c>
      <c r="K498" s="15" t="s">
        <v>2192</v>
      </c>
      <c r="L498" s="15" t="s">
        <v>2184</v>
      </c>
      <c r="M498" s="15" t="s">
        <v>1478</v>
      </c>
      <c r="N498" s="15"/>
    </row>
    <row r="499" customFormat="false" ht="39" hidden="false" customHeight="true" outlineLevel="0" collapsed="false">
      <c r="A499" s="15" t="s">
        <v>2788</v>
      </c>
      <c r="B499" s="15" t="s">
        <v>312</v>
      </c>
      <c r="C499" s="15" t="s">
        <v>444</v>
      </c>
      <c r="D499" s="15" t="s">
        <v>2363</v>
      </c>
      <c r="E499" s="15" t="s">
        <v>2234</v>
      </c>
      <c r="F499" s="15" t="s">
        <v>2190</v>
      </c>
      <c r="G499" s="15" t="s">
        <v>120</v>
      </c>
      <c r="H499" s="15" t="s">
        <v>1988</v>
      </c>
      <c r="I499" s="23" t="n">
        <v>1799</v>
      </c>
      <c r="J499" s="15" t="s">
        <v>2191</v>
      </c>
      <c r="K499" s="15" t="s">
        <v>2192</v>
      </c>
      <c r="L499" s="15" t="s">
        <v>2184</v>
      </c>
      <c r="M499" s="15" t="s">
        <v>1478</v>
      </c>
      <c r="N499" s="15"/>
    </row>
    <row r="500" customFormat="false" ht="39" hidden="false" customHeight="true" outlineLevel="0" collapsed="false">
      <c r="A500" s="15" t="s">
        <v>2789</v>
      </c>
      <c r="B500" s="15" t="s">
        <v>312</v>
      </c>
      <c r="C500" s="15" t="s">
        <v>444</v>
      </c>
      <c r="D500" s="15" t="s">
        <v>2790</v>
      </c>
      <c r="E500" s="15" t="s">
        <v>2002</v>
      </c>
      <c r="F500" s="15" t="s">
        <v>2190</v>
      </c>
      <c r="G500" s="15" t="s">
        <v>120</v>
      </c>
      <c r="H500" s="15" t="s">
        <v>1988</v>
      </c>
      <c r="I500" s="23" t="n">
        <v>1699</v>
      </c>
      <c r="J500" s="15" t="s">
        <v>2191</v>
      </c>
      <c r="K500" s="15" t="s">
        <v>2192</v>
      </c>
      <c r="L500" s="15" t="s">
        <v>2184</v>
      </c>
      <c r="M500" s="15" t="s">
        <v>1478</v>
      </c>
      <c r="N500" s="15"/>
    </row>
    <row r="501" customFormat="false" ht="39" hidden="false" customHeight="true" outlineLevel="0" collapsed="false">
      <c r="A501" s="15" t="s">
        <v>2791</v>
      </c>
      <c r="B501" s="15" t="s">
        <v>312</v>
      </c>
      <c r="C501" s="15" t="s">
        <v>444</v>
      </c>
      <c r="D501" s="15" t="s">
        <v>2792</v>
      </c>
      <c r="E501" s="15" t="s">
        <v>2002</v>
      </c>
      <c r="F501" s="15" t="s">
        <v>2190</v>
      </c>
      <c r="G501" s="15" t="s">
        <v>120</v>
      </c>
      <c r="H501" s="15" t="s">
        <v>1988</v>
      </c>
      <c r="I501" s="23" t="n">
        <v>1549</v>
      </c>
      <c r="J501" s="15" t="s">
        <v>2191</v>
      </c>
      <c r="K501" s="15" t="s">
        <v>2192</v>
      </c>
      <c r="L501" s="15" t="s">
        <v>2184</v>
      </c>
      <c r="M501" s="15" t="s">
        <v>1478</v>
      </c>
      <c r="N501" s="15"/>
    </row>
    <row r="502" customFormat="false" ht="39" hidden="false" customHeight="true" outlineLevel="0" collapsed="false">
      <c r="A502" s="15" t="s">
        <v>2793</v>
      </c>
      <c r="B502" s="15" t="s">
        <v>312</v>
      </c>
      <c r="C502" s="15" t="s">
        <v>444</v>
      </c>
      <c r="D502" s="15" t="s">
        <v>2245</v>
      </c>
      <c r="E502" s="15" t="s">
        <v>2027</v>
      </c>
      <c r="F502" s="15" t="s">
        <v>2190</v>
      </c>
      <c r="G502" s="15" t="s">
        <v>120</v>
      </c>
      <c r="H502" s="15" t="s">
        <v>1988</v>
      </c>
      <c r="I502" s="23" t="n">
        <v>1499</v>
      </c>
      <c r="J502" s="15" t="s">
        <v>2191</v>
      </c>
      <c r="K502" s="15" t="s">
        <v>2192</v>
      </c>
      <c r="L502" s="15" t="s">
        <v>2184</v>
      </c>
      <c r="M502" s="15" t="s">
        <v>1478</v>
      </c>
      <c r="N502" s="15" t="s">
        <v>2719</v>
      </c>
    </row>
    <row r="503" customFormat="false" ht="39" hidden="false" customHeight="true" outlineLevel="0" collapsed="false">
      <c r="A503" s="15" t="s">
        <v>2794</v>
      </c>
      <c r="B503" s="15" t="s">
        <v>312</v>
      </c>
      <c r="C503" s="15" t="s">
        <v>444</v>
      </c>
      <c r="D503" s="15" t="s">
        <v>2268</v>
      </c>
      <c r="E503" s="15" t="s">
        <v>2032</v>
      </c>
      <c r="F503" s="15" t="s">
        <v>2190</v>
      </c>
      <c r="G503" s="15" t="s">
        <v>120</v>
      </c>
      <c r="H503" s="15" t="s">
        <v>1988</v>
      </c>
      <c r="I503" s="23" t="n">
        <v>1499</v>
      </c>
      <c r="J503" s="15" t="s">
        <v>2191</v>
      </c>
      <c r="K503" s="15" t="s">
        <v>2192</v>
      </c>
      <c r="L503" s="15" t="s">
        <v>2184</v>
      </c>
      <c r="M503" s="15" t="s">
        <v>1478</v>
      </c>
      <c r="N503" s="15"/>
    </row>
    <row r="504" customFormat="false" ht="39" hidden="false" customHeight="true" outlineLevel="0" collapsed="false">
      <c r="A504" s="15" t="s">
        <v>2795</v>
      </c>
      <c r="B504" s="15" t="s">
        <v>312</v>
      </c>
      <c r="C504" s="15" t="s">
        <v>444</v>
      </c>
      <c r="D504" s="15" t="s">
        <v>2366</v>
      </c>
      <c r="E504" s="15" t="s">
        <v>2099</v>
      </c>
      <c r="F504" s="15" t="s">
        <v>2190</v>
      </c>
      <c r="G504" s="15" t="s">
        <v>120</v>
      </c>
      <c r="H504" s="15" t="s">
        <v>1988</v>
      </c>
      <c r="I504" s="23" t="n">
        <v>1199</v>
      </c>
      <c r="J504" s="15" t="s">
        <v>2191</v>
      </c>
      <c r="K504" s="15" t="s">
        <v>2192</v>
      </c>
      <c r="L504" s="15" t="s">
        <v>2184</v>
      </c>
      <c r="M504" s="15" t="s">
        <v>1478</v>
      </c>
      <c r="N504" s="15"/>
    </row>
    <row r="505" customFormat="false" ht="39" hidden="false" customHeight="true" outlineLevel="0" collapsed="false">
      <c r="A505" s="15" t="s">
        <v>2796</v>
      </c>
      <c r="B505" s="15" t="s">
        <v>312</v>
      </c>
      <c r="C505" s="15" t="s">
        <v>444</v>
      </c>
      <c r="D505" s="15" t="s">
        <v>2797</v>
      </c>
      <c r="E505" s="15" t="s">
        <v>2032</v>
      </c>
      <c r="F505" s="15" t="s">
        <v>2190</v>
      </c>
      <c r="G505" s="15" t="s">
        <v>120</v>
      </c>
      <c r="H505" s="15" t="s">
        <v>1988</v>
      </c>
      <c r="I505" s="23" t="n">
        <v>1199</v>
      </c>
      <c r="J505" s="15" t="s">
        <v>2191</v>
      </c>
      <c r="K505" s="15" t="s">
        <v>2192</v>
      </c>
      <c r="L505" s="15" t="s">
        <v>2184</v>
      </c>
      <c r="M505" s="15" t="s">
        <v>1478</v>
      </c>
      <c r="N505" s="15"/>
    </row>
    <row r="506" customFormat="false" ht="39" hidden="false" customHeight="true" outlineLevel="0" collapsed="false">
      <c r="A506" s="15" t="s">
        <v>2798</v>
      </c>
      <c r="B506" s="15" t="s">
        <v>312</v>
      </c>
      <c r="C506" s="15" t="s">
        <v>444</v>
      </c>
      <c r="D506" s="15" t="s">
        <v>2366</v>
      </c>
      <c r="E506" s="15" t="s">
        <v>2099</v>
      </c>
      <c r="F506" s="15" t="s">
        <v>2190</v>
      </c>
      <c r="G506" s="15" t="s">
        <v>120</v>
      </c>
      <c r="H506" s="15" t="s">
        <v>1988</v>
      </c>
      <c r="I506" s="23" t="n">
        <v>1063</v>
      </c>
      <c r="J506" s="15" t="s">
        <v>2191</v>
      </c>
      <c r="K506" s="15" t="s">
        <v>2192</v>
      </c>
      <c r="L506" s="15" t="s">
        <v>2184</v>
      </c>
      <c r="M506" s="15" t="s">
        <v>1478</v>
      </c>
      <c r="N506" s="15"/>
    </row>
    <row r="507" customFormat="false" ht="39" hidden="false" customHeight="true" outlineLevel="0" collapsed="false">
      <c r="A507" s="15" t="s">
        <v>2799</v>
      </c>
      <c r="B507" s="15" t="s">
        <v>312</v>
      </c>
      <c r="C507" s="15" t="s">
        <v>444</v>
      </c>
      <c r="D507" s="15" t="s">
        <v>2369</v>
      </c>
      <c r="E507" s="15" t="s">
        <v>2234</v>
      </c>
      <c r="F507" s="15" t="s">
        <v>2190</v>
      </c>
      <c r="G507" s="15" t="s">
        <v>120</v>
      </c>
      <c r="H507" s="15" t="s">
        <v>1988</v>
      </c>
      <c r="I507" s="23" t="n">
        <v>999</v>
      </c>
      <c r="J507" s="15" t="s">
        <v>2191</v>
      </c>
      <c r="K507" s="15" t="s">
        <v>2192</v>
      </c>
      <c r="L507" s="15" t="s">
        <v>2184</v>
      </c>
      <c r="M507" s="15" t="s">
        <v>1478</v>
      </c>
      <c r="N507" s="15"/>
    </row>
    <row r="508" customFormat="false" ht="39" hidden="false" customHeight="true" outlineLevel="0" collapsed="false">
      <c r="A508" s="15" t="s">
        <v>2800</v>
      </c>
      <c r="B508" s="15" t="s">
        <v>312</v>
      </c>
      <c r="C508" s="15" t="s">
        <v>444</v>
      </c>
      <c r="D508" s="15" t="s">
        <v>2298</v>
      </c>
      <c r="E508" s="15" t="s">
        <v>2234</v>
      </c>
      <c r="F508" s="15" t="s">
        <v>2190</v>
      </c>
      <c r="G508" s="15" t="s">
        <v>120</v>
      </c>
      <c r="H508" s="15" t="s">
        <v>1988</v>
      </c>
      <c r="I508" s="23" t="n">
        <v>999</v>
      </c>
      <c r="J508" s="15" t="s">
        <v>2191</v>
      </c>
      <c r="K508" s="15" t="s">
        <v>2192</v>
      </c>
      <c r="L508" s="15" t="s">
        <v>2184</v>
      </c>
      <c r="M508" s="15" t="s">
        <v>1478</v>
      </c>
      <c r="N508" s="15"/>
    </row>
    <row r="509" customFormat="false" ht="39" hidden="false" customHeight="true" outlineLevel="0" collapsed="false">
      <c r="A509" s="15" t="s">
        <v>2801</v>
      </c>
      <c r="B509" s="15" t="s">
        <v>312</v>
      </c>
      <c r="C509" s="15" t="s">
        <v>444</v>
      </c>
      <c r="D509" s="15" t="s">
        <v>2802</v>
      </c>
      <c r="E509" s="15" t="s">
        <v>2117</v>
      </c>
      <c r="F509" s="15" t="s">
        <v>2190</v>
      </c>
      <c r="G509" s="15" t="s">
        <v>120</v>
      </c>
      <c r="H509" s="15" t="s">
        <v>1988</v>
      </c>
      <c r="I509" s="23" t="n">
        <v>999</v>
      </c>
      <c r="J509" s="15" t="s">
        <v>2191</v>
      </c>
      <c r="K509" s="15" t="s">
        <v>2192</v>
      </c>
      <c r="L509" s="15" t="s">
        <v>2184</v>
      </c>
      <c r="M509" s="15" t="s">
        <v>1478</v>
      </c>
      <c r="N509" s="15"/>
    </row>
    <row r="510" customFormat="false" ht="39" hidden="false" customHeight="true" outlineLevel="0" collapsed="false">
      <c r="A510" s="15" t="s">
        <v>2803</v>
      </c>
      <c r="B510" s="15" t="s">
        <v>312</v>
      </c>
      <c r="C510" s="15" t="s">
        <v>444</v>
      </c>
      <c r="D510" s="15" t="s">
        <v>2373</v>
      </c>
      <c r="E510" s="15" t="s">
        <v>2047</v>
      </c>
      <c r="F510" s="15" t="s">
        <v>2190</v>
      </c>
      <c r="G510" s="15" t="s">
        <v>120</v>
      </c>
      <c r="H510" s="15" t="s">
        <v>1988</v>
      </c>
      <c r="I510" s="23" t="n">
        <v>799</v>
      </c>
      <c r="J510" s="15" t="s">
        <v>2191</v>
      </c>
      <c r="K510" s="15" t="s">
        <v>2192</v>
      </c>
      <c r="L510" s="15" t="s">
        <v>2184</v>
      </c>
      <c r="M510" s="15" t="s">
        <v>1478</v>
      </c>
      <c r="N510" s="15"/>
    </row>
    <row r="511" customFormat="false" ht="39" hidden="false" customHeight="true" outlineLevel="0" collapsed="false">
      <c r="A511" s="15" t="s">
        <v>2804</v>
      </c>
      <c r="B511" s="15" t="s">
        <v>312</v>
      </c>
      <c r="C511" s="15" t="s">
        <v>444</v>
      </c>
      <c r="D511" s="15" t="s">
        <v>2375</v>
      </c>
      <c r="E511" s="15" t="s">
        <v>2234</v>
      </c>
      <c r="F511" s="15" t="s">
        <v>2190</v>
      </c>
      <c r="G511" s="15" t="s">
        <v>120</v>
      </c>
      <c r="H511" s="15" t="s">
        <v>1988</v>
      </c>
      <c r="I511" s="23" t="n">
        <v>799</v>
      </c>
      <c r="J511" s="15" t="s">
        <v>2191</v>
      </c>
      <c r="K511" s="15" t="s">
        <v>2192</v>
      </c>
      <c r="L511" s="15" t="s">
        <v>2184</v>
      </c>
      <c r="M511" s="15" t="s">
        <v>1478</v>
      </c>
      <c r="N511" s="15"/>
    </row>
    <row r="512" customFormat="false" ht="39" hidden="false" customHeight="true" outlineLevel="0" collapsed="false">
      <c r="A512" s="15" t="s">
        <v>2805</v>
      </c>
      <c r="B512" s="15" t="s">
        <v>312</v>
      </c>
      <c r="C512" s="15" t="s">
        <v>444</v>
      </c>
      <c r="D512" s="15" t="s">
        <v>2371</v>
      </c>
      <c r="E512" s="15" t="s">
        <v>2032</v>
      </c>
      <c r="F512" s="15" t="s">
        <v>2190</v>
      </c>
      <c r="G512" s="15" t="s">
        <v>120</v>
      </c>
      <c r="H512" s="15" t="s">
        <v>1988</v>
      </c>
      <c r="I512" s="23" t="n">
        <v>799</v>
      </c>
      <c r="J512" s="15" t="s">
        <v>2191</v>
      </c>
      <c r="K512" s="15" t="s">
        <v>2192</v>
      </c>
      <c r="L512" s="15" t="s">
        <v>2184</v>
      </c>
      <c r="M512" s="15" t="s">
        <v>1478</v>
      </c>
      <c r="N512" s="15"/>
    </row>
    <row r="513" customFormat="false" ht="39" hidden="false" customHeight="true" outlineLevel="0" collapsed="false">
      <c r="A513" s="15" t="s">
        <v>2806</v>
      </c>
      <c r="B513" s="15" t="s">
        <v>312</v>
      </c>
      <c r="C513" s="15" t="s">
        <v>444</v>
      </c>
      <c r="D513" s="15" t="s">
        <v>2377</v>
      </c>
      <c r="E513" s="15" t="s">
        <v>2234</v>
      </c>
      <c r="F513" s="15" t="s">
        <v>2190</v>
      </c>
      <c r="G513" s="15" t="s">
        <v>120</v>
      </c>
      <c r="H513" s="15" t="s">
        <v>1988</v>
      </c>
      <c r="I513" s="23" t="n">
        <v>752</v>
      </c>
      <c r="J513" s="15" t="s">
        <v>2191</v>
      </c>
      <c r="K513" s="15" t="s">
        <v>2192</v>
      </c>
      <c r="L513" s="15" t="s">
        <v>2184</v>
      </c>
      <c r="M513" s="15" t="s">
        <v>1478</v>
      </c>
      <c r="N513" s="15"/>
    </row>
    <row r="514" customFormat="false" ht="39" hidden="false" customHeight="true" outlineLevel="0" collapsed="false">
      <c r="A514" s="15" t="s">
        <v>2807</v>
      </c>
      <c r="B514" s="15" t="s">
        <v>312</v>
      </c>
      <c r="C514" s="15" t="s">
        <v>444</v>
      </c>
      <c r="D514" s="15" t="s">
        <v>2379</v>
      </c>
      <c r="E514" s="15" t="s">
        <v>2234</v>
      </c>
      <c r="F514" s="15" t="s">
        <v>2190</v>
      </c>
      <c r="G514" s="15" t="s">
        <v>120</v>
      </c>
      <c r="H514" s="15" t="s">
        <v>1988</v>
      </c>
      <c r="I514" s="23" t="n">
        <v>752</v>
      </c>
      <c r="J514" s="15" t="s">
        <v>2191</v>
      </c>
      <c r="K514" s="15" t="s">
        <v>2192</v>
      </c>
      <c r="L514" s="15" t="s">
        <v>2184</v>
      </c>
      <c r="M514" s="15" t="s">
        <v>1478</v>
      </c>
      <c r="N514" s="15"/>
    </row>
    <row r="515" customFormat="false" ht="39" hidden="false" customHeight="true" outlineLevel="0" collapsed="false">
      <c r="A515" s="15" t="s">
        <v>2808</v>
      </c>
      <c r="B515" s="15" t="s">
        <v>312</v>
      </c>
      <c r="C515" s="15" t="s">
        <v>444</v>
      </c>
      <c r="D515" s="15" t="s">
        <v>2381</v>
      </c>
      <c r="E515" s="15" t="s">
        <v>2234</v>
      </c>
      <c r="F515" s="15" t="s">
        <v>2190</v>
      </c>
      <c r="G515" s="15" t="s">
        <v>120</v>
      </c>
      <c r="H515" s="15" t="s">
        <v>1988</v>
      </c>
      <c r="I515" s="23" t="n">
        <v>739</v>
      </c>
      <c r="J515" s="15" t="s">
        <v>2191</v>
      </c>
      <c r="K515" s="15" t="s">
        <v>2192</v>
      </c>
      <c r="L515" s="15" t="s">
        <v>2184</v>
      </c>
      <c r="M515" s="15" t="s">
        <v>1478</v>
      </c>
      <c r="N515" s="15"/>
    </row>
    <row r="516" customFormat="false" ht="39" hidden="false" customHeight="true" outlineLevel="0" collapsed="false">
      <c r="A516" s="15" t="s">
        <v>2809</v>
      </c>
      <c r="B516" s="15" t="s">
        <v>312</v>
      </c>
      <c r="C516" s="15" t="s">
        <v>444</v>
      </c>
      <c r="D516" s="15" t="s">
        <v>2810</v>
      </c>
      <c r="E516" s="15" t="s">
        <v>2002</v>
      </c>
      <c r="F516" s="15" t="s">
        <v>2190</v>
      </c>
      <c r="G516" s="15" t="s">
        <v>120</v>
      </c>
      <c r="H516" s="15" t="s">
        <v>1988</v>
      </c>
      <c r="I516" s="23" t="n">
        <v>699</v>
      </c>
      <c r="J516" s="15" t="s">
        <v>2191</v>
      </c>
      <c r="K516" s="15" t="s">
        <v>2192</v>
      </c>
      <c r="L516" s="15" t="s">
        <v>2184</v>
      </c>
      <c r="M516" s="15" t="s">
        <v>1478</v>
      </c>
      <c r="N516" s="15"/>
    </row>
    <row r="517" customFormat="false" ht="39" hidden="false" customHeight="true" outlineLevel="0" collapsed="false">
      <c r="A517" s="15" t="s">
        <v>2811</v>
      </c>
      <c r="B517" s="15" t="s">
        <v>312</v>
      </c>
      <c r="C517" s="15" t="s">
        <v>444</v>
      </c>
      <c r="D517" s="15" t="s">
        <v>2302</v>
      </c>
      <c r="E517" s="15" t="s">
        <v>2234</v>
      </c>
      <c r="F517" s="15" t="s">
        <v>2190</v>
      </c>
      <c r="G517" s="15" t="s">
        <v>120</v>
      </c>
      <c r="H517" s="15" t="s">
        <v>1988</v>
      </c>
      <c r="I517" s="23" t="n">
        <v>699</v>
      </c>
      <c r="J517" s="15" t="s">
        <v>2191</v>
      </c>
      <c r="K517" s="15" t="s">
        <v>2192</v>
      </c>
      <c r="L517" s="15" t="s">
        <v>2184</v>
      </c>
      <c r="M517" s="15" t="s">
        <v>1478</v>
      </c>
      <c r="N517" s="15" t="s">
        <v>2719</v>
      </c>
    </row>
    <row r="518" customFormat="false" ht="39" hidden="false" customHeight="true" outlineLevel="0" collapsed="false">
      <c r="A518" s="15" t="s">
        <v>2812</v>
      </c>
      <c r="B518" s="15" t="s">
        <v>312</v>
      </c>
      <c r="C518" s="15" t="s">
        <v>444</v>
      </c>
      <c r="D518" s="15" t="s">
        <v>2306</v>
      </c>
      <c r="E518" s="15" t="s">
        <v>2234</v>
      </c>
      <c r="F518" s="15" t="s">
        <v>2190</v>
      </c>
      <c r="G518" s="15" t="s">
        <v>120</v>
      </c>
      <c r="H518" s="15" t="s">
        <v>1988</v>
      </c>
      <c r="I518" s="23" t="n">
        <v>669</v>
      </c>
      <c r="J518" s="15" t="s">
        <v>2191</v>
      </c>
      <c r="K518" s="15" t="s">
        <v>2192</v>
      </c>
      <c r="L518" s="15" t="s">
        <v>2184</v>
      </c>
      <c r="M518" s="15" t="s">
        <v>1478</v>
      </c>
      <c r="N518" s="15"/>
    </row>
    <row r="519" customFormat="false" ht="39" hidden="false" customHeight="true" outlineLevel="0" collapsed="false">
      <c r="A519" s="15" t="s">
        <v>2813</v>
      </c>
      <c r="B519" s="15" t="s">
        <v>312</v>
      </c>
      <c r="C519" s="15" t="s">
        <v>444</v>
      </c>
      <c r="D519" s="15" t="s">
        <v>2383</v>
      </c>
      <c r="E519" s="15" t="s">
        <v>2234</v>
      </c>
      <c r="F519" s="15" t="s">
        <v>2190</v>
      </c>
      <c r="G519" s="15" t="s">
        <v>120</v>
      </c>
      <c r="H519" s="15" t="s">
        <v>1988</v>
      </c>
      <c r="I519" s="23" t="n">
        <v>659</v>
      </c>
      <c r="J519" s="15" t="s">
        <v>2191</v>
      </c>
      <c r="K519" s="15" t="s">
        <v>2192</v>
      </c>
      <c r="L519" s="15" t="s">
        <v>2184</v>
      </c>
      <c r="M519" s="15" t="s">
        <v>1478</v>
      </c>
      <c r="N519" s="15"/>
    </row>
    <row r="520" customFormat="false" ht="39" hidden="false" customHeight="true" outlineLevel="0" collapsed="false">
      <c r="A520" s="15" t="s">
        <v>2814</v>
      </c>
      <c r="B520" s="15" t="s">
        <v>312</v>
      </c>
      <c r="C520" s="15" t="s">
        <v>444</v>
      </c>
      <c r="D520" s="15" t="s">
        <v>2250</v>
      </c>
      <c r="E520" s="15" t="s">
        <v>2002</v>
      </c>
      <c r="F520" s="15" t="s">
        <v>2190</v>
      </c>
      <c r="G520" s="15" t="s">
        <v>120</v>
      </c>
      <c r="H520" s="15" t="s">
        <v>1988</v>
      </c>
      <c r="I520" s="23" t="n">
        <v>649</v>
      </c>
      <c r="J520" s="15" t="s">
        <v>2191</v>
      </c>
      <c r="K520" s="15" t="s">
        <v>2192</v>
      </c>
      <c r="L520" s="15" t="s">
        <v>2184</v>
      </c>
      <c r="M520" s="15" t="s">
        <v>1478</v>
      </c>
      <c r="N520" s="15"/>
    </row>
    <row r="521" customFormat="false" ht="39" hidden="false" customHeight="true" outlineLevel="0" collapsed="false">
      <c r="A521" s="15" t="s">
        <v>2815</v>
      </c>
      <c r="B521" s="15" t="s">
        <v>312</v>
      </c>
      <c r="C521" s="15" t="s">
        <v>444</v>
      </c>
      <c r="D521" s="15" t="s">
        <v>2252</v>
      </c>
      <c r="E521" s="15" t="s">
        <v>2027</v>
      </c>
      <c r="F521" s="15" t="s">
        <v>2190</v>
      </c>
      <c r="G521" s="15" t="s">
        <v>120</v>
      </c>
      <c r="H521" s="15" t="s">
        <v>1988</v>
      </c>
      <c r="I521" s="23" t="n">
        <v>599</v>
      </c>
      <c r="J521" s="15" t="s">
        <v>2191</v>
      </c>
      <c r="K521" s="15" t="s">
        <v>2192</v>
      </c>
      <c r="L521" s="15" t="s">
        <v>2184</v>
      </c>
      <c r="M521" s="15" t="s">
        <v>1478</v>
      </c>
      <c r="N521" s="15"/>
    </row>
    <row r="522" customFormat="false" ht="39" hidden="false" customHeight="true" outlineLevel="0" collapsed="false">
      <c r="A522" s="15" t="s">
        <v>2816</v>
      </c>
      <c r="B522" s="15" t="s">
        <v>312</v>
      </c>
      <c r="C522" s="15" t="s">
        <v>444</v>
      </c>
      <c r="D522" s="15" t="s">
        <v>2308</v>
      </c>
      <c r="E522" s="15" t="s">
        <v>2002</v>
      </c>
      <c r="F522" s="15" t="s">
        <v>2190</v>
      </c>
      <c r="G522" s="15" t="s">
        <v>120</v>
      </c>
      <c r="H522" s="15" t="s">
        <v>1988</v>
      </c>
      <c r="I522" s="23" t="n">
        <v>599</v>
      </c>
      <c r="J522" s="15" t="s">
        <v>2191</v>
      </c>
      <c r="K522" s="15" t="s">
        <v>2192</v>
      </c>
      <c r="L522" s="15" t="s">
        <v>2184</v>
      </c>
      <c r="M522" s="15" t="s">
        <v>1478</v>
      </c>
      <c r="N522" s="15"/>
    </row>
    <row r="523" customFormat="false" ht="39" hidden="false" customHeight="true" outlineLevel="0" collapsed="false">
      <c r="A523" s="15" t="s">
        <v>2817</v>
      </c>
      <c r="B523" s="15" t="s">
        <v>312</v>
      </c>
      <c r="C523" s="15" t="s">
        <v>444</v>
      </c>
      <c r="D523" s="15" t="s">
        <v>2385</v>
      </c>
      <c r="E523" s="15" t="s">
        <v>2047</v>
      </c>
      <c r="F523" s="15" t="s">
        <v>2190</v>
      </c>
      <c r="G523" s="15" t="s">
        <v>120</v>
      </c>
      <c r="H523" s="15" t="s">
        <v>1988</v>
      </c>
      <c r="I523" s="23" t="n">
        <v>579</v>
      </c>
      <c r="J523" s="15" t="s">
        <v>2191</v>
      </c>
      <c r="K523" s="15" t="s">
        <v>2192</v>
      </c>
      <c r="L523" s="15" t="s">
        <v>2184</v>
      </c>
      <c r="M523" s="15" t="s">
        <v>1478</v>
      </c>
      <c r="N523" s="15"/>
    </row>
    <row r="524" customFormat="false" ht="39" hidden="false" customHeight="true" outlineLevel="0" collapsed="false">
      <c r="A524" s="15" t="s">
        <v>2818</v>
      </c>
      <c r="B524" s="15" t="s">
        <v>312</v>
      </c>
      <c r="C524" s="15" t="s">
        <v>444</v>
      </c>
      <c r="D524" s="15" t="s">
        <v>2387</v>
      </c>
      <c r="E524" s="15" t="s">
        <v>2234</v>
      </c>
      <c r="F524" s="15" t="s">
        <v>2190</v>
      </c>
      <c r="G524" s="15" t="s">
        <v>120</v>
      </c>
      <c r="H524" s="15" t="s">
        <v>1988</v>
      </c>
      <c r="I524" s="23" t="n">
        <v>549</v>
      </c>
      <c r="J524" s="15" t="s">
        <v>2191</v>
      </c>
      <c r="K524" s="15" t="s">
        <v>2192</v>
      </c>
      <c r="L524" s="15" t="s">
        <v>2184</v>
      </c>
      <c r="M524" s="15" t="s">
        <v>1478</v>
      </c>
      <c r="N524" s="15"/>
    </row>
    <row r="525" customFormat="false" ht="39" hidden="false" customHeight="true" outlineLevel="0" collapsed="false">
      <c r="A525" s="15" t="s">
        <v>2819</v>
      </c>
      <c r="B525" s="15" t="s">
        <v>312</v>
      </c>
      <c r="C525" s="15" t="s">
        <v>444</v>
      </c>
      <c r="D525" s="15" t="s">
        <v>2310</v>
      </c>
      <c r="E525" s="15" t="s">
        <v>2002</v>
      </c>
      <c r="F525" s="15" t="s">
        <v>2190</v>
      </c>
      <c r="G525" s="15" t="s">
        <v>120</v>
      </c>
      <c r="H525" s="15" t="s">
        <v>1988</v>
      </c>
      <c r="I525" s="23" t="n">
        <v>549</v>
      </c>
      <c r="J525" s="15" t="s">
        <v>2191</v>
      </c>
      <c r="K525" s="15" t="s">
        <v>2192</v>
      </c>
      <c r="L525" s="15" t="s">
        <v>2184</v>
      </c>
      <c r="M525" s="15" t="s">
        <v>1478</v>
      </c>
      <c r="N525" s="15"/>
    </row>
    <row r="526" customFormat="false" ht="39" hidden="false" customHeight="true" outlineLevel="0" collapsed="false">
      <c r="A526" s="15" t="s">
        <v>2820</v>
      </c>
      <c r="B526" s="15" t="s">
        <v>312</v>
      </c>
      <c r="C526" s="15" t="s">
        <v>444</v>
      </c>
      <c r="D526" s="15" t="s">
        <v>2312</v>
      </c>
      <c r="E526" s="15" t="s">
        <v>2002</v>
      </c>
      <c r="F526" s="15" t="s">
        <v>2190</v>
      </c>
      <c r="G526" s="15" t="s">
        <v>120</v>
      </c>
      <c r="H526" s="15" t="s">
        <v>1988</v>
      </c>
      <c r="I526" s="23" t="n">
        <v>549</v>
      </c>
      <c r="J526" s="15" t="s">
        <v>2191</v>
      </c>
      <c r="K526" s="15" t="s">
        <v>2192</v>
      </c>
      <c r="L526" s="15" t="s">
        <v>2184</v>
      </c>
      <c r="M526" s="15" t="s">
        <v>1478</v>
      </c>
      <c r="N526" s="15"/>
    </row>
    <row r="527" customFormat="false" ht="39" hidden="false" customHeight="true" outlineLevel="0" collapsed="false">
      <c r="A527" s="15" t="s">
        <v>2821</v>
      </c>
      <c r="B527" s="15" t="s">
        <v>312</v>
      </c>
      <c r="C527" s="15" t="s">
        <v>444</v>
      </c>
      <c r="D527" s="15" t="s">
        <v>2389</v>
      </c>
      <c r="E527" s="15" t="s">
        <v>2234</v>
      </c>
      <c r="F527" s="15" t="s">
        <v>2190</v>
      </c>
      <c r="G527" s="15" t="s">
        <v>120</v>
      </c>
      <c r="H527" s="15" t="s">
        <v>1988</v>
      </c>
      <c r="I527" s="23" t="n">
        <v>499</v>
      </c>
      <c r="J527" s="15" t="s">
        <v>2191</v>
      </c>
      <c r="K527" s="15" t="s">
        <v>2192</v>
      </c>
      <c r="L527" s="15" t="s">
        <v>2184</v>
      </c>
      <c r="M527" s="15" t="s">
        <v>1478</v>
      </c>
      <c r="N527" s="15"/>
    </row>
    <row r="528" customFormat="false" ht="39" hidden="false" customHeight="true" outlineLevel="0" collapsed="false">
      <c r="A528" s="15" t="s">
        <v>2822</v>
      </c>
      <c r="B528" s="15" t="s">
        <v>312</v>
      </c>
      <c r="C528" s="15" t="s">
        <v>444</v>
      </c>
      <c r="D528" s="15" t="s">
        <v>2272</v>
      </c>
      <c r="E528" s="15" t="s">
        <v>2002</v>
      </c>
      <c r="F528" s="15" t="s">
        <v>2190</v>
      </c>
      <c r="G528" s="15" t="s">
        <v>120</v>
      </c>
      <c r="H528" s="15" t="s">
        <v>1988</v>
      </c>
      <c r="I528" s="23" t="n">
        <v>499</v>
      </c>
      <c r="J528" s="15" t="s">
        <v>2191</v>
      </c>
      <c r="K528" s="15" t="s">
        <v>2192</v>
      </c>
      <c r="L528" s="15" t="s">
        <v>2184</v>
      </c>
      <c r="M528" s="15" t="s">
        <v>1478</v>
      </c>
      <c r="N528" s="15"/>
    </row>
    <row r="529" customFormat="false" ht="39" hidden="false" customHeight="true" outlineLevel="0" collapsed="false">
      <c r="A529" s="15" t="s">
        <v>2823</v>
      </c>
      <c r="B529" s="15" t="s">
        <v>312</v>
      </c>
      <c r="C529" s="15" t="s">
        <v>444</v>
      </c>
      <c r="D529" s="15" t="s">
        <v>2274</v>
      </c>
      <c r="E529" s="15" t="s">
        <v>2002</v>
      </c>
      <c r="F529" s="15" t="s">
        <v>2190</v>
      </c>
      <c r="G529" s="15" t="s">
        <v>120</v>
      </c>
      <c r="H529" s="15" t="s">
        <v>1988</v>
      </c>
      <c r="I529" s="23" t="n">
        <v>449</v>
      </c>
      <c r="J529" s="15" t="s">
        <v>2191</v>
      </c>
      <c r="K529" s="15" t="s">
        <v>2192</v>
      </c>
      <c r="L529" s="15" t="s">
        <v>2184</v>
      </c>
      <c r="M529" s="15" t="s">
        <v>1478</v>
      </c>
      <c r="N529" s="15"/>
    </row>
    <row r="530" customFormat="false" ht="39" hidden="false" customHeight="true" outlineLevel="0" collapsed="false">
      <c r="A530" s="15" t="s">
        <v>2824</v>
      </c>
      <c r="B530" s="15" t="s">
        <v>312</v>
      </c>
      <c r="C530" s="15" t="s">
        <v>444</v>
      </c>
      <c r="D530" s="15" t="s">
        <v>2391</v>
      </c>
      <c r="E530" s="15" t="s">
        <v>2234</v>
      </c>
      <c r="F530" s="15" t="s">
        <v>2190</v>
      </c>
      <c r="G530" s="15" t="s">
        <v>120</v>
      </c>
      <c r="H530" s="15" t="s">
        <v>1988</v>
      </c>
      <c r="I530" s="23" t="n">
        <v>444</v>
      </c>
      <c r="J530" s="15" t="s">
        <v>2191</v>
      </c>
      <c r="K530" s="15" t="s">
        <v>2192</v>
      </c>
      <c r="L530" s="15" t="s">
        <v>2184</v>
      </c>
      <c r="M530" s="15" t="s">
        <v>1478</v>
      </c>
      <c r="N530" s="15"/>
    </row>
    <row r="531" customFormat="false" ht="39" hidden="false" customHeight="true" outlineLevel="0" collapsed="false">
      <c r="A531" s="15" t="s">
        <v>2825</v>
      </c>
      <c r="B531" s="15" t="s">
        <v>312</v>
      </c>
      <c r="C531" s="15" t="s">
        <v>444</v>
      </c>
      <c r="D531" s="15" t="s">
        <v>2314</v>
      </c>
      <c r="E531" s="15" t="s">
        <v>2234</v>
      </c>
      <c r="F531" s="15" t="s">
        <v>2190</v>
      </c>
      <c r="G531" s="15" t="s">
        <v>120</v>
      </c>
      <c r="H531" s="15" t="s">
        <v>1988</v>
      </c>
      <c r="I531" s="23" t="n">
        <v>439</v>
      </c>
      <c r="J531" s="15" t="s">
        <v>2191</v>
      </c>
      <c r="K531" s="15" t="s">
        <v>2192</v>
      </c>
      <c r="L531" s="15" t="s">
        <v>2184</v>
      </c>
      <c r="M531" s="15" t="s">
        <v>1478</v>
      </c>
      <c r="N531" s="15"/>
    </row>
    <row r="532" customFormat="false" ht="39" hidden="false" customHeight="true" outlineLevel="0" collapsed="false">
      <c r="A532" s="15" t="s">
        <v>2826</v>
      </c>
      <c r="B532" s="15" t="s">
        <v>312</v>
      </c>
      <c r="C532" s="15" t="s">
        <v>444</v>
      </c>
      <c r="D532" s="15" t="s">
        <v>2393</v>
      </c>
      <c r="E532" s="15" t="s">
        <v>2234</v>
      </c>
      <c r="F532" s="15" t="s">
        <v>2190</v>
      </c>
      <c r="G532" s="15" t="s">
        <v>120</v>
      </c>
      <c r="H532" s="15" t="s">
        <v>1988</v>
      </c>
      <c r="I532" s="23" t="n">
        <v>431</v>
      </c>
      <c r="J532" s="15" t="s">
        <v>2191</v>
      </c>
      <c r="K532" s="15" t="s">
        <v>2192</v>
      </c>
      <c r="L532" s="15" t="s">
        <v>2184</v>
      </c>
      <c r="M532" s="15" t="s">
        <v>1478</v>
      </c>
      <c r="N532" s="15"/>
    </row>
    <row r="533" customFormat="false" ht="39" hidden="false" customHeight="true" outlineLevel="0" collapsed="false">
      <c r="A533" s="15" t="s">
        <v>2827</v>
      </c>
      <c r="B533" s="15" t="s">
        <v>312</v>
      </c>
      <c r="C533" s="15" t="s">
        <v>444</v>
      </c>
      <c r="D533" s="15" t="s">
        <v>2395</v>
      </c>
      <c r="E533" s="15" t="s">
        <v>2234</v>
      </c>
      <c r="F533" s="15" t="s">
        <v>2190</v>
      </c>
      <c r="G533" s="15" t="s">
        <v>120</v>
      </c>
      <c r="H533" s="15" t="s">
        <v>1988</v>
      </c>
      <c r="I533" s="23" t="n">
        <v>419</v>
      </c>
      <c r="J533" s="15" t="s">
        <v>2191</v>
      </c>
      <c r="K533" s="15" t="s">
        <v>2192</v>
      </c>
      <c r="L533" s="15" t="s">
        <v>2184</v>
      </c>
      <c r="M533" s="15" t="s">
        <v>1478</v>
      </c>
      <c r="N533" s="15"/>
    </row>
    <row r="534" customFormat="false" ht="39" hidden="false" customHeight="true" outlineLevel="0" collapsed="false">
      <c r="A534" s="15" t="s">
        <v>2828</v>
      </c>
      <c r="B534" s="15" t="s">
        <v>312</v>
      </c>
      <c r="C534" s="15" t="s">
        <v>444</v>
      </c>
      <c r="D534" s="15" t="s">
        <v>2397</v>
      </c>
      <c r="E534" s="15" t="s">
        <v>2234</v>
      </c>
      <c r="F534" s="15" t="s">
        <v>2190</v>
      </c>
      <c r="G534" s="15" t="s">
        <v>120</v>
      </c>
      <c r="H534" s="15" t="s">
        <v>1988</v>
      </c>
      <c r="I534" s="23" t="n">
        <v>419</v>
      </c>
      <c r="J534" s="15" t="s">
        <v>2191</v>
      </c>
      <c r="K534" s="15" t="s">
        <v>2192</v>
      </c>
      <c r="L534" s="15" t="s">
        <v>2184</v>
      </c>
      <c r="M534" s="15" t="s">
        <v>1478</v>
      </c>
      <c r="N534" s="15"/>
    </row>
    <row r="535" customFormat="false" ht="39" hidden="false" customHeight="true" outlineLevel="0" collapsed="false">
      <c r="A535" s="15" t="s">
        <v>2829</v>
      </c>
      <c r="B535" s="15" t="s">
        <v>312</v>
      </c>
      <c r="C535" s="15" t="s">
        <v>444</v>
      </c>
      <c r="D535" s="15" t="s">
        <v>2399</v>
      </c>
      <c r="E535" s="15" t="s">
        <v>2234</v>
      </c>
      <c r="F535" s="15" t="s">
        <v>2190</v>
      </c>
      <c r="G535" s="15" t="s">
        <v>120</v>
      </c>
      <c r="H535" s="15" t="s">
        <v>1988</v>
      </c>
      <c r="I535" s="23" t="n">
        <v>399</v>
      </c>
      <c r="J535" s="15" t="s">
        <v>2191</v>
      </c>
      <c r="K535" s="15" t="s">
        <v>2192</v>
      </c>
      <c r="L535" s="15" t="s">
        <v>2184</v>
      </c>
      <c r="M535" s="15" t="s">
        <v>1478</v>
      </c>
      <c r="N535" s="15"/>
    </row>
    <row r="536" customFormat="false" ht="39" hidden="false" customHeight="true" outlineLevel="0" collapsed="false">
      <c r="A536" s="15" t="s">
        <v>2830</v>
      </c>
      <c r="B536" s="15" t="s">
        <v>312</v>
      </c>
      <c r="C536" s="15" t="s">
        <v>444</v>
      </c>
      <c r="D536" s="15" t="s">
        <v>2401</v>
      </c>
      <c r="E536" s="15" t="s">
        <v>2331</v>
      </c>
      <c r="F536" s="15" t="s">
        <v>2190</v>
      </c>
      <c r="G536" s="15" t="s">
        <v>120</v>
      </c>
      <c r="H536" s="15" t="s">
        <v>1988</v>
      </c>
      <c r="I536" s="23" t="n">
        <v>399</v>
      </c>
      <c r="J536" s="15" t="s">
        <v>2191</v>
      </c>
      <c r="K536" s="15" t="s">
        <v>2192</v>
      </c>
      <c r="L536" s="15" t="s">
        <v>2184</v>
      </c>
      <c r="M536" s="15" t="s">
        <v>1478</v>
      </c>
      <c r="N536" s="15"/>
    </row>
    <row r="537" customFormat="false" ht="39" hidden="false" customHeight="true" outlineLevel="0" collapsed="false">
      <c r="A537" s="15" t="s">
        <v>2831</v>
      </c>
      <c r="B537" s="15" t="s">
        <v>312</v>
      </c>
      <c r="C537" s="15" t="s">
        <v>444</v>
      </c>
      <c r="D537" s="15" t="s">
        <v>2278</v>
      </c>
      <c r="E537" s="15" t="s">
        <v>2002</v>
      </c>
      <c r="F537" s="15" t="s">
        <v>2190</v>
      </c>
      <c r="G537" s="15" t="s">
        <v>120</v>
      </c>
      <c r="H537" s="15" t="s">
        <v>1988</v>
      </c>
      <c r="I537" s="23" t="n">
        <v>349</v>
      </c>
      <c r="J537" s="15" t="s">
        <v>2191</v>
      </c>
      <c r="K537" s="15" t="s">
        <v>2192</v>
      </c>
      <c r="L537" s="15" t="s">
        <v>2184</v>
      </c>
      <c r="M537" s="15" t="s">
        <v>1478</v>
      </c>
      <c r="N537" s="15"/>
    </row>
    <row r="538" customFormat="false" ht="39" hidden="false" customHeight="true" outlineLevel="0" collapsed="false">
      <c r="A538" s="15" t="s">
        <v>2832</v>
      </c>
      <c r="B538" s="15" t="s">
        <v>312</v>
      </c>
      <c r="C538" s="15" t="s">
        <v>444</v>
      </c>
      <c r="D538" s="15" t="s">
        <v>2284</v>
      </c>
      <c r="E538" s="15" t="s">
        <v>2002</v>
      </c>
      <c r="F538" s="15" t="s">
        <v>2190</v>
      </c>
      <c r="G538" s="15" t="s">
        <v>120</v>
      </c>
      <c r="H538" s="15" t="s">
        <v>1988</v>
      </c>
      <c r="I538" s="23" t="n">
        <v>339</v>
      </c>
      <c r="J538" s="15" t="s">
        <v>2191</v>
      </c>
      <c r="K538" s="15" t="s">
        <v>2192</v>
      </c>
      <c r="L538" s="15" t="s">
        <v>2184</v>
      </c>
      <c r="M538" s="15" t="s">
        <v>1478</v>
      </c>
      <c r="N538" s="15"/>
    </row>
    <row r="539" customFormat="false" ht="39" hidden="false" customHeight="true" outlineLevel="0" collapsed="false">
      <c r="A539" s="15" t="s">
        <v>2833</v>
      </c>
      <c r="B539" s="15" t="s">
        <v>312</v>
      </c>
      <c r="C539" s="15" t="s">
        <v>444</v>
      </c>
      <c r="D539" s="15" t="s">
        <v>2280</v>
      </c>
      <c r="E539" s="15" t="s">
        <v>2002</v>
      </c>
      <c r="F539" s="15" t="s">
        <v>2190</v>
      </c>
      <c r="G539" s="15" t="s">
        <v>120</v>
      </c>
      <c r="H539" s="15" t="s">
        <v>1988</v>
      </c>
      <c r="I539" s="23" t="n">
        <v>339</v>
      </c>
      <c r="J539" s="15" t="s">
        <v>2191</v>
      </c>
      <c r="K539" s="15" t="s">
        <v>2192</v>
      </c>
      <c r="L539" s="15" t="s">
        <v>2184</v>
      </c>
      <c r="M539" s="15" t="s">
        <v>1478</v>
      </c>
      <c r="N539" s="15"/>
    </row>
    <row r="540" customFormat="false" ht="39" hidden="false" customHeight="true" outlineLevel="0" collapsed="false">
      <c r="A540" s="15" t="s">
        <v>2834</v>
      </c>
      <c r="B540" s="15" t="s">
        <v>312</v>
      </c>
      <c r="C540" s="15" t="s">
        <v>444</v>
      </c>
      <c r="D540" s="15" t="s">
        <v>2282</v>
      </c>
      <c r="E540" s="15" t="s">
        <v>2002</v>
      </c>
      <c r="F540" s="15" t="s">
        <v>2190</v>
      </c>
      <c r="G540" s="15" t="s">
        <v>120</v>
      </c>
      <c r="H540" s="15" t="s">
        <v>1988</v>
      </c>
      <c r="I540" s="23" t="n">
        <v>339</v>
      </c>
      <c r="J540" s="15" t="s">
        <v>2191</v>
      </c>
      <c r="K540" s="15" t="s">
        <v>2192</v>
      </c>
      <c r="L540" s="15" t="s">
        <v>2184</v>
      </c>
      <c r="M540" s="15" t="s">
        <v>1478</v>
      </c>
      <c r="N540" s="15"/>
    </row>
    <row r="541" customFormat="false" ht="39" hidden="false" customHeight="true" outlineLevel="0" collapsed="false">
      <c r="A541" s="15" t="s">
        <v>2835</v>
      </c>
      <c r="B541" s="15" t="s">
        <v>312</v>
      </c>
      <c r="C541" s="15" t="s">
        <v>444</v>
      </c>
      <c r="D541" s="15" t="s">
        <v>2286</v>
      </c>
      <c r="E541" s="15" t="s">
        <v>2002</v>
      </c>
      <c r="F541" s="15" t="s">
        <v>2190</v>
      </c>
      <c r="G541" s="15" t="s">
        <v>120</v>
      </c>
      <c r="H541" s="15" t="s">
        <v>1988</v>
      </c>
      <c r="I541" s="23" t="n">
        <v>333</v>
      </c>
      <c r="J541" s="15" t="s">
        <v>2191</v>
      </c>
      <c r="K541" s="15" t="s">
        <v>2192</v>
      </c>
      <c r="L541" s="15" t="s">
        <v>2184</v>
      </c>
      <c r="M541" s="15" t="s">
        <v>1478</v>
      </c>
      <c r="N541" s="15"/>
    </row>
    <row r="542" customFormat="false" ht="39" hidden="false" customHeight="true" outlineLevel="0" collapsed="false">
      <c r="A542" s="15" t="s">
        <v>2836</v>
      </c>
      <c r="B542" s="15" t="s">
        <v>312</v>
      </c>
      <c r="C542" s="15" t="s">
        <v>444</v>
      </c>
      <c r="D542" s="15" t="s">
        <v>2403</v>
      </c>
      <c r="E542" s="15" t="s">
        <v>2234</v>
      </c>
      <c r="F542" s="15" t="s">
        <v>2190</v>
      </c>
      <c r="G542" s="15" t="s">
        <v>120</v>
      </c>
      <c r="H542" s="15" t="s">
        <v>1988</v>
      </c>
      <c r="I542" s="23" t="n">
        <v>330</v>
      </c>
      <c r="J542" s="15" t="s">
        <v>2191</v>
      </c>
      <c r="K542" s="15" t="s">
        <v>2192</v>
      </c>
      <c r="L542" s="15" t="s">
        <v>2184</v>
      </c>
      <c r="M542" s="15" t="s">
        <v>1478</v>
      </c>
      <c r="N542" s="15"/>
    </row>
    <row r="543" customFormat="false" ht="39" hidden="false" customHeight="true" outlineLevel="0" collapsed="false">
      <c r="A543" s="15" t="s">
        <v>2837</v>
      </c>
      <c r="B543" s="15" t="s">
        <v>312</v>
      </c>
      <c r="C543" s="15" t="s">
        <v>444</v>
      </c>
      <c r="D543" s="15" t="s">
        <v>2405</v>
      </c>
      <c r="E543" s="15" t="s">
        <v>2002</v>
      </c>
      <c r="F543" s="15" t="s">
        <v>2190</v>
      </c>
      <c r="G543" s="15" t="s">
        <v>120</v>
      </c>
      <c r="H543" s="15" t="s">
        <v>1988</v>
      </c>
      <c r="I543" s="23" t="n">
        <v>329</v>
      </c>
      <c r="J543" s="15" t="s">
        <v>2191</v>
      </c>
      <c r="K543" s="15" t="s">
        <v>2192</v>
      </c>
      <c r="L543" s="15" t="s">
        <v>2184</v>
      </c>
      <c r="M543" s="15" t="s">
        <v>1478</v>
      </c>
      <c r="N543" s="15"/>
    </row>
    <row r="544" customFormat="false" ht="39" hidden="false" customHeight="true" outlineLevel="0" collapsed="false">
      <c r="A544" s="15" t="s">
        <v>2838</v>
      </c>
      <c r="B544" s="15" t="s">
        <v>312</v>
      </c>
      <c r="C544" s="15" t="s">
        <v>444</v>
      </c>
      <c r="D544" s="15" t="s">
        <v>2407</v>
      </c>
      <c r="E544" s="15" t="s">
        <v>2234</v>
      </c>
      <c r="F544" s="15" t="s">
        <v>2190</v>
      </c>
      <c r="G544" s="15" t="s">
        <v>120</v>
      </c>
      <c r="H544" s="15" t="s">
        <v>1988</v>
      </c>
      <c r="I544" s="23" t="n">
        <v>319</v>
      </c>
      <c r="J544" s="15" t="s">
        <v>2191</v>
      </c>
      <c r="K544" s="15" t="s">
        <v>2192</v>
      </c>
      <c r="L544" s="15" t="s">
        <v>2184</v>
      </c>
      <c r="M544" s="15" t="s">
        <v>1478</v>
      </c>
      <c r="N544" s="15"/>
    </row>
    <row r="545" customFormat="false" ht="39" hidden="false" customHeight="true" outlineLevel="0" collapsed="false">
      <c r="A545" s="15" t="s">
        <v>2839</v>
      </c>
      <c r="B545" s="15" t="s">
        <v>312</v>
      </c>
      <c r="C545" s="15" t="s">
        <v>444</v>
      </c>
      <c r="D545" s="15" t="s">
        <v>2409</v>
      </c>
      <c r="E545" s="15" t="s">
        <v>2234</v>
      </c>
      <c r="F545" s="15" t="s">
        <v>2190</v>
      </c>
      <c r="G545" s="15" t="s">
        <v>120</v>
      </c>
      <c r="H545" s="15" t="s">
        <v>1988</v>
      </c>
      <c r="I545" s="23" t="n">
        <v>319</v>
      </c>
      <c r="J545" s="15" t="s">
        <v>2191</v>
      </c>
      <c r="K545" s="15" t="s">
        <v>2192</v>
      </c>
      <c r="L545" s="15" t="s">
        <v>2184</v>
      </c>
      <c r="M545" s="15" t="s">
        <v>1478</v>
      </c>
      <c r="N545" s="15"/>
    </row>
    <row r="546" customFormat="false" ht="39" hidden="false" customHeight="true" outlineLevel="0" collapsed="false">
      <c r="A546" s="15" t="s">
        <v>2840</v>
      </c>
      <c r="B546" s="15" t="s">
        <v>312</v>
      </c>
      <c r="C546" s="15" t="s">
        <v>444</v>
      </c>
      <c r="D546" s="15" t="s">
        <v>2411</v>
      </c>
      <c r="E546" s="15" t="s">
        <v>2234</v>
      </c>
      <c r="F546" s="15" t="s">
        <v>2190</v>
      </c>
      <c r="G546" s="15" t="s">
        <v>120</v>
      </c>
      <c r="H546" s="15" t="s">
        <v>1988</v>
      </c>
      <c r="I546" s="23" t="n">
        <v>319</v>
      </c>
      <c r="J546" s="15" t="s">
        <v>2191</v>
      </c>
      <c r="K546" s="15" t="s">
        <v>2192</v>
      </c>
      <c r="L546" s="15" t="s">
        <v>2184</v>
      </c>
      <c r="M546" s="15" t="s">
        <v>1478</v>
      </c>
      <c r="N546" s="15"/>
    </row>
    <row r="547" customFormat="false" ht="39" hidden="false" customHeight="true" outlineLevel="0" collapsed="false">
      <c r="A547" s="15" t="s">
        <v>2841</v>
      </c>
      <c r="B547" s="15" t="s">
        <v>312</v>
      </c>
      <c r="C547" s="15" t="s">
        <v>444</v>
      </c>
      <c r="D547" s="15" t="s">
        <v>2223</v>
      </c>
      <c r="E547" s="15" t="s">
        <v>2002</v>
      </c>
      <c r="F547" s="15" t="s">
        <v>2190</v>
      </c>
      <c r="G547" s="15" t="s">
        <v>120</v>
      </c>
      <c r="H547" s="15" t="s">
        <v>1988</v>
      </c>
      <c r="I547" s="23" t="n">
        <v>299</v>
      </c>
      <c r="J547" s="15" t="s">
        <v>2191</v>
      </c>
      <c r="K547" s="15" t="s">
        <v>2192</v>
      </c>
      <c r="L547" s="15" t="s">
        <v>2184</v>
      </c>
      <c r="M547" s="15" t="s">
        <v>1478</v>
      </c>
      <c r="N547" s="15"/>
    </row>
    <row r="548" customFormat="false" ht="39" hidden="false" customHeight="true" outlineLevel="0" collapsed="false">
      <c r="A548" s="15" t="s">
        <v>2842</v>
      </c>
      <c r="B548" s="15" t="s">
        <v>312</v>
      </c>
      <c r="C548" s="15" t="s">
        <v>444</v>
      </c>
      <c r="D548" s="15" t="s">
        <v>2288</v>
      </c>
      <c r="E548" s="15" t="s">
        <v>2002</v>
      </c>
      <c r="F548" s="15" t="s">
        <v>2190</v>
      </c>
      <c r="G548" s="15" t="s">
        <v>120</v>
      </c>
      <c r="H548" s="15" t="s">
        <v>1988</v>
      </c>
      <c r="I548" s="23" t="n">
        <v>299</v>
      </c>
      <c r="J548" s="15" t="s">
        <v>2191</v>
      </c>
      <c r="K548" s="15" t="s">
        <v>2192</v>
      </c>
      <c r="L548" s="15" t="s">
        <v>2184</v>
      </c>
      <c r="M548" s="15" t="s">
        <v>1478</v>
      </c>
      <c r="N548" s="15"/>
    </row>
    <row r="549" customFormat="false" ht="39" hidden="false" customHeight="true" outlineLevel="0" collapsed="false">
      <c r="A549" s="15" t="s">
        <v>2843</v>
      </c>
      <c r="B549" s="15" t="s">
        <v>312</v>
      </c>
      <c r="C549" s="15" t="s">
        <v>444</v>
      </c>
      <c r="D549" s="15" t="s">
        <v>2413</v>
      </c>
      <c r="E549" s="15" t="s">
        <v>2234</v>
      </c>
      <c r="F549" s="15" t="s">
        <v>2190</v>
      </c>
      <c r="G549" s="15" t="s">
        <v>120</v>
      </c>
      <c r="H549" s="15" t="s">
        <v>1988</v>
      </c>
      <c r="I549" s="23" t="n">
        <v>289</v>
      </c>
      <c r="J549" s="15" t="s">
        <v>2191</v>
      </c>
      <c r="K549" s="15" t="s">
        <v>2192</v>
      </c>
      <c r="L549" s="15" t="s">
        <v>2184</v>
      </c>
      <c r="M549" s="15" t="s">
        <v>1478</v>
      </c>
      <c r="N549" s="15"/>
    </row>
    <row r="550" customFormat="false" ht="39" hidden="false" customHeight="true" outlineLevel="0" collapsed="false">
      <c r="A550" s="15" t="s">
        <v>2844</v>
      </c>
      <c r="B550" s="15" t="s">
        <v>312</v>
      </c>
      <c r="C550" s="15" t="s">
        <v>444</v>
      </c>
      <c r="D550" s="15" t="s">
        <v>2415</v>
      </c>
      <c r="E550" s="15" t="s">
        <v>2234</v>
      </c>
      <c r="F550" s="15" t="s">
        <v>2190</v>
      </c>
      <c r="G550" s="15" t="s">
        <v>120</v>
      </c>
      <c r="H550" s="15" t="s">
        <v>1988</v>
      </c>
      <c r="I550" s="23" t="n">
        <v>269</v>
      </c>
      <c r="J550" s="15" t="s">
        <v>2191</v>
      </c>
      <c r="K550" s="15" t="s">
        <v>2192</v>
      </c>
      <c r="L550" s="15" t="s">
        <v>2184</v>
      </c>
      <c r="M550" s="15" t="s">
        <v>1478</v>
      </c>
      <c r="N550" s="15"/>
    </row>
    <row r="551" customFormat="false" ht="39" hidden="false" customHeight="true" outlineLevel="0" collapsed="false">
      <c r="A551" s="15" t="s">
        <v>2845</v>
      </c>
      <c r="B551" s="15" t="s">
        <v>312</v>
      </c>
      <c r="C551" s="15" t="s">
        <v>444</v>
      </c>
      <c r="D551" s="15" t="s">
        <v>2254</v>
      </c>
      <c r="E551" s="15" t="s">
        <v>2234</v>
      </c>
      <c r="F551" s="15" t="s">
        <v>2190</v>
      </c>
      <c r="G551" s="15" t="s">
        <v>120</v>
      </c>
      <c r="H551" s="15" t="s">
        <v>1988</v>
      </c>
      <c r="I551" s="23" t="n">
        <v>262</v>
      </c>
      <c r="J551" s="15" t="s">
        <v>2191</v>
      </c>
      <c r="K551" s="15" t="s">
        <v>2192</v>
      </c>
      <c r="L551" s="15" t="s">
        <v>2184</v>
      </c>
      <c r="M551" s="15" t="s">
        <v>1478</v>
      </c>
      <c r="N551" s="15" t="s">
        <v>2846</v>
      </c>
    </row>
    <row r="552" customFormat="false" ht="39" hidden="false" customHeight="true" outlineLevel="0" collapsed="false">
      <c r="A552" s="15" t="s">
        <v>2847</v>
      </c>
      <c r="B552" s="15" t="s">
        <v>312</v>
      </c>
      <c r="C552" s="15" t="s">
        <v>444</v>
      </c>
      <c r="D552" s="15" t="s">
        <v>2417</v>
      </c>
      <c r="E552" s="15" t="s">
        <v>2234</v>
      </c>
      <c r="F552" s="15" t="s">
        <v>2190</v>
      </c>
      <c r="G552" s="15" t="s">
        <v>120</v>
      </c>
      <c r="H552" s="15" t="s">
        <v>1988</v>
      </c>
      <c r="I552" s="23" t="n">
        <v>249</v>
      </c>
      <c r="J552" s="15" t="s">
        <v>2191</v>
      </c>
      <c r="K552" s="15" t="s">
        <v>2192</v>
      </c>
      <c r="L552" s="15" t="s">
        <v>2184</v>
      </c>
      <c r="M552" s="15" t="s">
        <v>1478</v>
      </c>
      <c r="N552" s="15"/>
    </row>
    <row r="553" customFormat="false" ht="39" hidden="false" customHeight="true" outlineLevel="0" collapsed="false">
      <c r="A553" s="15" t="s">
        <v>2848</v>
      </c>
      <c r="B553" s="15" t="s">
        <v>312</v>
      </c>
      <c r="C553" s="15" t="s">
        <v>444</v>
      </c>
      <c r="D553" s="15" t="s">
        <v>2419</v>
      </c>
      <c r="E553" s="15" t="s">
        <v>2234</v>
      </c>
      <c r="F553" s="15" t="s">
        <v>2190</v>
      </c>
      <c r="G553" s="15" t="s">
        <v>120</v>
      </c>
      <c r="H553" s="15" t="s">
        <v>1988</v>
      </c>
      <c r="I553" s="23" t="n">
        <v>243</v>
      </c>
      <c r="J553" s="15" t="s">
        <v>2191</v>
      </c>
      <c r="K553" s="15" t="s">
        <v>2192</v>
      </c>
      <c r="L553" s="15" t="s">
        <v>2184</v>
      </c>
      <c r="M553" s="15" t="s">
        <v>1478</v>
      </c>
      <c r="N553" s="15"/>
    </row>
    <row r="554" customFormat="false" ht="39" hidden="false" customHeight="true" outlineLevel="0" collapsed="false">
      <c r="A554" s="15" t="s">
        <v>2849</v>
      </c>
      <c r="B554" s="15" t="s">
        <v>312</v>
      </c>
      <c r="C554" s="15" t="s">
        <v>444</v>
      </c>
      <c r="D554" s="15" t="s">
        <v>2316</v>
      </c>
      <c r="E554" s="15" t="s">
        <v>2002</v>
      </c>
      <c r="F554" s="15" t="s">
        <v>2190</v>
      </c>
      <c r="G554" s="15" t="s">
        <v>120</v>
      </c>
      <c r="H554" s="15" t="s">
        <v>1988</v>
      </c>
      <c r="I554" s="23" t="n">
        <v>239</v>
      </c>
      <c r="J554" s="15" t="s">
        <v>2191</v>
      </c>
      <c r="K554" s="15" t="s">
        <v>2192</v>
      </c>
      <c r="L554" s="15" t="s">
        <v>2184</v>
      </c>
      <c r="M554" s="15" t="s">
        <v>1478</v>
      </c>
      <c r="N554" s="15"/>
    </row>
    <row r="555" customFormat="false" ht="39" hidden="false" customHeight="true" outlineLevel="0" collapsed="false">
      <c r="A555" s="15" t="s">
        <v>2850</v>
      </c>
      <c r="B555" s="15" t="s">
        <v>312</v>
      </c>
      <c r="C555" s="15" t="s">
        <v>444</v>
      </c>
      <c r="D555" s="15" t="s">
        <v>2421</v>
      </c>
      <c r="E555" s="15" t="s">
        <v>2234</v>
      </c>
      <c r="F555" s="15" t="s">
        <v>2190</v>
      </c>
      <c r="G555" s="15" t="s">
        <v>120</v>
      </c>
      <c r="H555" s="15" t="s">
        <v>1988</v>
      </c>
      <c r="I555" s="23" t="n">
        <v>222</v>
      </c>
      <c r="J555" s="15" t="s">
        <v>2191</v>
      </c>
      <c r="K555" s="15" t="s">
        <v>2192</v>
      </c>
      <c r="L555" s="15" t="s">
        <v>2184</v>
      </c>
      <c r="M555" s="15" t="s">
        <v>1478</v>
      </c>
      <c r="N555" s="15"/>
    </row>
    <row r="556" customFormat="false" ht="39" hidden="false" customHeight="true" outlineLevel="0" collapsed="false">
      <c r="A556" s="15" t="s">
        <v>2851</v>
      </c>
      <c r="B556" s="15" t="s">
        <v>312</v>
      </c>
      <c r="C556" s="15" t="s">
        <v>444</v>
      </c>
      <c r="D556" s="15" t="s">
        <v>2423</v>
      </c>
      <c r="E556" s="15" t="s">
        <v>2234</v>
      </c>
      <c r="F556" s="15" t="s">
        <v>2190</v>
      </c>
      <c r="G556" s="15" t="s">
        <v>120</v>
      </c>
      <c r="H556" s="15" t="s">
        <v>1988</v>
      </c>
      <c r="I556" s="23" t="n">
        <v>222</v>
      </c>
      <c r="J556" s="15" t="s">
        <v>2191</v>
      </c>
      <c r="K556" s="15" t="s">
        <v>2192</v>
      </c>
      <c r="L556" s="15" t="s">
        <v>2184</v>
      </c>
      <c r="M556" s="15" t="s">
        <v>1478</v>
      </c>
      <c r="N556" s="15"/>
    </row>
    <row r="557" customFormat="false" ht="39" hidden="false" customHeight="true" outlineLevel="0" collapsed="false">
      <c r="A557" s="15" t="s">
        <v>2852</v>
      </c>
      <c r="B557" s="15" t="s">
        <v>312</v>
      </c>
      <c r="C557" s="15" t="s">
        <v>444</v>
      </c>
      <c r="D557" s="15" t="s">
        <v>2425</v>
      </c>
      <c r="E557" s="15" t="s">
        <v>2234</v>
      </c>
      <c r="F557" s="15" t="s">
        <v>2190</v>
      </c>
      <c r="G557" s="15" t="s">
        <v>120</v>
      </c>
      <c r="H557" s="15" t="s">
        <v>1988</v>
      </c>
      <c r="I557" s="23" t="n">
        <v>221</v>
      </c>
      <c r="J557" s="15" t="s">
        <v>2191</v>
      </c>
      <c r="K557" s="15" t="s">
        <v>2192</v>
      </c>
      <c r="L557" s="15" t="s">
        <v>2184</v>
      </c>
      <c r="M557" s="15" t="s">
        <v>1478</v>
      </c>
      <c r="N557" s="15"/>
    </row>
    <row r="558" customFormat="false" ht="39" hidden="false" customHeight="true" outlineLevel="0" collapsed="false">
      <c r="A558" s="15" t="s">
        <v>2853</v>
      </c>
      <c r="B558" s="15" t="s">
        <v>312</v>
      </c>
      <c r="C558" s="15" t="s">
        <v>444</v>
      </c>
      <c r="D558" s="15" t="s">
        <v>2427</v>
      </c>
      <c r="E558" s="15" t="s">
        <v>2234</v>
      </c>
      <c r="F558" s="15" t="s">
        <v>2190</v>
      </c>
      <c r="G558" s="15" t="s">
        <v>120</v>
      </c>
      <c r="H558" s="15" t="s">
        <v>1988</v>
      </c>
      <c r="I558" s="23" t="n">
        <v>199</v>
      </c>
      <c r="J558" s="15" t="s">
        <v>2191</v>
      </c>
      <c r="K558" s="15" t="s">
        <v>2192</v>
      </c>
      <c r="L558" s="15" t="s">
        <v>2184</v>
      </c>
      <c r="M558" s="15" t="s">
        <v>1478</v>
      </c>
      <c r="N558" s="15"/>
    </row>
    <row r="559" customFormat="false" ht="39" hidden="false" customHeight="true" outlineLevel="0" collapsed="false">
      <c r="A559" s="15" t="s">
        <v>2854</v>
      </c>
      <c r="B559" s="15" t="s">
        <v>312</v>
      </c>
      <c r="C559" s="15" t="s">
        <v>444</v>
      </c>
      <c r="D559" s="15" t="s">
        <v>2433</v>
      </c>
      <c r="E559" s="15" t="s">
        <v>2234</v>
      </c>
      <c r="F559" s="15" t="s">
        <v>2190</v>
      </c>
      <c r="G559" s="15" t="s">
        <v>120</v>
      </c>
      <c r="H559" s="15" t="s">
        <v>1988</v>
      </c>
      <c r="I559" s="23" t="n">
        <v>195</v>
      </c>
      <c r="J559" s="15" t="s">
        <v>2191</v>
      </c>
      <c r="K559" s="15" t="s">
        <v>2192</v>
      </c>
      <c r="L559" s="15" t="s">
        <v>2184</v>
      </c>
      <c r="M559" s="15" t="s">
        <v>1478</v>
      </c>
      <c r="N559" s="15"/>
    </row>
    <row r="560" customFormat="false" ht="39" hidden="false" customHeight="true" outlineLevel="0" collapsed="false">
      <c r="A560" s="15" t="s">
        <v>2855</v>
      </c>
      <c r="B560" s="15" t="s">
        <v>312</v>
      </c>
      <c r="C560" s="15" t="s">
        <v>444</v>
      </c>
      <c r="D560" s="15" t="s">
        <v>2431</v>
      </c>
      <c r="E560" s="15" t="s">
        <v>2234</v>
      </c>
      <c r="F560" s="15" t="s">
        <v>2190</v>
      </c>
      <c r="G560" s="15" t="s">
        <v>120</v>
      </c>
      <c r="H560" s="15" t="s">
        <v>1988</v>
      </c>
      <c r="I560" s="23" t="n">
        <v>195</v>
      </c>
      <c r="J560" s="15" t="s">
        <v>2191</v>
      </c>
      <c r="K560" s="15" t="s">
        <v>2192</v>
      </c>
      <c r="L560" s="15" t="s">
        <v>2184</v>
      </c>
      <c r="M560" s="15" t="s">
        <v>1478</v>
      </c>
      <c r="N560" s="15"/>
    </row>
    <row r="561" customFormat="false" ht="39" hidden="false" customHeight="true" outlineLevel="0" collapsed="false">
      <c r="A561" s="15" t="s">
        <v>2856</v>
      </c>
      <c r="B561" s="15" t="s">
        <v>312</v>
      </c>
      <c r="C561" s="15" t="s">
        <v>444</v>
      </c>
      <c r="D561" s="15" t="s">
        <v>2429</v>
      </c>
      <c r="E561" s="15" t="s">
        <v>2234</v>
      </c>
      <c r="F561" s="15" t="s">
        <v>2190</v>
      </c>
      <c r="G561" s="15" t="s">
        <v>120</v>
      </c>
      <c r="H561" s="15" t="s">
        <v>1988</v>
      </c>
      <c r="I561" s="23" t="n">
        <v>195</v>
      </c>
      <c r="J561" s="15" t="s">
        <v>2191</v>
      </c>
      <c r="K561" s="15" t="s">
        <v>2192</v>
      </c>
      <c r="L561" s="15" t="s">
        <v>2184</v>
      </c>
      <c r="M561" s="15" t="s">
        <v>1478</v>
      </c>
      <c r="N561" s="15"/>
    </row>
    <row r="562" customFormat="false" ht="39" hidden="false" customHeight="true" outlineLevel="0" collapsed="false">
      <c r="A562" s="15" t="s">
        <v>2857</v>
      </c>
      <c r="B562" s="15" t="s">
        <v>312</v>
      </c>
      <c r="C562" s="15" t="s">
        <v>444</v>
      </c>
      <c r="D562" s="15" t="s">
        <v>2435</v>
      </c>
      <c r="E562" s="15" t="s">
        <v>2234</v>
      </c>
      <c r="F562" s="15" t="s">
        <v>2190</v>
      </c>
      <c r="G562" s="15" t="s">
        <v>120</v>
      </c>
      <c r="H562" s="15" t="s">
        <v>1988</v>
      </c>
      <c r="I562" s="23" t="n">
        <v>190</v>
      </c>
      <c r="J562" s="15" t="s">
        <v>2191</v>
      </c>
      <c r="K562" s="15" t="s">
        <v>2192</v>
      </c>
      <c r="L562" s="15" t="s">
        <v>2184</v>
      </c>
      <c r="M562" s="15" t="s">
        <v>1478</v>
      </c>
      <c r="N562" s="15"/>
    </row>
    <row r="563" customFormat="false" ht="39" hidden="false" customHeight="true" outlineLevel="0" collapsed="false">
      <c r="A563" s="15" t="s">
        <v>2858</v>
      </c>
      <c r="B563" s="15" t="s">
        <v>312</v>
      </c>
      <c r="C563" s="15" t="s">
        <v>444</v>
      </c>
      <c r="D563" s="15" t="s">
        <v>2437</v>
      </c>
      <c r="E563" s="15" t="s">
        <v>2234</v>
      </c>
      <c r="F563" s="15" t="s">
        <v>2190</v>
      </c>
      <c r="G563" s="15" t="s">
        <v>120</v>
      </c>
      <c r="H563" s="15" t="s">
        <v>1988</v>
      </c>
      <c r="I563" s="23" t="n">
        <v>177</v>
      </c>
      <c r="J563" s="15" t="s">
        <v>2191</v>
      </c>
      <c r="K563" s="15" t="s">
        <v>2192</v>
      </c>
      <c r="L563" s="15" t="s">
        <v>2184</v>
      </c>
      <c r="M563" s="15" t="s">
        <v>1478</v>
      </c>
      <c r="N563" s="15"/>
    </row>
    <row r="564" customFormat="false" ht="39" hidden="false" customHeight="true" outlineLevel="0" collapsed="false">
      <c r="A564" s="15" t="s">
        <v>2859</v>
      </c>
      <c r="B564" s="15" t="s">
        <v>312</v>
      </c>
      <c r="C564" s="15" t="s">
        <v>444</v>
      </c>
      <c r="D564" s="15" t="s">
        <v>2439</v>
      </c>
      <c r="E564" s="15" t="s">
        <v>2234</v>
      </c>
      <c r="F564" s="15" t="s">
        <v>2190</v>
      </c>
      <c r="G564" s="15" t="s">
        <v>120</v>
      </c>
      <c r="H564" s="15" t="s">
        <v>1988</v>
      </c>
      <c r="I564" s="23" t="n">
        <v>174</v>
      </c>
      <c r="J564" s="15" t="s">
        <v>2191</v>
      </c>
      <c r="K564" s="15" t="s">
        <v>2192</v>
      </c>
      <c r="L564" s="15" t="s">
        <v>2184</v>
      </c>
      <c r="M564" s="15" t="s">
        <v>1478</v>
      </c>
      <c r="N564" s="15"/>
    </row>
    <row r="565" customFormat="false" ht="39" hidden="false" customHeight="true" outlineLevel="0" collapsed="false">
      <c r="A565" s="15" t="s">
        <v>2860</v>
      </c>
      <c r="B565" s="15" t="s">
        <v>312</v>
      </c>
      <c r="C565" s="15" t="s">
        <v>444</v>
      </c>
      <c r="D565" s="15" t="s">
        <v>2441</v>
      </c>
      <c r="E565" s="15" t="s">
        <v>2234</v>
      </c>
      <c r="F565" s="15" t="s">
        <v>2190</v>
      </c>
      <c r="G565" s="15" t="s">
        <v>120</v>
      </c>
      <c r="H565" s="15" t="s">
        <v>1988</v>
      </c>
      <c r="I565" s="23" t="n">
        <v>159</v>
      </c>
      <c r="J565" s="15" t="s">
        <v>2191</v>
      </c>
      <c r="K565" s="15" t="s">
        <v>2192</v>
      </c>
      <c r="L565" s="15" t="s">
        <v>2184</v>
      </c>
      <c r="M565" s="15" t="s">
        <v>1478</v>
      </c>
      <c r="N565" s="15"/>
    </row>
    <row r="566" customFormat="false" ht="39" hidden="false" customHeight="true" outlineLevel="0" collapsed="false">
      <c r="A566" s="15" t="s">
        <v>2861</v>
      </c>
      <c r="B566" s="15" t="s">
        <v>312</v>
      </c>
      <c r="C566" s="15" t="s">
        <v>444</v>
      </c>
      <c r="D566" s="15" t="s">
        <v>2443</v>
      </c>
      <c r="E566" s="15" t="s">
        <v>2234</v>
      </c>
      <c r="F566" s="15" t="s">
        <v>2190</v>
      </c>
      <c r="G566" s="15" t="s">
        <v>120</v>
      </c>
      <c r="H566" s="15" t="s">
        <v>1988</v>
      </c>
      <c r="I566" s="23" t="n">
        <v>99</v>
      </c>
      <c r="J566" s="15" t="s">
        <v>2191</v>
      </c>
      <c r="K566" s="15" t="s">
        <v>2192</v>
      </c>
      <c r="L566" s="15" t="s">
        <v>2184</v>
      </c>
      <c r="M566" s="15" t="s">
        <v>1478</v>
      </c>
      <c r="N566" s="15"/>
    </row>
    <row r="567" customFormat="false" ht="39" hidden="false" customHeight="true" outlineLevel="0" collapsed="false">
      <c r="A567" s="15" t="s">
        <v>2862</v>
      </c>
      <c r="B567" s="15" t="s">
        <v>312</v>
      </c>
      <c r="C567" s="15" t="s">
        <v>444</v>
      </c>
      <c r="D567" s="15" t="s">
        <v>2445</v>
      </c>
      <c r="E567" s="15" t="s">
        <v>2234</v>
      </c>
      <c r="F567" s="15" t="s">
        <v>2190</v>
      </c>
      <c r="G567" s="15" t="s">
        <v>120</v>
      </c>
      <c r="H567" s="15" t="s">
        <v>1988</v>
      </c>
      <c r="I567" s="23" t="n">
        <v>43</v>
      </c>
      <c r="J567" s="15" t="s">
        <v>2191</v>
      </c>
      <c r="K567" s="15" t="s">
        <v>2192</v>
      </c>
      <c r="L567" s="15" t="s">
        <v>2184</v>
      </c>
      <c r="M567" s="15" t="s">
        <v>1478</v>
      </c>
      <c r="N567" s="15"/>
    </row>
    <row r="568" customFormat="false" ht="39" hidden="false" customHeight="true" outlineLevel="0" collapsed="false">
      <c r="A568" s="15" t="s">
        <v>2863</v>
      </c>
      <c r="B568" s="15" t="s">
        <v>312</v>
      </c>
      <c r="C568" s="15" t="s">
        <v>444</v>
      </c>
      <c r="D568" s="15" t="s">
        <v>2447</v>
      </c>
      <c r="E568" s="15" t="s">
        <v>2234</v>
      </c>
      <c r="F568" s="15" t="s">
        <v>2190</v>
      </c>
      <c r="G568" s="15" t="s">
        <v>120</v>
      </c>
      <c r="H568" s="15" t="s">
        <v>1988</v>
      </c>
      <c r="I568" s="23" t="n">
        <v>30</v>
      </c>
      <c r="J568" s="15" t="s">
        <v>2191</v>
      </c>
      <c r="K568" s="15" t="s">
        <v>2192</v>
      </c>
      <c r="L568" s="15" t="s">
        <v>2184</v>
      </c>
      <c r="M568" s="15" t="s">
        <v>1478</v>
      </c>
      <c r="N568" s="15"/>
    </row>
    <row r="569" customFormat="false" ht="39" hidden="false" customHeight="true" outlineLevel="0" collapsed="false">
      <c r="A569" s="15" t="s">
        <v>2864</v>
      </c>
      <c r="B569" s="15" t="s">
        <v>312</v>
      </c>
      <c r="C569" s="15" t="s">
        <v>424</v>
      </c>
      <c r="D569" s="15" t="s">
        <v>2318</v>
      </c>
      <c r="E569" s="15" t="s">
        <v>2027</v>
      </c>
      <c r="F569" s="15" t="s">
        <v>2190</v>
      </c>
      <c r="G569" s="15" t="s">
        <v>120</v>
      </c>
      <c r="H569" s="15" t="s">
        <v>1988</v>
      </c>
      <c r="I569" s="23" t="n">
        <v>28999</v>
      </c>
      <c r="J569" s="15" t="s">
        <v>2191</v>
      </c>
      <c r="K569" s="15" t="s">
        <v>2192</v>
      </c>
      <c r="L569" s="15" t="s">
        <v>2184</v>
      </c>
      <c r="M569" s="15" t="s">
        <v>1478</v>
      </c>
      <c r="N569" s="15"/>
    </row>
    <row r="570" customFormat="false" ht="39" hidden="false" customHeight="true" outlineLevel="0" collapsed="false">
      <c r="A570" s="15" t="s">
        <v>2865</v>
      </c>
      <c r="B570" s="15" t="s">
        <v>312</v>
      </c>
      <c r="C570" s="15" t="s">
        <v>424</v>
      </c>
      <c r="D570" s="15" t="s">
        <v>2330</v>
      </c>
      <c r="E570" s="15" t="s">
        <v>2331</v>
      </c>
      <c r="F570" s="15" t="s">
        <v>2190</v>
      </c>
      <c r="G570" s="15" t="s">
        <v>2332</v>
      </c>
      <c r="H570" s="15" t="s">
        <v>2064</v>
      </c>
      <c r="I570" s="23" t="n">
        <v>27999</v>
      </c>
      <c r="J570" s="15" t="s">
        <v>2191</v>
      </c>
      <c r="K570" s="15" t="s">
        <v>2192</v>
      </c>
      <c r="L570" s="15" t="s">
        <v>2184</v>
      </c>
      <c r="M570" s="15" t="s">
        <v>1478</v>
      </c>
      <c r="N570" s="15" t="s">
        <v>2333</v>
      </c>
    </row>
    <row r="571" customFormat="false" ht="39" hidden="false" customHeight="true" outlineLevel="0" collapsed="false">
      <c r="A571" s="15" t="s">
        <v>2866</v>
      </c>
      <c r="B571" s="15" t="s">
        <v>312</v>
      </c>
      <c r="C571" s="15" t="s">
        <v>424</v>
      </c>
      <c r="D571" s="15" t="s">
        <v>2335</v>
      </c>
      <c r="E571" s="15" t="s">
        <v>2047</v>
      </c>
      <c r="F571" s="15" t="s">
        <v>2190</v>
      </c>
      <c r="G571" s="15" t="s">
        <v>120</v>
      </c>
      <c r="H571" s="15" t="s">
        <v>1988</v>
      </c>
      <c r="I571" s="23" t="n">
        <v>19999</v>
      </c>
      <c r="J571" s="15" t="s">
        <v>2191</v>
      </c>
      <c r="K571" s="15" t="s">
        <v>2192</v>
      </c>
      <c r="L571" s="15" t="s">
        <v>2184</v>
      </c>
      <c r="M571" s="15" t="s">
        <v>1478</v>
      </c>
      <c r="N571" s="15"/>
    </row>
    <row r="572" customFormat="false" ht="39" hidden="false" customHeight="true" outlineLevel="0" collapsed="false">
      <c r="A572" s="15" t="s">
        <v>2867</v>
      </c>
      <c r="B572" s="15" t="s">
        <v>312</v>
      </c>
      <c r="C572" s="15" t="s">
        <v>424</v>
      </c>
      <c r="D572" s="15" t="s">
        <v>2189</v>
      </c>
      <c r="E572" s="15" t="s">
        <v>2002</v>
      </c>
      <c r="F572" s="15" t="s">
        <v>2190</v>
      </c>
      <c r="G572" s="15" t="s">
        <v>120</v>
      </c>
      <c r="H572" s="15" t="s">
        <v>1988</v>
      </c>
      <c r="I572" s="23" t="n">
        <v>17999</v>
      </c>
      <c r="J572" s="15" t="s">
        <v>2191</v>
      </c>
      <c r="K572" s="15" t="s">
        <v>2192</v>
      </c>
      <c r="L572" s="15" t="s">
        <v>2184</v>
      </c>
      <c r="M572" s="15" t="s">
        <v>1478</v>
      </c>
      <c r="N572" s="15"/>
    </row>
    <row r="573" customFormat="false" ht="39" hidden="false" customHeight="true" outlineLevel="0" collapsed="false">
      <c r="A573" s="15" t="s">
        <v>2868</v>
      </c>
      <c r="B573" s="15" t="s">
        <v>312</v>
      </c>
      <c r="C573" s="15" t="s">
        <v>424</v>
      </c>
      <c r="D573" s="15" t="s">
        <v>2337</v>
      </c>
      <c r="E573" s="15" t="s">
        <v>2331</v>
      </c>
      <c r="F573" s="15" t="s">
        <v>2190</v>
      </c>
      <c r="G573" s="15" t="s">
        <v>2332</v>
      </c>
      <c r="H573" s="15" t="s">
        <v>2064</v>
      </c>
      <c r="I573" s="23" t="n">
        <v>14399</v>
      </c>
      <c r="J573" s="15" t="s">
        <v>2191</v>
      </c>
      <c r="K573" s="15" t="s">
        <v>2192</v>
      </c>
      <c r="L573" s="15" t="s">
        <v>2184</v>
      </c>
      <c r="M573" s="15" t="s">
        <v>1478</v>
      </c>
      <c r="N573" s="15" t="s">
        <v>2333</v>
      </c>
    </row>
    <row r="574" customFormat="false" ht="39" hidden="false" customHeight="true" outlineLevel="0" collapsed="false">
      <c r="A574" s="15" t="s">
        <v>2869</v>
      </c>
      <c r="B574" s="15" t="s">
        <v>312</v>
      </c>
      <c r="C574" s="15" t="s">
        <v>424</v>
      </c>
      <c r="D574" s="15" t="s">
        <v>2290</v>
      </c>
      <c r="E574" s="15" t="s">
        <v>2234</v>
      </c>
      <c r="F574" s="15" t="s">
        <v>2190</v>
      </c>
      <c r="G574" s="15" t="s">
        <v>120</v>
      </c>
      <c r="H574" s="15" t="s">
        <v>1988</v>
      </c>
      <c r="I574" s="23" t="n">
        <v>12999</v>
      </c>
      <c r="J574" s="15" t="s">
        <v>2191</v>
      </c>
      <c r="K574" s="15" t="s">
        <v>2192</v>
      </c>
      <c r="L574" s="15" t="s">
        <v>2184</v>
      </c>
      <c r="M574" s="15" t="s">
        <v>1478</v>
      </c>
      <c r="N574" s="15" t="s">
        <v>2870</v>
      </c>
    </row>
    <row r="575" customFormat="false" ht="39" hidden="false" customHeight="true" outlineLevel="0" collapsed="false">
      <c r="A575" s="15" t="s">
        <v>2871</v>
      </c>
      <c r="B575" s="15" t="s">
        <v>312</v>
      </c>
      <c r="C575" s="15" t="s">
        <v>424</v>
      </c>
      <c r="D575" s="15" t="s">
        <v>2292</v>
      </c>
      <c r="E575" s="15" t="s">
        <v>2234</v>
      </c>
      <c r="F575" s="15" t="s">
        <v>2190</v>
      </c>
      <c r="G575" s="15" t="s">
        <v>120</v>
      </c>
      <c r="H575" s="15" t="s">
        <v>1988</v>
      </c>
      <c r="I575" s="23" t="n">
        <v>11999</v>
      </c>
      <c r="J575" s="15" t="s">
        <v>2191</v>
      </c>
      <c r="K575" s="15" t="s">
        <v>2192</v>
      </c>
      <c r="L575" s="15" t="s">
        <v>2184</v>
      </c>
      <c r="M575" s="15" t="s">
        <v>1478</v>
      </c>
      <c r="N575" s="15"/>
    </row>
    <row r="576" customFormat="false" ht="39" hidden="false" customHeight="true" outlineLevel="0" collapsed="false">
      <c r="A576" s="15" t="s">
        <v>2872</v>
      </c>
      <c r="B576" s="15" t="s">
        <v>312</v>
      </c>
      <c r="C576" s="15" t="s">
        <v>424</v>
      </c>
      <c r="D576" s="15" t="s">
        <v>2722</v>
      </c>
      <c r="E576" s="15" t="s">
        <v>1996</v>
      </c>
      <c r="F576" s="15" t="s">
        <v>2190</v>
      </c>
      <c r="G576" s="15" t="s">
        <v>2195</v>
      </c>
      <c r="H576" s="15" t="s">
        <v>2196</v>
      </c>
      <c r="I576" s="23" t="n">
        <v>9999</v>
      </c>
      <c r="J576" s="15" t="s">
        <v>2191</v>
      </c>
      <c r="K576" s="15" t="s">
        <v>2192</v>
      </c>
      <c r="L576" s="15" t="s">
        <v>2184</v>
      </c>
      <c r="M576" s="15" t="s">
        <v>1478</v>
      </c>
      <c r="N576" s="15" t="s">
        <v>2873</v>
      </c>
    </row>
    <row r="577" customFormat="false" ht="39" hidden="false" customHeight="true" outlineLevel="0" collapsed="false">
      <c r="A577" s="15" t="s">
        <v>2874</v>
      </c>
      <c r="B577" s="15" t="s">
        <v>312</v>
      </c>
      <c r="C577" s="15" t="s">
        <v>424</v>
      </c>
      <c r="D577" s="15" t="s">
        <v>2339</v>
      </c>
      <c r="E577" s="15" t="s">
        <v>2331</v>
      </c>
      <c r="F577" s="15" t="s">
        <v>2190</v>
      </c>
      <c r="G577" s="15" t="s">
        <v>2332</v>
      </c>
      <c r="H577" s="15" t="s">
        <v>2064</v>
      </c>
      <c r="I577" s="23" t="n">
        <v>9599</v>
      </c>
      <c r="J577" s="15" t="s">
        <v>2191</v>
      </c>
      <c r="K577" s="15" t="s">
        <v>2192</v>
      </c>
      <c r="L577" s="15" t="s">
        <v>2184</v>
      </c>
      <c r="M577" s="15" t="s">
        <v>1478</v>
      </c>
      <c r="N577" s="15" t="s">
        <v>2333</v>
      </c>
    </row>
    <row r="578" customFormat="false" ht="39" hidden="false" customHeight="true" outlineLevel="0" collapsed="false">
      <c r="A578" s="15" t="s">
        <v>2875</v>
      </c>
      <c r="B578" s="15" t="s">
        <v>312</v>
      </c>
      <c r="C578" s="15" t="s">
        <v>424</v>
      </c>
      <c r="D578" s="15" t="s">
        <v>2876</v>
      </c>
      <c r="E578" s="15" t="s">
        <v>1996</v>
      </c>
      <c r="F578" s="15" t="s">
        <v>2190</v>
      </c>
      <c r="G578" s="15" t="s">
        <v>2195</v>
      </c>
      <c r="H578" s="15" t="s">
        <v>2196</v>
      </c>
      <c r="I578" s="23" t="n">
        <v>7999</v>
      </c>
      <c r="J578" s="15" t="s">
        <v>2191</v>
      </c>
      <c r="K578" s="15" t="s">
        <v>2192</v>
      </c>
      <c r="L578" s="15" t="s">
        <v>2184</v>
      </c>
      <c r="M578" s="15" t="s">
        <v>1478</v>
      </c>
      <c r="N578" s="15" t="s">
        <v>2456</v>
      </c>
    </row>
    <row r="579" customFormat="false" ht="39" hidden="false" customHeight="true" outlineLevel="0" collapsed="false">
      <c r="A579" s="15" t="s">
        <v>2877</v>
      </c>
      <c r="B579" s="15" t="s">
        <v>312</v>
      </c>
      <c r="C579" s="15" t="s">
        <v>424</v>
      </c>
      <c r="D579" s="15" t="s">
        <v>2731</v>
      </c>
      <c r="E579" s="15" t="s">
        <v>2117</v>
      </c>
      <c r="F579" s="15" t="s">
        <v>2190</v>
      </c>
      <c r="G579" s="15" t="s">
        <v>2732</v>
      </c>
      <c r="H579" s="15" t="s">
        <v>1998</v>
      </c>
      <c r="I579" s="23" t="n">
        <v>7999</v>
      </c>
      <c r="J579" s="15" t="s">
        <v>2191</v>
      </c>
      <c r="K579" s="15" t="s">
        <v>2192</v>
      </c>
      <c r="L579" s="15" t="s">
        <v>2184</v>
      </c>
      <c r="M579" s="15" t="s">
        <v>1478</v>
      </c>
      <c r="N579" s="15" t="s">
        <v>2733</v>
      </c>
    </row>
    <row r="580" customFormat="false" ht="39" hidden="false" customHeight="true" outlineLevel="0" collapsed="false">
      <c r="A580" s="15" t="s">
        <v>2878</v>
      </c>
      <c r="B580" s="15" t="s">
        <v>312</v>
      </c>
      <c r="C580" s="15" t="s">
        <v>424</v>
      </c>
      <c r="D580" s="15" t="s">
        <v>2879</v>
      </c>
      <c r="E580" s="15" t="s">
        <v>2027</v>
      </c>
      <c r="F580" s="15" t="s">
        <v>2190</v>
      </c>
      <c r="G580" s="15" t="s">
        <v>2728</v>
      </c>
      <c r="H580" s="15" t="s">
        <v>2196</v>
      </c>
      <c r="I580" s="23" t="n">
        <v>7999</v>
      </c>
      <c r="J580" s="15" t="s">
        <v>2191</v>
      </c>
      <c r="K580" s="15" t="s">
        <v>2192</v>
      </c>
      <c r="L580" s="15" t="s">
        <v>2184</v>
      </c>
      <c r="M580" s="15" t="s">
        <v>1478</v>
      </c>
      <c r="N580" s="15" t="s">
        <v>2729</v>
      </c>
    </row>
    <row r="581" customFormat="false" ht="39" hidden="false" customHeight="true" outlineLevel="0" collapsed="false">
      <c r="A581" s="15" t="s">
        <v>2880</v>
      </c>
      <c r="B581" s="15" t="s">
        <v>312</v>
      </c>
      <c r="C581" s="15" t="s">
        <v>424</v>
      </c>
      <c r="D581" s="15" t="s">
        <v>2881</v>
      </c>
      <c r="E581" s="15" t="s">
        <v>2027</v>
      </c>
      <c r="F581" s="15" t="s">
        <v>2190</v>
      </c>
      <c r="G581" s="15" t="s">
        <v>2728</v>
      </c>
      <c r="H581" s="15" t="s">
        <v>2196</v>
      </c>
      <c r="I581" s="23" t="n">
        <v>7999</v>
      </c>
      <c r="J581" s="15" t="s">
        <v>2191</v>
      </c>
      <c r="K581" s="15" t="s">
        <v>2192</v>
      </c>
      <c r="L581" s="15" t="s">
        <v>2184</v>
      </c>
      <c r="M581" s="15" t="s">
        <v>1478</v>
      </c>
      <c r="N581" s="15" t="s">
        <v>2729</v>
      </c>
    </row>
    <row r="582" customFormat="false" ht="39" hidden="false" customHeight="true" outlineLevel="0" collapsed="false">
      <c r="A582" s="15" t="s">
        <v>2882</v>
      </c>
      <c r="B582" s="15" t="s">
        <v>312</v>
      </c>
      <c r="C582" s="15" t="s">
        <v>424</v>
      </c>
      <c r="D582" s="15" t="s">
        <v>2341</v>
      </c>
      <c r="E582" s="15" t="s">
        <v>2331</v>
      </c>
      <c r="F582" s="15" t="s">
        <v>2190</v>
      </c>
      <c r="G582" s="15" t="s">
        <v>120</v>
      </c>
      <c r="H582" s="15" t="s">
        <v>1988</v>
      </c>
      <c r="I582" s="23" t="n">
        <v>7254</v>
      </c>
      <c r="J582" s="15" t="s">
        <v>2191</v>
      </c>
      <c r="K582" s="15" t="s">
        <v>2192</v>
      </c>
      <c r="L582" s="15" t="s">
        <v>2184</v>
      </c>
      <c r="M582" s="15" t="s">
        <v>1478</v>
      </c>
      <c r="N582" s="15"/>
    </row>
    <row r="583" customFormat="false" ht="39" hidden="false" customHeight="true" outlineLevel="0" collapsed="false">
      <c r="A583" s="15" t="s">
        <v>2883</v>
      </c>
      <c r="B583" s="15" t="s">
        <v>312</v>
      </c>
      <c r="C583" s="15" t="s">
        <v>424</v>
      </c>
      <c r="D583" s="15" t="s">
        <v>2225</v>
      </c>
      <c r="E583" s="15" t="s">
        <v>2027</v>
      </c>
      <c r="F583" s="15" t="s">
        <v>2190</v>
      </c>
      <c r="G583" s="15" t="s">
        <v>2226</v>
      </c>
      <c r="H583" s="15" t="s">
        <v>2064</v>
      </c>
      <c r="I583" s="23" t="n">
        <v>6999</v>
      </c>
      <c r="J583" s="15" t="s">
        <v>2191</v>
      </c>
      <c r="K583" s="15" t="s">
        <v>2192</v>
      </c>
      <c r="L583" s="15" t="s">
        <v>2184</v>
      </c>
      <c r="M583" s="15" t="s">
        <v>1478</v>
      </c>
      <c r="N583" s="15" t="s">
        <v>2227</v>
      </c>
    </row>
    <row r="584" customFormat="false" ht="39" hidden="false" customHeight="true" outlineLevel="0" collapsed="false">
      <c r="A584" s="15" t="s">
        <v>2884</v>
      </c>
      <c r="B584" s="15" t="s">
        <v>312</v>
      </c>
      <c r="C584" s="15" t="s">
        <v>424</v>
      </c>
      <c r="D584" s="15" t="s">
        <v>2731</v>
      </c>
      <c r="E584" s="15" t="s">
        <v>2117</v>
      </c>
      <c r="F584" s="15" t="s">
        <v>2190</v>
      </c>
      <c r="G584" s="15" t="s">
        <v>2732</v>
      </c>
      <c r="H584" s="15" t="s">
        <v>1998</v>
      </c>
      <c r="I584" s="23" t="n">
        <v>6999</v>
      </c>
      <c r="J584" s="15" t="s">
        <v>2191</v>
      </c>
      <c r="K584" s="15" t="s">
        <v>2192</v>
      </c>
      <c r="L584" s="15" t="s">
        <v>2184</v>
      </c>
      <c r="M584" s="15" t="s">
        <v>1478</v>
      </c>
      <c r="N584" s="15" t="s">
        <v>2733</v>
      </c>
    </row>
    <row r="585" customFormat="false" ht="39" hidden="false" customHeight="true" outlineLevel="0" collapsed="false">
      <c r="A585" s="15" t="s">
        <v>2885</v>
      </c>
      <c r="B585" s="15" t="s">
        <v>312</v>
      </c>
      <c r="C585" s="15" t="s">
        <v>424</v>
      </c>
      <c r="D585" s="15" t="s">
        <v>2886</v>
      </c>
      <c r="E585" s="15" t="s">
        <v>1996</v>
      </c>
      <c r="F585" s="15" t="s">
        <v>2190</v>
      </c>
      <c r="G585" s="15" t="s">
        <v>2195</v>
      </c>
      <c r="H585" s="15" t="s">
        <v>2196</v>
      </c>
      <c r="I585" s="23" t="n">
        <v>6999</v>
      </c>
      <c r="J585" s="15" t="s">
        <v>2191</v>
      </c>
      <c r="K585" s="15" t="s">
        <v>2192</v>
      </c>
      <c r="L585" s="15" t="s">
        <v>2184</v>
      </c>
      <c r="M585" s="15" t="s">
        <v>1478</v>
      </c>
      <c r="N585" s="15" t="s">
        <v>2456</v>
      </c>
    </row>
    <row r="586" customFormat="false" ht="39" hidden="false" customHeight="true" outlineLevel="0" collapsed="false">
      <c r="A586" s="15" t="s">
        <v>2887</v>
      </c>
      <c r="B586" s="15" t="s">
        <v>312</v>
      </c>
      <c r="C586" s="15" t="s">
        <v>424</v>
      </c>
      <c r="D586" s="15" t="s">
        <v>2229</v>
      </c>
      <c r="E586" s="15" t="s">
        <v>2027</v>
      </c>
      <c r="F586" s="15" t="s">
        <v>2190</v>
      </c>
      <c r="G586" s="15" t="s">
        <v>2230</v>
      </c>
      <c r="H586" s="15" t="s">
        <v>2064</v>
      </c>
      <c r="I586" s="23" t="n">
        <v>6699</v>
      </c>
      <c r="J586" s="15" t="s">
        <v>2191</v>
      </c>
      <c r="K586" s="15" t="s">
        <v>2192</v>
      </c>
      <c r="L586" s="15" t="s">
        <v>2184</v>
      </c>
      <c r="M586" s="15" t="s">
        <v>1478</v>
      </c>
      <c r="N586" s="15" t="s">
        <v>2231</v>
      </c>
    </row>
    <row r="587" customFormat="false" ht="39" hidden="false" customHeight="true" outlineLevel="0" collapsed="false">
      <c r="A587" s="15" t="s">
        <v>2888</v>
      </c>
      <c r="B587" s="15" t="s">
        <v>312</v>
      </c>
      <c r="C587" s="15" t="s">
        <v>424</v>
      </c>
      <c r="D587" s="15" t="s">
        <v>2343</v>
      </c>
      <c r="E587" s="15" t="s">
        <v>2331</v>
      </c>
      <c r="F587" s="15" t="s">
        <v>2190</v>
      </c>
      <c r="G587" s="15" t="s">
        <v>120</v>
      </c>
      <c r="H587" s="15" t="s">
        <v>1988</v>
      </c>
      <c r="I587" s="23" t="n">
        <v>6599</v>
      </c>
      <c r="J587" s="15" t="s">
        <v>2191</v>
      </c>
      <c r="K587" s="15" t="s">
        <v>2192</v>
      </c>
      <c r="L587" s="15" t="s">
        <v>2184</v>
      </c>
      <c r="M587" s="15" t="s">
        <v>1478</v>
      </c>
      <c r="N587" s="15"/>
    </row>
    <row r="588" customFormat="false" ht="39" hidden="false" customHeight="true" outlineLevel="0" collapsed="false">
      <c r="A588" s="15" t="s">
        <v>2889</v>
      </c>
      <c r="B588" s="15" t="s">
        <v>312</v>
      </c>
      <c r="C588" s="15" t="s">
        <v>424</v>
      </c>
      <c r="D588" s="15" t="s">
        <v>2741</v>
      </c>
      <c r="E588" s="15" t="s">
        <v>2234</v>
      </c>
      <c r="F588" s="15" t="s">
        <v>2190</v>
      </c>
      <c r="G588" s="15" t="s">
        <v>2742</v>
      </c>
      <c r="H588" s="15" t="s">
        <v>1998</v>
      </c>
      <c r="I588" s="23" t="n">
        <v>5999</v>
      </c>
      <c r="J588" s="15" t="s">
        <v>2191</v>
      </c>
      <c r="K588" s="15" t="s">
        <v>2192</v>
      </c>
      <c r="L588" s="15" t="s">
        <v>2184</v>
      </c>
      <c r="M588" s="15" t="s">
        <v>1478</v>
      </c>
      <c r="N588" s="15" t="s">
        <v>2890</v>
      </c>
    </row>
    <row r="589" customFormat="false" ht="39" hidden="false" customHeight="true" outlineLevel="0" collapsed="false">
      <c r="A589" s="15" t="s">
        <v>2891</v>
      </c>
      <c r="B589" s="15" t="s">
        <v>312</v>
      </c>
      <c r="C589" s="15" t="s">
        <v>424</v>
      </c>
      <c r="D589" s="15" t="s">
        <v>2892</v>
      </c>
      <c r="E589" s="15" t="s">
        <v>1986</v>
      </c>
      <c r="F589" s="15" t="s">
        <v>2190</v>
      </c>
      <c r="G589" s="15" t="s">
        <v>2200</v>
      </c>
      <c r="H589" s="15" t="s">
        <v>1988</v>
      </c>
      <c r="I589" s="23" t="n">
        <v>5999</v>
      </c>
      <c r="J589" s="15" t="s">
        <v>2191</v>
      </c>
      <c r="K589" s="15" t="s">
        <v>2192</v>
      </c>
      <c r="L589" s="15" t="s">
        <v>2184</v>
      </c>
      <c r="M589" s="15" t="s">
        <v>1478</v>
      </c>
      <c r="N589" s="15"/>
    </row>
    <row r="590" customFormat="false" ht="39" hidden="false" customHeight="true" outlineLevel="0" collapsed="false">
      <c r="A590" s="15" t="s">
        <v>2893</v>
      </c>
      <c r="B590" s="15" t="s">
        <v>312</v>
      </c>
      <c r="C590" s="15" t="s">
        <v>424</v>
      </c>
      <c r="D590" s="15" t="s">
        <v>2294</v>
      </c>
      <c r="E590" s="15" t="s">
        <v>2234</v>
      </c>
      <c r="F590" s="15" t="s">
        <v>2190</v>
      </c>
      <c r="G590" s="15" t="s">
        <v>120</v>
      </c>
      <c r="H590" s="15" t="s">
        <v>1988</v>
      </c>
      <c r="I590" s="23" t="n">
        <v>5999</v>
      </c>
      <c r="J590" s="15" t="s">
        <v>2191</v>
      </c>
      <c r="K590" s="15" t="s">
        <v>2192</v>
      </c>
      <c r="L590" s="15" t="s">
        <v>2184</v>
      </c>
      <c r="M590" s="15" t="s">
        <v>1478</v>
      </c>
      <c r="N590" s="15"/>
    </row>
    <row r="591" customFormat="false" ht="39" hidden="false" customHeight="true" outlineLevel="0" collapsed="false">
      <c r="A591" s="15" t="s">
        <v>2894</v>
      </c>
      <c r="B591" s="15" t="s">
        <v>312</v>
      </c>
      <c r="C591" s="15" t="s">
        <v>424</v>
      </c>
      <c r="D591" s="15" t="s">
        <v>2895</v>
      </c>
      <c r="E591" s="15" t="s">
        <v>1986</v>
      </c>
      <c r="F591" s="15" t="s">
        <v>2190</v>
      </c>
      <c r="G591" s="15" t="s">
        <v>2200</v>
      </c>
      <c r="H591" s="15" t="s">
        <v>1988</v>
      </c>
      <c r="I591" s="23" t="n">
        <v>5999</v>
      </c>
      <c r="J591" s="15" t="s">
        <v>2191</v>
      </c>
      <c r="K591" s="15" t="s">
        <v>2192</v>
      </c>
      <c r="L591" s="15" t="s">
        <v>2184</v>
      </c>
      <c r="M591" s="15" t="s">
        <v>1478</v>
      </c>
      <c r="N591" s="15"/>
    </row>
    <row r="592" customFormat="false" ht="39" hidden="false" customHeight="true" outlineLevel="0" collapsed="false">
      <c r="A592" s="15" t="s">
        <v>2896</v>
      </c>
      <c r="B592" s="15" t="s">
        <v>312</v>
      </c>
      <c r="C592" s="15" t="s">
        <v>424</v>
      </c>
      <c r="D592" s="15" t="s">
        <v>2320</v>
      </c>
      <c r="E592" s="15" t="s">
        <v>2321</v>
      </c>
      <c r="F592" s="15" t="s">
        <v>2190</v>
      </c>
      <c r="G592" s="15" t="s">
        <v>120</v>
      </c>
      <c r="H592" s="15" t="s">
        <v>1988</v>
      </c>
      <c r="I592" s="23" t="n">
        <v>4299</v>
      </c>
      <c r="J592" s="15" t="s">
        <v>2191</v>
      </c>
      <c r="K592" s="15" t="s">
        <v>2192</v>
      </c>
      <c r="L592" s="15" t="s">
        <v>2184</v>
      </c>
      <c r="M592" s="15" t="s">
        <v>1478</v>
      </c>
      <c r="N592" s="15"/>
    </row>
    <row r="593" customFormat="false" ht="39" hidden="false" customHeight="true" outlineLevel="0" collapsed="false">
      <c r="A593" s="15" t="s">
        <v>2897</v>
      </c>
      <c r="B593" s="15" t="s">
        <v>312</v>
      </c>
      <c r="C593" s="15" t="s">
        <v>424</v>
      </c>
      <c r="D593" s="15" t="s">
        <v>2898</v>
      </c>
      <c r="E593" s="15" t="s">
        <v>2027</v>
      </c>
      <c r="F593" s="15" t="s">
        <v>2190</v>
      </c>
      <c r="G593" s="15" t="s">
        <v>2728</v>
      </c>
      <c r="H593" s="15" t="s">
        <v>2196</v>
      </c>
      <c r="I593" s="23" t="n">
        <v>4166</v>
      </c>
      <c r="J593" s="15" t="s">
        <v>2191</v>
      </c>
      <c r="K593" s="15" t="s">
        <v>2192</v>
      </c>
      <c r="L593" s="15" t="s">
        <v>2184</v>
      </c>
      <c r="M593" s="15" t="s">
        <v>1478</v>
      </c>
      <c r="N593" s="15" t="s">
        <v>2729</v>
      </c>
    </row>
    <row r="594" customFormat="false" ht="39" hidden="false" customHeight="true" outlineLevel="0" collapsed="false">
      <c r="A594" s="15" t="s">
        <v>2899</v>
      </c>
      <c r="B594" s="15" t="s">
        <v>312</v>
      </c>
      <c r="C594" s="15" t="s">
        <v>424</v>
      </c>
      <c r="D594" s="15" t="s">
        <v>2296</v>
      </c>
      <c r="E594" s="15" t="s">
        <v>2234</v>
      </c>
      <c r="F594" s="15" t="s">
        <v>2190</v>
      </c>
      <c r="G594" s="15" t="s">
        <v>120</v>
      </c>
      <c r="H594" s="15" t="s">
        <v>1988</v>
      </c>
      <c r="I594" s="23" t="n">
        <v>4099</v>
      </c>
      <c r="J594" s="15" t="s">
        <v>2191</v>
      </c>
      <c r="K594" s="15" t="s">
        <v>2192</v>
      </c>
      <c r="L594" s="15" t="s">
        <v>2184</v>
      </c>
      <c r="M594" s="15" t="s">
        <v>1478</v>
      </c>
      <c r="N594" s="15"/>
    </row>
    <row r="595" customFormat="false" ht="39" hidden="false" customHeight="true" outlineLevel="0" collapsed="false">
      <c r="A595" s="15" t="s">
        <v>2900</v>
      </c>
      <c r="B595" s="15" t="s">
        <v>312</v>
      </c>
      <c r="C595" s="15" t="s">
        <v>424</v>
      </c>
      <c r="D595" s="15" t="s">
        <v>2347</v>
      </c>
      <c r="E595" s="15" t="s">
        <v>2234</v>
      </c>
      <c r="F595" s="15" t="s">
        <v>2190</v>
      </c>
      <c r="G595" s="15" t="s">
        <v>120</v>
      </c>
      <c r="H595" s="15" t="s">
        <v>1988</v>
      </c>
      <c r="I595" s="23" t="n">
        <v>3999</v>
      </c>
      <c r="J595" s="15" t="s">
        <v>2191</v>
      </c>
      <c r="K595" s="15" t="s">
        <v>2192</v>
      </c>
      <c r="L595" s="15" t="s">
        <v>2184</v>
      </c>
      <c r="M595" s="15" t="s">
        <v>1478</v>
      </c>
      <c r="N595" s="15"/>
    </row>
    <row r="596" customFormat="false" ht="39" hidden="false" customHeight="true" outlineLevel="0" collapsed="false">
      <c r="A596" s="15" t="s">
        <v>2901</v>
      </c>
      <c r="B596" s="15" t="s">
        <v>312</v>
      </c>
      <c r="C596" s="15" t="s">
        <v>424</v>
      </c>
      <c r="D596" s="15" t="s">
        <v>2323</v>
      </c>
      <c r="E596" s="15" t="s">
        <v>2321</v>
      </c>
      <c r="F596" s="15" t="s">
        <v>2190</v>
      </c>
      <c r="G596" s="15" t="s">
        <v>120</v>
      </c>
      <c r="H596" s="15" t="s">
        <v>1988</v>
      </c>
      <c r="I596" s="23" t="n">
        <v>3999</v>
      </c>
      <c r="J596" s="15" t="s">
        <v>2191</v>
      </c>
      <c r="K596" s="15" t="s">
        <v>2192</v>
      </c>
      <c r="L596" s="15" t="s">
        <v>2184</v>
      </c>
      <c r="M596" s="15" t="s">
        <v>1478</v>
      </c>
      <c r="N596" s="15"/>
    </row>
    <row r="597" customFormat="false" ht="39" hidden="false" customHeight="true" outlineLevel="0" collapsed="false">
      <c r="A597" s="15" t="s">
        <v>2902</v>
      </c>
      <c r="B597" s="15" t="s">
        <v>312</v>
      </c>
      <c r="C597" s="15" t="s">
        <v>424</v>
      </c>
      <c r="D597" s="15" t="s">
        <v>2345</v>
      </c>
      <c r="E597" s="15" t="s">
        <v>2117</v>
      </c>
      <c r="F597" s="15" t="s">
        <v>2190</v>
      </c>
      <c r="G597" s="15" t="s">
        <v>120</v>
      </c>
      <c r="H597" s="15" t="s">
        <v>1988</v>
      </c>
      <c r="I597" s="23" t="n">
        <v>3999</v>
      </c>
      <c r="J597" s="15" t="s">
        <v>2191</v>
      </c>
      <c r="K597" s="15" t="s">
        <v>2192</v>
      </c>
      <c r="L597" s="15" t="s">
        <v>2184</v>
      </c>
      <c r="M597" s="15" t="s">
        <v>1478</v>
      </c>
      <c r="N597" s="15" t="s">
        <v>2870</v>
      </c>
    </row>
    <row r="598" customFormat="false" ht="39" hidden="false" customHeight="true" outlineLevel="0" collapsed="false">
      <c r="A598" s="15" t="s">
        <v>2903</v>
      </c>
      <c r="B598" s="15" t="s">
        <v>312</v>
      </c>
      <c r="C598" s="15" t="s">
        <v>424</v>
      </c>
      <c r="D598" s="15" t="s">
        <v>2752</v>
      </c>
      <c r="E598" s="15" t="s">
        <v>2234</v>
      </c>
      <c r="F598" s="15" t="s">
        <v>2190</v>
      </c>
      <c r="G598" s="15" t="s">
        <v>2753</v>
      </c>
      <c r="H598" s="15" t="s">
        <v>1988</v>
      </c>
      <c r="I598" s="23" t="n">
        <v>3699</v>
      </c>
      <c r="J598" s="15" t="s">
        <v>2191</v>
      </c>
      <c r="K598" s="15" t="s">
        <v>2192</v>
      </c>
      <c r="L598" s="15" t="s">
        <v>2184</v>
      </c>
      <c r="M598" s="15" t="s">
        <v>1478</v>
      </c>
      <c r="N598" s="15" t="s">
        <v>2904</v>
      </c>
    </row>
    <row r="599" customFormat="false" ht="39" hidden="false" customHeight="true" outlineLevel="0" collapsed="false">
      <c r="A599" s="15" t="s">
        <v>2905</v>
      </c>
      <c r="B599" s="15" t="s">
        <v>312</v>
      </c>
      <c r="C599" s="15" t="s">
        <v>424</v>
      </c>
      <c r="D599" s="15" t="s">
        <v>2349</v>
      </c>
      <c r="E599" s="15" t="s">
        <v>2106</v>
      </c>
      <c r="F599" s="15" t="s">
        <v>2190</v>
      </c>
      <c r="G599" s="15" t="s">
        <v>2350</v>
      </c>
      <c r="H599" s="15" t="s">
        <v>1998</v>
      </c>
      <c r="I599" s="23" t="n">
        <v>3549</v>
      </c>
      <c r="J599" s="15" t="s">
        <v>2191</v>
      </c>
      <c r="K599" s="15" t="s">
        <v>2192</v>
      </c>
      <c r="L599" s="15" t="s">
        <v>2184</v>
      </c>
      <c r="M599" s="15" t="s">
        <v>1478</v>
      </c>
      <c r="N599" s="15" t="s">
        <v>2351</v>
      </c>
    </row>
    <row r="600" customFormat="false" ht="39" hidden="false" customHeight="true" outlineLevel="0" collapsed="false">
      <c r="A600" s="15" t="s">
        <v>2906</v>
      </c>
      <c r="B600" s="15" t="s">
        <v>312</v>
      </c>
      <c r="C600" s="15" t="s">
        <v>424</v>
      </c>
      <c r="D600" s="15" t="s">
        <v>2353</v>
      </c>
      <c r="E600" s="15" t="s">
        <v>2099</v>
      </c>
      <c r="F600" s="15" t="s">
        <v>2190</v>
      </c>
      <c r="G600" s="15" t="s">
        <v>120</v>
      </c>
      <c r="H600" s="15" t="s">
        <v>1988</v>
      </c>
      <c r="I600" s="23" t="n">
        <v>3499</v>
      </c>
      <c r="J600" s="15" t="s">
        <v>2191</v>
      </c>
      <c r="K600" s="15" t="s">
        <v>2192</v>
      </c>
      <c r="L600" s="15" t="s">
        <v>2184</v>
      </c>
      <c r="M600" s="15" t="s">
        <v>1478</v>
      </c>
      <c r="N600" s="15"/>
    </row>
    <row r="601" customFormat="false" ht="39" hidden="false" customHeight="true" outlineLevel="0" collapsed="false">
      <c r="A601" s="15" t="s">
        <v>2907</v>
      </c>
      <c r="B601" s="15" t="s">
        <v>312</v>
      </c>
      <c r="C601" s="15" t="s">
        <v>424</v>
      </c>
      <c r="D601" s="15" t="s">
        <v>2258</v>
      </c>
      <c r="E601" s="15" t="s">
        <v>2106</v>
      </c>
      <c r="F601" s="15" t="s">
        <v>2190</v>
      </c>
      <c r="G601" s="15" t="s">
        <v>120</v>
      </c>
      <c r="H601" s="15" t="s">
        <v>1988</v>
      </c>
      <c r="I601" s="23" t="n">
        <v>3499</v>
      </c>
      <c r="J601" s="15" t="s">
        <v>2191</v>
      </c>
      <c r="K601" s="15" t="s">
        <v>2192</v>
      </c>
      <c r="L601" s="15" t="s">
        <v>2184</v>
      </c>
      <c r="M601" s="15" t="s">
        <v>1478</v>
      </c>
      <c r="N601" s="15"/>
    </row>
    <row r="602" customFormat="false" ht="39" hidden="false" customHeight="true" outlineLevel="0" collapsed="false">
      <c r="A602" s="15" t="s">
        <v>2908</v>
      </c>
      <c r="B602" s="15" t="s">
        <v>312</v>
      </c>
      <c r="C602" s="15" t="s">
        <v>424</v>
      </c>
      <c r="D602" s="15" t="s">
        <v>2256</v>
      </c>
      <c r="E602" s="15" t="s">
        <v>2106</v>
      </c>
      <c r="F602" s="15" t="s">
        <v>2190</v>
      </c>
      <c r="G602" s="15" t="s">
        <v>120</v>
      </c>
      <c r="H602" s="15" t="s">
        <v>1988</v>
      </c>
      <c r="I602" s="23" t="n">
        <v>3499</v>
      </c>
      <c r="J602" s="15" t="s">
        <v>2191</v>
      </c>
      <c r="K602" s="15" t="s">
        <v>2192</v>
      </c>
      <c r="L602" s="15" t="s">
        <v>2184</v>
      </c>
      <c r="M602" s="15" t="s">
        <v>1478</v>
      </c>
      <c r="N602" s="15"/>
    </row>
    <row r="603" customFormat="false" ht="39" hidden="false" customHeight="true" outlineLevel="0" collapsed="false">
      <c r="A603" s="15" t="s">
        <v>2909</v>
      </c>
      <c r="B603" s="15" t="s">
        <v>312</v>
      </c>
      <c r="C603" s="15" t="s">
        <v>424</v>
      </c>
      <c r="D603" s="15" t="s">
        <v>2320</v>
      </c>
      <c r="E603" s="15" t="s">
        <v>2321</v>
      </c>
      <c r="F603" s="15" t="s">
        <v>2190</v>
      </c>
      <c r="G603" s="15" t="s">
        <v>120</v>
      </c>
      <c r="H603" s="15" t="s">
        <v>1988</v>
      </c>
      <c r="I603" s="23" t="n">
        <v>3399</v>
      </c>
      <c r="J603" s="15" t="s">
        <v>2191</v>
      </c>
      <c r="K603" s="15" t="s">
        <v>2192</v>
      </c>
      <c r="L603" s="15" t="s">
        <v>2184</v>
      </c>
      <c r="M603" s="15" t="s">
        <v>1478</v>
      </c>
      <c r="N603" s="15"/>
    </row>
    <row r="604" customFormat="false" ht="39" hidden="false" customHeight="true" outlineLevel="0" collapsed="false">
      <c r="A604" s="15" t="s">
        <v>2910</v>
      </c>
      <c r="B604" s="15" t="s">
        <v>312</v>
      </c>
      <c r="C604" s="15" t="s">
        <v>424</v>
      </c>
      <c r="D604" s="15" t="s">
        <v>2355</v>
      </c>
      <c r="E604" s="15" t="s">
        <v>2047</v>
      </c>
      <c r="F604" s="15" t="s">
        <v>2190</v>
      </c>
      <c r="G604" s="15" t="s">
        <v>120</v>
      </c>
      <c r="H604" s="15" t="s">
        <v>1988</v>
      </c>
      <c r="I604" s="23" t="n">
        <v>3199</v>
      </c>
      <c r="J604" s="15" t="s">
        <v>2191</v>
      </c>
      <c r="K604" s="15" t="s">
        <v>2192</v>
      </c>
      <c r="L604" s="15" t="s">
        <v>2184</v>
      </c>
      <c r="M604" s="15" t="s">
        <v>1478</v>
      </c>
      <c r="N604" s="15"/>
    </row>
    <row r="605" customFormat="false" ht="39" hidden="false" customHeight="true" outlineLevel="0" collapsed="false">
      <c r="A605" s="15" t="s">
        <v>2911</v>
      </c>
      <c r="B605" s="15" t="s">
        <v>312</v>
      </c>
      <c r="C605" s="15" t="s">
        <v>424</v>
      </c>
      <c r="D605" s="15" t="s">
        <v>2912</v>
      </c>
      <c r="E605" s="15" t="s">
        <v>2002</v>
      </c>
      <c r="F605" s="15" t="s">
        <v>2190</v>
      </c>
      <c r="G605" s="15" t="s">
        <v>120</v>
      </c>
      <c r="H605" s="15" t="s">
        <v>1988</v>
      </c>
      <c r="I605" s="23" t="n">
        <v>2999</v>
      </c>
      <c r="J605" s="15" t="s">
        <v>2191</v>
      </c>
      <c r="K605" s="15" t="s">
        <v>2192</v>
      </c>
      <c r="L605" s="15" t="s">
        <v>2184</v>
      </c>
      <c r="M605" s="15" t="s">
        <v>1478</v>
      </c>
      <c r="N605" s="15"/>
    </row>
    <row r="606" customFormat="false" ht="39" hidden="false" customHeight="true" outlineLevel="0" collapsed="false">
      <c r="A606" s="15" t="s">
        <v>2913</v>
      </c>
      <c r="B606" s="15" t="s">
        <v>312</v>
      </c>
      <c r="C606" s="15" t="s">
        <v>424</v>
      </c>
      <c r="D606" s="15" t="s">
        <v>2357</v>
      </c>
      <c r="E606" s="15" t="s">
        <v>2321</v>
      </c>
      <c r="F606" s="15" t="s">
        <v>2190</v>
      </c>
      <c r="G606" s="15" t="s">
        <v>120</v>
      </c>
      <c r="H606" s="15" t="s">
        <v>1988</v>
      </c>
      <c r="I606" s="23" t="n">
        <v>2838</v>
      </c>
      <c r="J606" s="15" t="s">
        <v>2191</v>
      </c>
      <c r="K606" s="15" t="s">
        <v>2192</v>
      </c>
      <c r="L606" s="15" t="s">
        <v>2184</v>
      </c>
      <c r="M606" s="15" t="s">
        <v>1478</v>
      </c>
      <c r="N606" s="15"/>
    </row>
    <row r="607" customFormat="false" ht="39" hidden="false" customHeight="true" outlineLevel="0" collapsed="false">
      <c r="A607" s="15" t="s">
        <v>2914</v>
      </c>
      <c r="B607" s="15" t="s">
        <v>312</v>
      </c>
      <c r="C607" s="15" t="s">
        <v>424</v>
      </c>
      <c r="D607" s="15" t="s">
        <v>2915</v>
      </c>
      <c r="E607" s="15" t="s">
        <v>1986</v>
      </c>
      <c r="F607" s="15" t="s">
        <v>2190</v>
      </c>
      <c r="G607" s="15" t="s">
        <v>120</v>
      </c>
      <c r="H607" s="15" t="s">
        <v>1988</v>
      </c>
      <c r="I607" s="23" t="n">
        <v>2799</v>
      </c>
      <c r="J607" s="15" t="s">
        <v>2191</v>
      </c>
      <c r="K607" s="15" t="s">
        <v>2192</v>
      </c>
      <c r="L607" s="15" t="s">
        <v>2184</v>
      </c>
      <c r="M607" s="15" t="s">
        <v>1478</v>
      </c>
      <c r="N607" s="15"/>
    </row>
    <row r="608" customFormat="false" ht="39" hidden="false" customHeight="true" outlineLevel="0" collapsed="false">
      <c r="A608" s="15" t="s">
        <v>2916</v>
      </c>
      <c r="B608" s="15" t="s">
        <v>312</v>
      </c>
      <c r="C608" s="15" t="s">
        <v>424</v>
      </c>
      <c r="D608" s="15" t="s">
        <v>2917</v>
      </c>
      <c r="E608" s="15" t="s">
        <v>1986</v>
      </c>
      <c r="F608" s="15" t="s">
        <v>2190</v>
      </c>
      <c r="G608" s="15" t="s">
        <v>120</v>
      </c>
      <c r="H608" s="15" t="s">
        <v>1988</v>
      </c>
      <c r="I608" s="23" t="n">
        <v>2799</v>
      </c>
      <c r="J608" s="15" t="s">
        <v>2191</v>
      </c>
      <c r="K608" s="15" t="s">
        <v>2192</v>
      </c>
      <c r="L608" s="15" t="s">
        <v>2184</v>
      </c>
      <c r="M608" s="15" t="s">
        <v>1478</v>
      </c>
      <c r="N608" s="15"/>
    </row>
    <row r="609" customFormat="false" ht="39" hidden="false" customHeight="true" outlineLevel="0" collapsed="false">
      <c r="A609" s="15" t="s">
        <v>2918</v>
      </c>
      <c r="B609" s="15" t="s">
        <v>312</v>
      </c>
      <c r="C609" s="15" t="s">
        <v>424</v>
      </c>
      <c r="D609" s="15" t="s">
        <v>2919</v>
      </c>
      <c r="E609" s="15" t="s">
        <v>1996</v>
      </c>
      <c r="F609" s="15" t="s">
        <v>2190</v>
      </c>
      <c r="G609" s="15" t="s">
        <v>2195</v>
      </c>
      <c r="H609" s="15" t="s">
        <v>2196</v>
      </c>
      <c r="I609" s="23" t="n">
        <v>2793</v>
      </c>
      <c r="J609" s="15" t="s">
        <v>2191</v>
      </c>
      <c r="K609" s="15" t="s">
        <v>2192</v>
      </c>
      <c r="L609" s="15" t="s">
        <v>2184</v>
      </c>
      <c r="M609" s="15" t="s">
        <v>1478</v>
      </c>
      <c r="N609" s="15" t="s">
        <v>2456</v>
      </c>
    </row>
    <row r="610" customFormat="false" ht="39" hidden="false" customHeight="true" outlineLevel="0" collapsed="false">
      <c r="A610" s="15" t="s">
        <v>2920</v>
      </c>
      <c r="B610" s="15" t="s">
        <v>312</v>
      </c>
      <c r="C610" s="15" t="s">
        <v>424</v>
      </c>
      <c r="D610" s="15" t="s">
        <v>2238</v>
      </c>
      <c r="E610" s="15" t="s">
        <v>2027</v>
      </c>
      <c r="F610" s="15" t="s">
        <v>2190</v>
      </c>
      <c r="G610" s="15" t="s">
        <v>120</v>
      </c>
      <c r="H610" s="15" t="s">
        <v>1988</v>
      </c>
      <c r="I610" s="23" t="n">
        <v>2599</v>
      </c>
      <c r="J610" s="15" t="s">
        <v>2191</v>
      </c>
      <c r="K610" s="15" t="s">
        <v>2192</v>
      </c>
      <c r="L610" s="15" t="s">
        <v>2184</v>
      </c>
      <c r="M610" s="15" t="s">
        <v>1478</v>
      </c>
      <c r="N610" s="15"/>
    </row>
    <row r="611" customFormat="false" ht="39" hidden="false" customHeight="true" outlineLevel="0" collapsed="false">
      <c r="A611" s="15" t="s">
        <v>2921</v>
      </c>
      <c r="B611" s="15" t="s">
        <v>312</v>
      </c>
      <c r="C611" s="15" t="s">
        <v>424</v>
      </c>
      <c r="D611" s="15" t="s">
        <v>2359</v>
      </c>
      <c r="E611" s="15" t="s">
        <v>2099</v>
      </c>
      <c r="F611" s="15" t="s">
        <v>2190</v>
      </c>
      <c r="G611" s="15" t="s">
        <v>120</v>
      </c>
      <c r="H611" s="15" t="s">
        <v>1988</v>
      </c>
      <c r="I611" s="23" t="n">
        <v>2599</v>
      </c>
      <c r="J611" s="15" t="s">
        <v>2191</v>
      </c>
      <c r="K611" s="15" t="s">
        <v>2192</v>
      </c>
      <c r="L611" s="15" t="s">
        <v>2184</v>
      </c>
      <c r="M611" s="15" t="s">
        <v>1478</v>
      </c>
      <c r="N611" s="15"/>
    </row>
    <row r="612" customFormat="false" ht="39" hidden="false" customHeight="true" outlineLevel="0" collapsed="false">
      <c r="A612" s="15" t="s">
        <v>2922</v>
      </c>
      <c r="B612" s="15" t="s">
        <v>312</v>
      </c>
      <c r="C612" s="15" t="s">
        <v>424</v>
      </c>
      <c r="D612" s="15" t="s">
        <v>2923</v>
      </c>
      <c r="E612" s="15" t="s">
        <v>2002</v>
      </c>
      <c r="F612" s="15" t="s">
        <v>2190</v>
      </c>
      <c r="G612" s="15" t="s">
        <v>120</v>
      </c>
      <c r="H612" s="15" t="s">
        <v>1988</v>
      </c>
      <c r="I612" s="23" t="n">
        <v>2199</v>
      </c>
      <c r="J612" s="15" t="s">
        <v>2191</v>
      </c>
      <c r="K612" s="15" t="s">
        <v>2192</v>
      </c>
      <c r="L612" s="15" t="s">
        <v>2184</v>
      </c>
      <c r="M612" s="15" t="s">
        <v>1478</v>
      </c>
      <c r="N612" s="15"/>
    </row>
    <row r="613" customFormat="false" ht="39" hidden="false" customHeight="true" outlineLevel="0" collapsed="false">
      <c r="A613" s="15" t="s">
        <v>2924</v>
      </c>
      <c r="B613" s="15" t="s">
        <v>312</v>
      </c>
      <c r="C613" s="15" t="s">
        <v>424</v>
      </c>
      <c r="D613" s="15" t="s">
        <v>2326</v>
      </c>
      <c r="E613" s="15" t="s">
        <v>2321</v>
      </c>
      <c r="F613" s="15" t="s">
        <v>2190</v>
      </c>
      <c r="G613" s="15" t="s">
        <v>120</v>
      </c>
      <c r="H613" s="15" t="s">
        <v>1988</v>
      </c>
      <c r="I613" s="23" t="n">
        <v>2099</v>
      </c>
      <c r="J613" s="15" t="s">
        <v>2191</v>
      </c>
      <c r="K613" s="15" t="s">
        <v>2192</v>
      </c>
      <c r="L613" s="15" t="s">
        <v>2184</v>
      </c>
      <c r="M613" s="15" t="s">
        <v>1478</v>
      </c>
      <c r="N613" s="15"/>
    </row>
    <row r="614" customFormat="false" ht="39" hidden="false" customHeight="true" outlineLevel="0" collapsed="false">
      <c r="A614" s="15" t="s">
        <v>2925</v>
      </c>
      <c r="B614" s="15" t="s">
        <v>312</v>
      </c>
      <c r="C614" s="15" t="s">
        <v>424</v>
      </c>
      <c r="D614" s="15" t="s">
        <v>2926</v>
      </c>
      <c r="E614" s="15" t="s">
        <v>2002</v>
      </c>
      <c r="F614" s="15" t="s">
        <v>2190</v>
      </c>
      <c r="G614" s="15" t="s">
        <v>120</v>
      </c>
      <c r="H614" s="15" t="s">
        <v>1988</v>
      </c>
      <c r="I614" s="23" t="n">
        <v>209894</v>
      </c>
      <c r="J614" s="15" t="s">
        <v>2191</v>
      </c>
      <c r="K614" s="15" t="s">
        <v>2192</v>
      </c>
      <c r="L614" s="15" t="s">
        <v>2184</v>
      </c>
      <c r="M614" s="15" t="s">
        <v>1478</v>
      </c>
      <c r="N614" s="15"/>
    </row>
    <row r="615" customFormat="false" ht="39" hidden="false" customHeight="true" outlineLevel="0" collapsed="false">
      <c r="A615" s="15" t="s">
        <v>2927</v>
      </c>
      <c r="B615" s="15" t="s">
        <v>312</v>
      </c>
      <c r="C615" s="15" t="s">
        <v>424</v>
      </c>
      <c r="D615" s="15" t="s">
        <v>2262</v>
      </c>
      <c r="E615" s="15" t="s">
        <v>2234</v>
      </c>
      <c r="F615" s="15" t="s">
        <v>2190</v>
      </c>
      <c r="G615" s="15" t="s">
        <v>120</v>
      </c>
      <c r="H615" s="15" t="s">
        <v>1988</v>
      </c>
      <c r="I615" s="23" t="n">
        <v>2005</v>
      </c>
      <c r="J615" s="15" t="s">
        <v>2191</v>
      </c>
      <c r="K615" s="15" t="s">
        <v>2192</v>
      </c>
      <c r="L615" s="15" t="s">
        <v>2184</v>
      </c>
      <c r="M615" s="15" t="s">
        <v>1478</v>
      </c>
      <c r="N615" s="15"/>
    </row>
    <row r="616" customFormat="false" ht="39" hidden="false" customHeight="true" outlineLevel="0" collapsed="false">
      <c r="A616" s="15" t="s">
        <v>2928</v>
      </c>
      <c r="B616" s="15" t="s">
        <v>312</v>
      </c>
      <c r="C616" s="15" t="s">
        <v>424</v>
      </c>
      <c r="D616" s="15" t="s">
        <v>2328</v>
      </c>
      <c r="E616" s="15" t="s">
        <v>2321</v>
      </c>
      <c r="F616" s="15" t="s">
        <v>2190</v>
      </c>
      <c r="G616" s="15" t="s">
        <v>120</v>
      </c>
      <c r="H616" s="15" t="s">
        <v>1988</v>
      </c>
      <c r="I616" s="23" t="n">
        <v>1999</v>
      </c>
      <c r="J616" s="15" t="s">
        <v>2191</v>
      </c>
      <c r="K616" s="15" t="s">
        <v>2192</v>
      </c>
      <c r="L616" s="15" t="s">
        <v>2184</v>
      </c>
      <c r="M616" s="15" t="s">
        <v>1478</v>
      </c>
      <c r="N616" s="15"/>
    </row>
    <row r="617" customFormat="false" ht="39" hidden="false" customHeight="true" outlineLevel="0" collapsed="false">
      <c r="A617" s="15" t="s">
        <v>2929</v>
      </c>
      <c r="B617" s="15" t="s">
        <v>312</v>
      </c>
      <c r="C617" s="15" t="s">
        <v>424</v>
      </c>
      <c r="D617" s="15" t="s">
        <v>2213</v>
      </c>
      <c r="E617" s="15" t="s">
        <v>1986</v>
      </c>
      <c r="F617" s="15" t="s">
        <v>2190</v>
      </c>
      <c r="G617" s="15" t="s">
        <v>120</v>
      </c>
      <c r="H617" s="15" t="s">
        <v>1988</v>
      </c>
      <c r="I617" s="23" t="n">
        <v>1899</v>
      </c>
      <c r="J617" s="15" t="s">
        <v>2191</v>
      </c>
      <c r="K617" s="15" t="s">
        <v>2192</v>
      </c>
      <c r="L617" s="15" t="s">
        <v>2184</v>
      </c>
      <c r="M617" s="15" t="s">
        <v>1478</v>
      </c>
      <c r="N617" s="15" t="s">
        <v>2930</v>
      </c>
    </row>
    <row r="618" customFormat="false" ht="39" hidden="false" customHeight="true" outlineLevel="0" collapsed="false">
      <c r="A618" s="15" t="s">
        <v>2931</v>
      </c>
      <c r="B618" s="15" t="s">
        <v>312</v>
      </c>
      <c r="C618" s="15" t="s">
        <v>424</v>
      </c>
      <c r="D618" s="15" t="s">
        <v>2363</v>
      </c>
      <c r="E618" s="15" t="s">
        <v>2234</v>
      </c>
      <c r="F618" s="15" t="s">
        <v>2190</v>
      </c>
      <c r="G618" s="15" t="s">
        <v>120</v>
      </c>
      <c r="H618" s="15" t="s">
        <v>1988</v>
      </c>
      <c r="I618" s="23" t="n">
        <v>1899</v>
      </c>
      <c r="J618" s="15" t="s">
        <v>2191</v>
      </c>
      <c r="K618" s="15" t="s">
        <v>2192</v>
      </c>
      <c r="L618" s="15" t="s">
        <v>2184</v>
      </c>
      <c r="M618" s="15" t="s">
        <v>1478</v>
      </c>
      <c r="N618" s="15"/>
    </row>
    <row r="619" customFormat="false" ht="39" hidden="false" customHeight="true" outlineLevel="0" collapsed="false">
      <c r="A619" s="15" t="s">
        <v>2932</v>
      </c>
      <c r="B619" s="15" t="s">
        <v>312</v>
      </c>
      <c r="C619" s="15" t="s">
        <v>424</v>
      </c>
      <c r="D619" s="15" t="s">
        <v>2933</v>
      </c>
      <c r="E619" s="15" t="s">
        <v>2032</v>
      </c>
      <c r="F619" s="15" t="s">
        <v>2190</v>
      </c>
      <c r="G619" s="15" t="s">
        <v>120</v>
      </c>
      <c r="H619" s="15" t="s">
        <v>1988</v>
      </c>
      <c r="I619" s="23" t="n">
        <v>1829</v>
      </c>
      <c r="J619" s="15" t="s">
        <v>2191</v>
      </c>
      <c r="K619" s="15" t="s">
        <v>2192</v>
      </c>
      <c r="L619" s="15" t="s">
        <v>2184</v>
      </c>
      <c r="M619" s="15" t="s">
        <v>1478</v>
      </c>
      <c r="N619" s="15"/>
    </row>
    <row r="620" customFormat="false" ht="39" hidden="false" customHeight="true" outlineLevel="0" collapsed="false">
      <c r="A620" s="15" t="s">
        <v>2934</v>
      </c>
      <c r="B620" s="15" t="s">
        <v>312</v>
      </c>
      <c r="C620" s="15" t="s">
        <v>424</v>
      </c>
      <c r="D620" s="15" t="s">
        <v>2935</v>
      </c>
      <c r="E620" s="15" t="s">
        <v>2032</v>
      </c>
      <c r="F620" s="15" t="s">
        <v>2190</v>
      </c>
      <c r="G620" s="15" t="s">
        <v>120</v>
      </c>
      <c r="H620" s="15" t="s">
        <v>1988</v>
      </c>
      <c r="I620" s="23" t="n">
        <v>1829</v>
      </c>
      <c r="J620" s="15" t="s">
        <v>2191</v>
      </c>
      <c r="K620" s="15" t="s">
        <v>2192</v>
      </c>
      <c r="L620" s="15" t="s">
        <v>2184</v>
      </c>
      <c r="M620" s="15" t="s">
        <v>1478</v>
      </c>
      <c r="N620" s="15"/>
    </row>
    <row r="621" customFormat="false" ht="39" hidden="false" customHeight="true" outlineLevel="0" collapsed="false">
      <c r="A621" s="15" t="s">
        <v>2936</v>
      </c>
      <c r="B621" s="15" t="s">
        <v>312</v>
      </c>
      <c r="C621" s="15" t="s">
        <v>424</v>
      </c>
      <c r="D621" s="15" t="s">
        <v>2216</v>
      </c>
      <c r="E621" s="15" t="s">
        <v>1986</v>
      </c>
      <c r="F621" s="15" t="s">
        <v>2190</v>
      </c>
      <c r="G621" s="15" t="s">
        <v>120</v>
      </c>
      <c r="H621" s="15" t="s">
        <v>1988</v>
      </c>
      <c r="I621" s="23" t="n">
        <v>1799</v>
      </c>
      <c r="J621" s="15" t="s">
        <v>2191</v>
      </c>
      <c r="K621" s="15" t="s">
        <v>2192</v>
      </c>
      <c r="L621" s="15" t="s">
        <v>2184</v>
      </c>
      <c r="M621" s="15" t="s">
        <v>1478</v>
      </c>
      <c r="N621" s="15" t="s">
        <v>2930</v>
      </c>
    </row>
    <row r="622" customFormat="false" ht="39" hidden="false" customHeight="true" outlineLevel="0" collapsed="false">
      <c r="A622" s="15" t="s">
        <v>2937</v>
      </c>
      <c r="B622" s="15" t="s">
        <v>312</v>
      </c>
      <c r="C622" s="15" t="s">
        <v>424</v>
      </c>
      <c r="D622" s="15" t="s">
        <v>2363</v>
      </c>
      <c r="E622" s="15" t="s">
        <v>2234</v>
      </c>
      <c r="F622" s="15" t="s">
        <v>2190</v>
      </c>
      <c r="G622" s="15" t="s">
        <v>120</v>
      </c>
      <c r="H622" s="15" t="s">
        <v>1988</v>
      </c>
      <c r="I622" s="23" t="n">
        <v>1799</v>
      </c>
      <c r="J622" s="15" t="s">
        <v>2191</v>
      </c>
      <c r="K622" s="15" t="s">
        <v>2192</v>
      </c>
      <c r="L622" s="15" t="s">
        <v>2184</v>
      </c>
      <c r="M622" s="15" t="s">
        <v>1478</v>
      </c>
      <c r="N622" s="15"/>
    </row>
    <row r="623" customFormat="false" ht="39" hidden="false" customHeight="true" outlineLevel="0" collapsed="false">
      <c r="A623" s="15" t="s">
        <v>2938</v>
      </c>
      <c r="B623" s="15" t="s">
        <v>312</v>
      </c>
      <c r="C623" s="15" t="s">
        <v>424</v>
      </c>
      <c r="D623" s="15" t="s">
        <v>2939</v>
      </c>
      <c r="E623" s="15" t="s">
        <v>2002</v>
      </c>
      <c r="F623" s="15" t="s">
        <v>2190</v>
      </c>
      <c r="G623" s="15" t="s">
        <v>120</v>
      </c>
      <c r="H623" s="15" t="s">
        <v>1988</v>
      </c>
      <c r="I623" s="23" t="n">
        <v>1699</v>
      </c>
      <c r="J623" s="15" t="s">
        <v>2191</v>
      </c>
      <c r="K623" s="15" t="s">
        <v>2192</v>
      </c>
      <c r="L623" s="15" t="s">
        <v>2184</v>
      </c>
      <c r="M623" s="15" t="s">
        <v>1478</v>
      </c>
      <c r="N623" s="15"/>
    </row>
    <row r="624" customFormat="false" ht="39" hidden="false" customHeight="true" outlineLevel="0" collapsed="false">
      <c r="A624" s="15" t="s">
        <v>2940</v>
      </c>
      <c r="B624" s="15" t="s">
        <v>312</v>
      </c>
      <c r="C624" s="15" t="s">
        <v>424</v>
      </c>
      <c r="D624" s="15" t="s">
        <v>2268</v>
      </c>
      <c r="E624" s="15" t="s">
        <v>2032</v>
      </c>
      <c r="F624" s="15" t="s">
        <v>2190</v>
      </c>
      <c r="G624" s="15" t="s">
        <v>120</v>
      </c>
      <c r="H624" s="15" t="s">
        <v>1988</v>
      </c>
      <c r="I624" s="23" t="n">
        <v>1499</v>
      </c>
      <c r="J624" s="15" t="s">
        <v>2191</v>
      </c>
      <c r="K624" s="15" t="s">
        <v>2192</v>
      </c>
      <c r="L624" s="15" t="s">
        <v>2184</v>
      </c>
      <c r="M624" s="15" t="s">
        <v>1478</v>
      </c>
      <c r="N624" s="15"/>
    </row>
    <row r="625" customFormat="false" ht="39" hidden="false" customHeight="true" outlineLevel="0" collapsed="false">
      <c r="A625" s="15" t="s">
        <v>2941</v>
      </c>
      <c r="B625" s="15" t="s">
        <v>312</v>
      </c>
      <c r="C625" s="15" t="s">
        <v>424</v>
      </c>
      <c r="D625" s="15" t="s">
        <v>2245</v>
      </c>
      <c r="E625" s="15" t="s">
        <v>2027</v>
      </c>
      <c r="F625" s="15" t="s">
        <v>2190</v>
      </c>
      <c r="G625" s="15" t="s">
        <v>120</v>
      </c>
      <c r="H625" s="15" t="s">
        <v>1988</v>
      </c>
      <c r="I625" s="23" t="n">
        <v>1499</v>
      </c>
      <c r="J625" s="15" t="s">
        <v>2191</v>
      </c>
      <c r="K625" s="15" t="s">
        <v>2192</v>
      </c>
      <c r="L625" s="15" t="s">
        <v>2184</v>
      </c>
      <c r="M625" s="15" t="s">
        <v>1478</v>
      </c>
      <c r="N625" s="15" t="s">
        <v>2870</v>
      </c>
    </row>
    <row r="626" customFormat="false" ht="39" hidden="false" customHeight="true" outlineLevel="0" collapsed="false">
      <c r="A626" s="15" t="s">
        <v>2942</v>
      </c>
      <c r="B626" s="15" t="s">
        <v>312</v>
      </c>
      <c r="C626" s="15" t="s">
        <v>424</v>
      </c>
      <c r="D626" s="15" t="s">
        <v>2943</v>
      </c>
      <c r="E626" s="15" t="s">
        <v>1986</v>
      </c>
      <c r="F626" s="15" t="s">
        <v>2190</v>
      </c>
      <c r="G626" s="15" t="s">
        <v>120</v>
      </c>
      <c r="H626" s="15" t="s">
        <v>1988</v>
      </c>
      <c r="I626" s="23" t="n">
        <v>1499</v>
      </c>
      <c r="J626" s="15" t="s">
        <v>2191</v>
      </c>
      <c r="K626" s="15" t="s">
        <v>2192</v>
      </c>
      <c r="L626" s="15" t="s">
        <v>2184</v>
      </c>
      <c r="M626" s="15" t="s">
        <v>1478</v>
      </c>
      <c r="N626" s="15" t="s">
        <v>2944</v>
      </c>
    </row>
    <row r="627" customFormat="false" ht="39" hidden="false" customHeight="true" outlineLevel="0" collapsed="false">
      <c r="A627" s="15" t="s">
        <v>2945</v>
      </c>
      <c r="B627" s="15" t="s">
        <v>312</v>
      </c>
      <c r="C627" s="15" t="s">
        <v>424</v>
      </c>
      <c r="D627" s="15" t="s">
        <v>2946</v>
      </c>
      <c r="E627" s="15" t="s">
        <v>2032</v>
      </c>
      <c r="F627" s="15" t="s">
        <v>2190</v>
      </c>
      <c r="G627" s="15" t="s">
        <v>120</v>
      </c>
      <c r="H627" s="15" t="s">
        <v>1988</v>
      </c>
      <c r="I627" s="23" t="n">
        <v>1399</v>
      </c>
      <c r="J627" s="15" t="s">
        <v>2191</v>
      </c>
      <c r="K627" s="15" t="s">
        <v>2192</v>
      </c>
      <c r="L627" s="15" t="s">
        <v>2184</v>
      </c>
      <c r="M627" s="15" t="s">
        <v>1478</v>
      </c>
      <c r="N627" s="15"/>
    </row>
    <row r="628" customFormat="false" ht="39" hidden="false" customHeight="true" outlineLevel="0" collapsed="false">
      <c r="A628" s="15" t="s">
        <v>2947</v>
      </c>
      <c r="B628" s="15" t="s">
        <v>312</v>
      </c>
      <c r="C628" s="15" t="s">
        <v>424</v>
      </c>
      <c r="D628" s="15" t="s">
        <v>2948</v>
      </c>
      <c r="E628" s="15" t="s">
        <v>1986</v>
      </c>
      <c r="F628" s="15" t="s">
        <v>2190</v>
      </c>
      <c r="G628" s="15" t="s">
        <v>120</v>
      </c>
      <c r="H628" s="15" t="s">
        <v>1988</v>
      </c>
      <c r="I628" s="23" t="n">
        <v>1299</v>
      </c>
      <c r="J628" s="15" t="s">
        <v>2191</v>
      </c>
      <c r="K628" s="15" t="s">
        <v>2192</v>
      </c>
      <c r="L628" s="15" t="s">
        <v>2184</v>
      </c>
      <c r="M628" s="15" t="s">
        <v>1478</v>
      </c>
      <c r="N628" s="15" t="s">
        <v>2890</v>
      </c>
    </row>
    <row r="629" customFormat="false" ht="39" hidden="false" customHeight="true" outlineLevel="0" collapsed="false">
      <c r="A629" s="15" t="s">
        <v>2949</v>
      </c>
      <c r="B629" s="15" t="s">
        <v>312</v>
      </c>
      <c r="C629" s="15" t="s">
        <v>424</v>
      </c>
      <c r="D629" s="15" t="s">
        <v>2950</v>
      </c>
      <c r="E629" s="15" t="s">
        <v>1986</v>
      </c>
      <c r="F629" s="15" t="s">
        <v>2190</v>
      </c>
      <c r="G629" s="15" t="s">
        <v>120</v>
      </c>
      <c r="H629" s="15" t="s">
        <v>1988</v>
      </c>
      <c r="I629" s="23" t="n">
        <v>1299</v>
      </c>
      <c r="J629" s="15" t="s">
        <v>2191</v>
      </c>
      <c r="K629" s="15" t="s">
        <v>2192</v>
      </c>
      <c r="L629" s="15" t="s">
        <v>2184</v>
      </c>
      <c r="M629" s="15" t="s">
        <v>1478</v>
      </c>
      <c r="N629" s="15"/>
    </row>
    <row r="630" customFormat="false" ht="39" hidden="false" customHeight="true" outlineLevel="0" collapsed="false">
      <c r="A630" s="15" t="s">
        <v>2951</v>
      </c>
      <c r="B630" s="15" t="s">
        <v>312</v>
      </c>
      <c r="C630" s="15" t="s">
        <v>424</v>
      </c>
      <c r="D630" s="15" t="s">
        <v>2952</v>
      </c>
      <c r="E630" s="15" t="s">
        <v>1986</v>
      </c>
      <c r="F630" s="15" t="s">
        <v>2190</v>
      </c>
      <c r="G630" s="15" t="s">
        <v>120</v>
      </c>
      <c r="H630" s="15" t="s">
        <v>1988</v>
      </c>
      <c r="I630" s="23" t="n">
        <v>1199</v>
      </c>
      <c r="J630" s="15" t="s">
        <v>2191</v>
      </c>
      <c r="K630" s="15" t="s">
        <v>2192</v>
      </c>
      <c r="L630" s="15" t="s">
        <v>2184</v>
      </c>
      <c r="M630" s="15" t="s">
        <v>1478</v>
      </c>
      <c r="N630" s="15"/>
    </row>
    <row r="631" customFormat="false" ht="39" hidden="false" customHeight="true" outlineLevel="0" collapsed="false">
      <c r="A631" s="15" t="s">
        <v>2953</v>
      </c>
      <c r="B631" s="15" t="s">
        <v>312</v>
      </c>
      <c r="C631" s="15" t="s">
        <v>424</v>
      </c>
      <c r="D631" s="15" t="s">
        <v>2954</v>
      </c>
      <c r="E631" s="15" t="s">
        <v>2032</v>
      </c>
      <c r="F631" s="15" t="s">
        <v>2190</v>
      </c>
      <c r="G631" s="15" t="s">
        <v>120</v>
      </c>
      <c r="H631" s="15" t="s">
        <v>1988</v>
      </c>
      <c r="I631" s="23" t="n">
        <v>1199</v>
      </c>
      <c r="J631" s="15" t="s">
        <v>2191</v>
      </c>
      <c r="K631" s="15" t="s">
        <v>2192</v>
      </c>
      <c r="L631" s="15" t="s">
        <v>2184</v>
      </c>
      <c r="M631" s="15" t="s">
        <v>1478</v>
      </c>
      <c r="N631" s="15"/>
    </row>
    <row r="632" customFormat="false" ht="39" hidden="false" customHeight="true" outlineLevel="0" collapsed="false">
      <c r="A632" s="15" t="s">
        <v>2955</v>
      </c>
      <c r="B632" s="15" t="s">
        <v>312</v>
      </c>
      <c r="C632" s="15" t="s">
        <v>424</v>
      </c>
      <c r="D632" s="15" t="s">
        <v>2366</v>
      </c>
      <c r="E632" s="15" t="s">
        <v>2099</v>
      </c>
      <c r="F632" s="15" t="s">
        <v>2190</v>
      </c>
      <c r="G632" s="15" t="s">
        <v>120</v>
      </c>
      <c r="H632" s="15" t="s">
        <v>1988</v>
      </c>
      <c r="I632" s="23" t="n">
        <v>1199</v>
      </c>
      <c r="J632" s="15" t="s">
        <v>2191</v>
      </c>
      <c r="K632" s="15" t="s">
        <v>2192</v>
      </c>
      <c r="L632" s="15" t="s">
        <v>2184</v>
      </c>
      <c r="M632" s="15" t="s">
        <v>1478</v>
      </c>
      <c r="N632" s="15"/>
    </row>
    <row r="633" customFormat="false" ht="39" hidden="false" customHeight="true" outlineLevel="0" collapsed="false">
      <c r="A633" s="15" t="s">
        <v>2956</v>
      </c>
      <c r="B633" s="15" t="s">
        <v>312</v>
      </c>
      <c r="C633" s="15" t="s">
        <v>424</v>
      </c>
      <c r="D633" s="15" t="s">
        <v>2366</v>
      </c>
      <c r="E633" s="15" t="s">
        <v>2099</v>
      </c>
      <c r="F633" s="15" t="s">
        <v>2190</v>
      </c>
      <c r="G633" s="15" t="s">
        <v>120</v>
      </c>
      <c r="H633" s="15" t="s">
        <v>1988</v>
      </c>
      <c r="I633" s="23" t="n">
        <v>1063</v>
      </c>
      <c r="J633" s="15" t="s">
        <v>2191</v>
      </c>
      <c r="K633" s="15" t="s">
        <v>2192</v>
      </c>
      <c r="L633" s="15" t="s">
        <v>2184</v>
      </c>
      <c r="M633" s="15" t="s">
        <v>1478</v>
      </c>
      <c r="N633" s="15"/>
    </row>
    <row r="634" customFormat="false" ht="39" hidden="false" customHeight="true" outlineLevel="0" collapsed="false">
      <c r="A634" s="15" t="s">
        <v>2957</v>
      </c>
      <c r="B634" s="15" t="s">
        <v>312</v>
      </c>
      <c r="C634" s="15" t="s">
        <v>424</v>
      </c>
      <c r="D634" s="15" t="s">
        <v>2369</v>
      </c>
      <c r="E634" s="15" t="s">
        <v>2234</v>
      </c>
      <c r="F634" s="15" t="s">
        <v>2190</v>
      </c>
      <c r="G634" s="15" t="s">
        <v>120</v>
      </c>
      <c r="H634" s="15" t="s">
        <v>1988</v>
      </c>
      <c r="I634" s="23" t="n">
        <v>999</v>
      </c>
      <c r="J634" s="15" t="s">
        <v>2191</v>
      </c>
      <c r="K634" s="15" t="s">
        <v>2192</v>
      </c>
      <c r="L634" s="15" t="s">
        <v>2184</v>
      </c>
      <c r="M634" s="15" t="s">
        <v>1478</v>
      </c>
      <c r="N634" s="15"/>
    </row>
    <row r="635" customFormat="false" ht="39" hidden="false" customHeight="true" outlineLevel="0" collapsed="false">
      <c r="A635" s="15" t="s">
        <v>2958</v>
      </c>
      <c r="B635" s="15" t="s">
        <v>312</v>
      </c>
      <c r="C635" s="15" t="s">
        <v>424</v>
      </c>
      <c r="D635" s="15" t="s">
        <v>2298</v>
      </c>
      <c r="E635" s="15" t="s">
        <v>2234</v>
      </c>
      <c r="F635" s="15" t="s">
        <v>2190</v>
      </c>
      <c r="G635" s="15" t="s">
        <v>120</v>
      </c>
      <c r="H635" s="15" t="s">
        <v>1988</v>
      </c>
      <c r="I635" s="23" t="n">
        <v>999</v>
      </c>
      <c r="J635" s="15" t="s">
        <v>2191</v>
      </c>
      <c r="K635" s="15" t="s">
        <v>2192</v>
      </c>
      <c r="L635" s="15" t="s">
        <v>2184</v>
      </c>
      <c r="M635" s="15" t="s">
        <v>1478</v>
      </c>
      <c r="N635" s="15"/>
    </row>
    <row r="636" customFormat="false" ht="39" hidden="false" customHeight="true" outlineLevel="0" collapsed="false">
      <c r="A636" s="15" t="s">
        <v>2959</v>
      </c>
      <c r="B636" s="15" t="s">
        <v>312</v>
      </c>
      <c r="C636" s="15" t="s">
        <v>424</v>
      </c>
      <c r="D636" s="15" t="s">
        <v>2960</v>
      </c>
      <c r="E636" s="15" t="s">
        <v>2117</v>
      </c>
      <c r="F636" s="15" t="s">
        <v>2190</v>
      </c>
      <c r="G636" s="15" t="s">
        <v>120</v>
      </c>
      <c r="H636" s="15" t="s">
        <v>1988</v>
      </c>
      <c r="I636" s="23" t="n">
        <v>999</v>
      </c>
      <c r="J636" s="15" t="s">
        <v>2191</v>
      </c>
      <c r="K636" s="15" t="s">
        <v>2192</v>
      </c>
      <c r="L636" s="15" t="s">
        <v>2184</v>
      </c>
      <c r="M636" s="15" t="s">
        <v>1478</v>
      </c>
      <c r="N636" s="15"/>
    </row>
    <row r="637" customFormat="false" ht="39" hidden="false" customHeight="true" outlineLevel="0" collapsed="false">
      <c r="A637" s="15" t="s">
        <v>2961</v>
      </c>
      <c r="B637" s="15" t="s">
        <v>312</v>
      </c>
      <c r="C637" s="15" t="s">
        <v>424</v>
      </c>
      <c r="D637" s="15" t="s">
        <v>2375</v>
      </c>
      <c r="E637" s="15" t="s">
        <v>2234</v>
      </c>
      <c r="F637" s="15" t="s">
        <v>2190</v>
      </c>
      <c r="G637" s="15" t="s">
        <v>120</v>
      </c>
      <c r="H637" s="15" t="s">
        <v>1988</v>
      </c>
      <c r="I637" s="23" t="n">
        <v>799</v>
      </c>
      <c r="J637" s="15" t="s">
        <v>2191</v>
      </c>
      <c r="K637" s="15" t="s">
        <v>2192</v>
      </c>
      <c r="L637" s="15" t="s">
        <v>2184</v>
      </c>
      <c r="M637" s="15" t="s">
        <v>1478</v>
      </c>
      <c r="N637" s="15"/>
    </row>
    <row r="638" customFormat="false" ht="39" hidden="false" customHeight="true" outlineLevel="0" collapsed="false">
      <c r="A638" s="15" t="s">
        <v>2962</v>
      </c>
      <c r="B638" s="15" t="s">
        <v>312</v>
      </c>
      <c r="C638" s="15" t="s">
        <v>424</v>
      </c>
      <c r="D638" s="15" t="s">
        <v>2373</v>
      </c>
      <c r="E638" s="15" t="s">
        <v>2047</v>
      </c>
      <c r="F638" s="15" t="s">
        <v>2190</v>
      </c>
      <c r="G638" s="15" t="s">
        <v>120</v>
      </c>
      <c r="H638" s="15" t="s">
        <v>1988</v>
      </c>
      <c r="I638" s="23" t="n">
        <v>799</v>
      </c>
      <c r="J638" s="15" t="s">
        <v>2191</v>
      </c>
      <c r="K638" s="15" t="s">
        <v>2192</v>
      </c>
      <c r="L638" s="15" t="s">
        <v>2184</v>
      </c>
      <c r="M638" s="15" t="s">
        <v>1478</v>
      </c>
      <c r="N638" s="15"/>
    </row>
    <row r="639" customFormat="false" ht="39" hidden="false" customHeight="true" outlineLevel="0" collapsed="false">
      <c r="A639" s="15" t="s">
        <v>2963</v>
      </c>
      <c r="B639" s="15" t="s">
        <v>312</v>
      </c>
      <c r="C639" s="15" t="s">
        <v>424</v>
      </c>
      <c r="D639" s="15" t="s">
        <v>2371</v>
      </c>
      <c r="E639" s="15" t="s">
        <v>2032</v>
      </c>
      <c r="F639" s="15" t="s">
        <v>2190</v>
      </c>
      <c r="G639" s="15" t="s">
        <v>120</v>
      </c>
      <c r="H639" s="15" t="s">
        <v>1988</v>
      </c>
      <c r="I639" s="23" t="n">
        <v>799</v>
      </c>
      <c r="J639" s="15" t="s">
        <v>2191</v>
      </c>
      <c r="K639" s="15" t="s">
        <v>2192</v>
      </c>
      <c r="L639" s="15" t="s">
        <v>2184</v>
      </c>
      <c r="M639" s="15" t="s">
        <v>1478</v>
      </c>
      <c r="N639" s="15"/>
    </row>
    <row r="640" customFormat="false" ht="39" hidden="false" customHeight="true" outlineLevel="0" collapsed="false">
      <c r="A640" s="15" t="s">
        <v>2964</v>
      </c>
      <c r="B640" s="15" t="s">
        <v>312</v>
      </c>
      <c r="C640" s="15" t="s">
        <v>424</v>
      </c>
      <c r="D640" s="15" t="s">
        <v>2377</v>
      </c>
      <c r="E640" s="15" t="s">
        <v>2234</v>
      </c>
      <c r="F640" s="15" t="s">
        <v>2190</v>
      </c>
      <c r="G640" s="15" t="s">
        <v>120</v>
      </c>
      <c r="H640" s="15" t="s">
        <v>1988</v>
      </c>
      <c r="I640" s="23" t="n">
        <v>752</v>
      </c>
      <c r="J640" s="15" t="s">
        <v>2191</v>
      </c>
      <c r="K640" s="15" t="s">
        <v>2192</v>
      </c>
      <c r="L640" s="15" t="s">
        <v>2184</v>
      </c>
      <c r="M640" s="15" t="s">
        <v>1478</v>
      </c>
      <c r="N640" s="15"/>
    </row>
    <row r="641" customFormat="false" ht="39" hidden="false" customHeight="true" outlineLevel="0" collapsed="false">
      <c r="A641" s="15" t="s">
        <v>2965</v>
      </c>
      <c r="B641" s="15" t="s">
        <v>312</v>
      </c>
      <c r="C641" s="15" t="s">
        <v>424</v>
      </c>
      <c r="D641" s="15" t="s">
        <v>2379</v>
      </c>
      <c r="E641" s="15" t="s">
        <v>2234</v>
      </c>
      <c r="F641" s="15" t="s">
        <v>2190</v>
      </c>
      <c r="G641" s="15" t="s">
        <v>120</v>
      </c>
      <c r="H641" s="15" t="s">
        <v>1988</v>
      </c>
      <c r="I641" s="23" t="n">
        <v>752</v>
      </c>
      <c r="J641" s="15" t="s">
        <v>2191</v>
      </c>
      <c r="K641" s="15" t="s">
        <v>2192</v>
      </c>
      <c r="L641" s="15" t="s">
        <v>2184</v>
      </c>
      <c r="M641" s="15" t="s">
        <v>1478</v>
      </c>
      <c r="N641" s="15"/>
    </row>
    <row r="642" customFormat="false" ht="39" hidden="false" customHeight="true" outlineLevel="0" collapsed="false">
      <c r="A642" s="15" t="s">
        <v>2966</v>
      </c>
      <c r="B642" s="15" t="s">
        <v>312</v>
      </c>
      <c r="C642" s="15" t="s">
        <v>424</v>
      </c>
      <c r="D642" s="15" t="s">
        <v>2381</v>
      </c>
      <c r="E642" s="15" t="s">
        <v>2234</v>
      </c>
      <c r="F642" s="15" t="s">
        <v>2190</v>
      </c>
      <c r="G642" s="15" t="s">
        <v>120</v>
      </c>
      <c r="H642" s="15" t="s">
        <v>1988</v>
      </c>
      <c r="I642" s="23" t="n">
        <v>739</v>
      </c>
      <c r="J642" s="15" t="s">
        <v>2191</v>
      </c>
      <c r="K642" s="15" t="s">
        <v>2192</v>
      </c>
      <c r="L642" s="15" t="s">
        <v>2184</v>
      </c>
      <c r="M642" s="15" t="s">
        <v>1478</v>
      </c>
      <c r="N642" s="15"/>
    </row>
    <row r="643" customFormat="false" ht="39" hidden="false" customHeight="true" outlineLevel="0" collapsed="false">
      <c r="A643" s="15" t="s">
        <v>2967</v>
      </c>
      <c r="B643" s="15" t="s">
        <v>312</v>
      </c>
      <c r="C643" s="15" t="s">
        <v>424</v>
      </c>
      <c r="D643" s="15" t="s">
        <v>2302</v>
      </c>
      <c r="E643" s="15" t="s">
        <v>2234</v>
      </c>
      <c r="F643" s="15" t="s">
        <v>2190</v>
      </c>
      <c r="G643" s="15" t="s">
        <v>120</v>
      </c>
      <c r="H643" s="15" t="s">
        <v>1988</v>
      </c>
      <c r="I643" s="23" t="n">
        <v>699</v>
      </c>
      <c r="J643" s="15" t="s">
        <v>2191</v>
      </c>
      <c r="K643" s="15" t="s">
        <v>2192</v>
      </c>
      <c r="L643" s="15" t="s">
        <v>2184</v>
      </c>
      <c r="M643" s="15" t="s">
        <v>1478</v>
      </c>
      <c r="N643" s="15" t="s">
        <v>2870</v>
      </c>
    </row>
    <row r="644" customFormat="false" ht="39" hidden="false" customHeight="true" outlineLevel="0" collapsed="false">
      <c r="A644" s="15" t="s">
        <v>2968</v>
      </c>
      <c r="B644" s="15" t="s">
        <v>312</v>
      </c>
      <c r="C644" s="15" t="s">
        <v>424</v>
      </c>
      <c r="D644" s="15" t="s">
        <v>2969</v>
      </c>
      <c r="E644" s="15" t="s">
        <v>2002</v>
      </c>
      <c r="F644" s="15" t="s">
        <v>2190</v>
      </c>
      <c r="G644" s="15" t="s">
        <v>120</v>
      </c>
      <c r="H644" s="15" t="s">
        <v>1988</v>
      </c>
      <c r="I644" s="23" t="n">
        <v>699</v>
      </c>
      <c r="J644" s="15" t="s">
        <v>2191</v>
      </c>
      <c r="K644" s="15" t="s">
        <v>2192</v>
      </c>
      <c r="L644" s="15" t="s">
        <v>2184</v>
      </c>
      <c r="M644" s="15" t="s">
        <v>1478</v>
      </c>
      <c r="N644" s="15"/>
    </row>
    <row r="645" customFormat="false" ht="39" hidden="false" customHeight="true" outlineLevel="0" collapsed="false">
      <c r="A645" s="15" t="s">
        <v>2970</v>
      </c>
      <c r="B645" s="15" t="s">
        <v>312</v>
      </c>
      <c r="C645" s="15" t="s">
        <v>424</v>
      </c>
      <c r="D645" s="15" t="s">
        <v>2306</v>
      </c>
      <c r="E645" s="15" t="s">
        <v>2234</v>
      </c>
      <c r="F645" s="15" t="s">
        <v>2190</v>
      </c>
      <c r="G645" s="15" t="s">
        <v>120</v>
      </c>
      <c r="H645" s="15" t="s">
        <v>1988</v>
      </c>
      <c r="I645" s="23" t="n">
        <v>669</v>
      </c>
      <c r="J645" s="15" t="s">
        <v>2191</v>
      </c>
      <c r="K645" s="15" t="s">
        <v>2192</v>
      </c>
      <c r="L645" s="15" t="s">
        <v>2184</v>
      </c>
      <c r="M645" s="15" t="s">
        <v>1478</v>
      </c>
      <c r="N645" s="15"/>
    </row>
    <row r="646" customFormat="false" ht="39" hidden="false" customHeight="true" outlineLevel="0" collapsed="false">
      <c r="A646" s="15" t="s">
        <v>2971</v>
      </c>
      <c r="B646" s="15" t="s">
        <v>312</v>
      </c>
      <c r="C646" s="15" t="s">
        <v>424</v>
      </c>
      <c r="D646" s="15" t="s">
        <v>2383</v>
      </c>
      <c r="E646" s="15" t="s">
        <v>2234</v>
      </c>
      <c r="F646" s="15" t="s">
        <v>2190</v>
      </c>
      <c r="G646" s="15" t="s">
        <v>120</v>
      </c>
      <c r="H646" s="15" t="s">
        <v>1988</v>
      </c>
      <c r="I646" s="23" t="n">
        <v>659</v>
      </c>
      <c r="J646" s="15" t="s">
        <v>2191</v>
      </c>
      <c r="K646" s="15" t="s">
        <v>2192</v>
      </c>
      <c r="L646" s="15" t="s">
        <v>2184</v>
      </c>
      <c r="M646" s="15" t="s">
        <v>1478</v>
      </c>
      <c r="N646" s="15"/>
    </row>
    <row r="647" customFormat="false" ht="39" hidden="false" customHeight="true" outlineLevel="0" collapsed="false">
      <c r="A647" s="15" t="s">
        <v>2972</v>
      </c>
      <c r="B647" s="15" t="s">
        <v>312</v>
      </c>
      <c r="C647" s="15" t="s">
        <v>424</v>
      </c>
      <c r="D647" s="15" t="s">
        <v>2250</v>
      </c>
      <c r="E647" s="15" t="s">
        <v>2002</v>
      </c>
      <c r="F647" s="15" t="s">
        <v>2190</v>
      </c>
      <c r="G647" s="15" t="s">
        <v>120</v>
      </c>
      <c r="H647" s="15" t="s">
        <v>1988</v>
      </c>
      <c r="I647" s="23" t="n">
        <v>649</v>
      </c>
      <c r="J647" s="15" t="s">
        <v>2191</v>
      </c>
      <c r="K647" s="15" t="s">
        <v>2192</v>
      </c>
      <c r="L647" s="15" t="s">
        <v>2184</v>
      </c>
      <c r="M647" s="15" t="s">
        <v>1478</v>
      </c>
      <c r="N647" s="15"/>
    </row>
    <row r="648" customFormat="false" ht="39" hidden="false" customHeight="true" outlineLevel="0" collapsed="false">
      <c r="A648" s="15" t="s">
        <v>2973</v>
      </c>
      <c r="B648" s="15" t="s">
        <v>312</v>
      </c>
      <c r="C648" s="15" t="s">
        <v>424</v>
      </c>
      <c r="D648" s="15" t="s">
        <v>2252</v>
      </c>
      <c r="E648" s="15" t="s">
        <v>2027</v>
      </c>
      <c r="F648" s="15" t="s">
        <v>2190</v>
      </c>
      <c r="G648" s="15" t="s">
        <v>120</v>
      </c>
      <c r="H648" s="15" t="s">
        <v>1988</v>
      </c>
      <c r="I648" s="23" t="n">
        <v>599</v>
      </c>
      <c r="J648" s="15" t="s">
        <v>2191</v>
      </c>
      <c r="K648" s="15" t="s">
        <v>2192</v>
      </c>
      <c r="L648" s="15" t="s">
        <v>2184</v>
      </c>
      <c r="M648" s="15" t="s">
        <v>1478</v>
      </c>
      <c r="N648" s="15"/>
    </row>
    <row r="649" customFormat="false" ht="39" hidden="false" customHeight="true" outlineLevel="0" collapsed="false">
      <c r="A649" s="15" t="s">
        <v>2974</v>
      </c>
      <c r="B649" s="15" t="s">
        <v>312</v>
      </c>
      <c r="C649" s="15" t="s">
        <v>424</v>
      </c>
      <c r="D649" s="15" t="s">
        <v>2308</v>
      </c>
      <c r="E649" s="15" t="s">
        <v>2002</v>
      </c>
      <c r="F649" s="15" t="s">
        <v>2190</v>
      </c>
      <c r="G649" s="15" t="s">
        <v>120</v>
      </c>
      <c r="H649" s="15" t="s">
        <v>1988</v>
      </c>
      <c r="I649" s="23" t="n">
        <v>599</v>
      </c>
      <c r="J649" s="15" t="s">
        <v>2191</v>
      </c>
      <c r="K649" s="15" t="s">
        <v>2192</v>
      </c>
      <c r="L649" s="15" t="s">
        <v>2184</v>
      </c>
      <c r="M649" s="15" t="s">
        <v>1478</v>
      </c>
      <c r="N649" s="15"/>
    </row>
    <row r="650" customFormat="false" ht="39" hidden="false" customHeight="true" outlineLevel="0" collapsed="false">
      <c r="A650" s="15" t="s">
        <v>2975</v>
      </c>
      <c r="B650" s="15" t="s">
        <v>312</v>
      </c>
      <c r="C650" s="15" t="s">
        <v>424</v>
      </c>
      <c r="D650" s="15" t="s">
        <v>2385</v>
      </c>
      <c r="E650" s="15" t="s">
        <v>2047</v>
      </c>
      <c r="F650" s="15" t="s">
        <v>2190</v>
      </c>
      <c r="G650" s="15" t="s">
        <v>120</v>
      </c>
      <c r="H650" s="15" t="s">
        <v>1988</v>
      </c>
      <c r="I650" s="23" t="n">
        <v>579</v>
      </c>
      <c r="J650" s="15" t="s">
        <v>2191</v>
      </c>
      <c r="K650" s="15" t="s">
        <v>2192</v>
      </c>
      <c r="L650" s="15" t="s">
        <v>2184</v>
      </c>
      <c r="M650" s="15" t="s">
        <v>1478</v>
      </c>
      <c r="N650" s="15"/>
    </row>
    <row r="651" customFormat="false" ht="39" hidden="false" customHeight="true" outlineLevel="0" collapsed="false">
      <c r="A651" s="15" t="s">
        <v>2976</v>
      </c>
      <c r="B651" s="15" t="s">
        <v>312</v>
      </c>
      <c r="C651" s="15" t="s">
        <v>424</v>
      </c>
      <c r="D651" s="15" t="s">
        <v>2312</v>
      </c>
      <c r="E651" s="15" t="s">
        <v>2002</v>
      </c>
      <c r="F651" s="15" t="s">
        <v>2190</v>
      </c>
      <c r="G651" s="15" t="s">
        <v>120</v>
      </c>
      <c r="H651" s="15" t="s">
        <v>1988</v>
      </c>
      <c r="I651" s="23" t="n">
        <v>549</v>
      </c>
      <c r="J651" s="15" t="s">
        <v>2191</v>
      </c>
      <c r="K651" s="15" t="s">
        <v>2192</v>
      </c>
      <c r="L651" s="15" t="s">
        <v>2184</v>
      </c>
      <c r="M651" s="15" t="s">
        <v>1478</v>
      </c>
      <c r="N651" s="15"/>
    </row>
    <row r="652" customFormat="false" ht="39" hidden="false" customHeight="true" outlineLevel="0" collapsed="false">
      <c r="A652" s="15" t="s">
        <v>2977</v>
      </c>
      <c r="B652" s="15" t="s">
        <v>312</v>
      </c>
      <c r="C652" s="15" t="s">
        <v>424</v>
      </c>
      <c r="D652" s="15" t="s">
        <v>2310</v>
      </c>
      <c r="E652" s="15" t="s">
        <v>2002</v>
      </c>
      <c r="F652" s="15" t="s">
        <v>2190</v>
      </c>
      <c r="G652" s="15" t="s">
        <v>120</v>
      </c>
      <c r="H652" s="15" t="s">
        <v>1988</v>
      </c>
      <c r="I652" s="23" t="n">
        <v>549</v>
      </c>
      <c r="J652" s="15" t="s">
        <v>2191</v>
      </c>
      <c r="K652" s="15" t="s">
        <v>2192</v>
      </c>
      <c r="L652" s="15" t="s">
        <v>2184</v>
      </c>
      <c r="M652" s="15" t="s">
        <v>1478</v>
      </c>
      <c r="N652" s="15"/>
    </row>
    <row r="653" customFormat="false" ht="39" hidden="false" customHeight="true" outlineLevel="0" collapsed="false">
      <c r="A653" s="15" t="s">
        <v>2978</v>
      </c>
      <c r="B653" s="15" t="s">
        <v>312</v>
      </c>
      <c r="C653" s="15" t="s">
        <v>424</v>
      </c>
      <c r="D653" s="15" t="s">
        <v>2387</v>
      </c>
      <c r="E653" s="15" t="s">
        <v>2234</v>
      </c>
      <c r="F653" s="15" t="s">
        <v>2190</v>
      </c>
      <c r="G653" s="15" t="s">
        <v>120</v>
      </c>
      <c r="H653" s="15" t="s">
        <v>1988</v>
      </c>
      <c r="I653" s="23" t="n">
        <v>549</v>
      </c>
      <c r="J653" s="15" t="s">
        <v>2191</v>
      </c>
      <c r="K653" s="15" t="s">
        <v>2192</v>
      </c>
      <c r="L653" s="15" t="s">
        <v>2184</v>
      </c>
      <c r="M653" s="15" t="s">
        <v>1478</v>
      </c>
      <c r="N653" s="15"/>
    </row>
    <row r="654" customFormat="false" ht="39" hidden="false" customHeight="true" outlineLevel="0" collapsed="false">
      <c r="A654" s="15" t="s">
        <v>2979</v>
      </c>
      <c r="B654" s="15" t="s">
        <v>312</v>
      </c>
      <c r="C654" s="15" t="s">
        <v>424</v>
      </c>
      <c r="D654" s="15" t="s">
        <v>2389</v>
      </c>
      <c r="E654" s="15" t="s">
        <v>2234</v>
      </c>
      <c r="F654" s="15" t="s">
        <v>2190</v>
      </c>
      <c r="G654" s="15" t="s">
        <v>120</v>
      </c>
      <c r="H654" s="15" t="s">
        <v>1988</v>
      </c>
      <c r="I654" s="23" t="n">
        <v>499</v>
      </c>
      <c r="J654" s="15" t="s">
        <v>2191</v>
      </c>
      <c r="K654" s="15" t="s">
        <v>2192</v>
      </c>
      <c r="L654" s="15" t="s">
        <v>2184</v>
      </c>
      <c r="M654" s="15" t="s">
        <v>1478</v>
      </c>
      <c r="N654" s="15"/>
    </row>
    <row r="655" customFormat="false" ht="39" hidden="false" customHeight="true" outlineLevel="0" collapsed="false">
      <c r="A655" s="15" t="s">
        <v>2980</v>
      </c>
      <c r="B655" s="15" t="s">
        <v>312</v>
      </c>
      <c r="C655" s="15" t="s">
        <v>424</v>
      </c>
      <c r="D655" s="15" t="s">
        <v>2272</v>
      </c>
      <c r="E655" s="15" t="s">
        <v>2002</v>
      </c>
      <c r="F655" s="15" t="s">
        <v>2190</v>
      </c>
      <c r="G655" s="15" t="s">
        <v>120</v>
      </c>
      <c r="H655" s="15" t="s">
        <v>1988</v>
      </c>
      <c r="I655" s="23" t="n">
        <v>499</v>
      </c>
      <c r="J655" s="15" t="s">
        <v>2191</v>
      </c>
      <c r="K655" s="15" t="s">
        <v>2192</v>
      </c>
      <c r="L655" s="15" t="s">
        <v>2184</v>
      </c>
      <c r="M655" s="15" t="s">
        <v>1478</v>
      </c>
      <c r="N655" s="15"/>
    </row>
    <row r="656" customFormat="false" ht="39" hidden="false" customHeight="true" outlineLevel="0" collapsed="false">
      <c r="A656" s="15" t="s">
        <v>2981</v>
      </c>
      <c r="B656" s="15" t="s">
        <v>312</v>
      </c>
      <c r="C656" s="15" t="s">
        <v>424</v>
      </c>
      <c r="D656" s="15" t="s">
        <v>2250</v>
      </c>
      <c r="E656" s="15" t="s">
        <v>2002</v>
      </c>
      <c r="F656" s="15" t="s">
        <v>2190</v>
      </c>
      <c r="G656" s="15" t="s">
        <v>120</v>
      </c>
      <c r="H656" s="15" t="s">
        <v>1988</v>
      </c>
      <c r="I656" s="23" t="n">
        <v>461</v>
      </c>
      <c r="J656" s="15" t="s">
        <v>2191</v>
      </c>
      <c r="K656" s="15" t="s">
        <v>2192</v>
      </c>
      <c r="L656" s="15" t="s">
        <v>2184</v>
      </c>
      <c r="M656" s="15" t="s">
        <v>1478</v>
      </c>
      <c r="N656" s="15"/>
    </row>
    <row r="657" customFormat="false" ht="39" hidden="false" customHeight="true" outlineLevel="0" collapsed="false">
      <c r="A657" s="15" t="s">
        <v>2982</v>
      </c>
      <c r="B657" s="15" t="s">
        <v>312</v>
      </c>
      <c r="C657" s="15" t="s">
        <v>424</v>
      </c>
      <c r="D657" s="15" t="s">
        <v>2274</v>
      </c>
      <c r="E657" s="15" t="s">
        <v>2002</v>
      </c>
      <c r="F657" s="15" t="s">
        <v>2190</v>
      </c>
      <c r="G657" s="15" t="s">
        <v>120</v>
      </c>
      <c r="H657" s="15" t="s">
        <v>1988</v>
      </c>
      <c r="I657" s="23" t="n">
        <v>449</v>
      </c>
      <c r="J657" s="15" t="s">
        <v>2191</v>
      </c>
      <c r="K657" s="15" t="s">
        <v>2192</v>
      </c>
      <c r="L657" s="15" t="s">
        <v>2184</v>
      </c>
      <c r="M657" s="15" t="s">
        <v>1478</v>
      </c>
      <c r="N657" s="15"/>
    </row>
    <row r="658" customFormat="false" ht="39" hidden="false" customHeight="true" outlineLevel="0" collapsed="false">
      <c r="A658" s="15" t="s">
        <v>2983</v>
      </c>
      <c r="B658" s="15" t="s">
        <v>312</v>
      </c>
      <c r="C658" s="15" t="s">
        <v>424</v>
      </c>
      <c r="D658" s="15" t="s">
        <v>2391</v>
      </c>
      <c r="E658" s="15" t="s">
        <v>2234</v>
      </c>
      <c r="F658" s="15" t="s">
        <v>2190</v>
      </c>
      <c r="G658" s="15" t="s">
        <v>120</v>
      </c>
      <c r="H658" s="15" t="s">
        <v>1988</v>
      </c>
      <c r="I658" s="23" t="n">
        <v>444</v>
      </c>
      <c r="J658" s="15" t="s">
        <v>2191</v>
      </c>
      <c r="K658" s="15" t="s">
        <v>2192</v>
      </c>
      <c r="L658" s="15" t="s">
        <v>2184</v>
      </c>
      <c r="M658" s="15" t="s">
        <v>1478</v>
      </c>
      <c r="N658" s="15"/>
    </row>
    <row r="659" customFormat="false" ht="39" hidden="false" customHeight="true" outlineLevel="0" collapsed="false">
      <c r="A659" s="15" t="s">
        <v>2984</v>
      </c>
      <c r="B659" s="15" t="s">
        <v>312</v>
      </c>
      <c r="C659" s="15" t="s">
        <v>424</v>
      </c>
      <c r="D659" s="15" t="s">
        <v>2314</v>
      </c>
      <c r="E659" s="15" t="s">
        <v>2234</v>
      </c>
      <c r="F659" s="15" t="s">
        <v>2190</v>
      </c>
      <c r="G659" s="15" t="s">
        <v>120</v>
      </c>
      <c r="H659" s="15" t="s">
        <v>1988</v>
      </c>
      <c r="I659" s="23" t="n">
        <v>439</v>
      </c>
      <c r="J659" s="15" t="s">
        <v>2191</v>
      </c>
      <c r="K659" s="15" t="s">
        <v>2192</v>
      </c>
      <c r="L659" s="15" t="s">
        <v>2184</v>
      </c>
      <c r="M659" s="15" t="s">
        <v>1478</v>
      </c>
      <c r="N659" s="15"/>
    </row>
    <row r="660" customFormat="false" ht="39" hidden="false" customHeight="true" outlineLevel="0" collapsed="false">
      <c r="A660" s="15" t="s">
        <v>2985</v>
      </c>
      <c r="B660" s="15" t="s">
        <v>312</v>
      </c>
      <c r="C660" s="15" t="s">
        <v>424</v>
      </c>
      <c r="D660" s="15" t="s">
        <v>2393</v>
      </c>
      <c r="E660" s="15" t="s">
        <v>2234</v>
      </c>
      <c r="F660" s="15" t="s">
        <v>2190</v>
      </c>
      <c r="G660" s="15" t="s">
        <v>120</v>
      </c>
      <c r="H660" s="15" t="s">
        <v>1988</v>
      </c>
      <c r="I660" s="23" t="n">
        <v>431</v>
      </c>
      <c r="J660" s="15" t="s">
        <v>2191</v>
      </c>
      <c r="K660" s="15" t="s">
        <v>2192</v>
      </c>
      <c r="L660" s="15" t="s">
        <v>2184</v>
      </c>
      <c r="M660" s="15" t="s">
        <v>1478</v>
      </c>
      <c r="N660" s="15"/>
    </row>
    <row r="661" customFormat="false" ht="39" hidden="false" customHeight="true" outlineLevel="0" collapsed="false">
      <c r="A661" s="15" t="s">
        <v>2986</v>
      </c>
      <c r="B661" s="15" t="s">
        <v>312</v>
      </c>
      <c r="C661" s="15" t="s">
        <v>424</v>
      </c>
      <c r="D661" s="15" t="s">
        <v>2395</v>
      </c>
      <c r="E661" s="15" t="s">
        <v>2234</v>
      </c>
      <c r="F661" s="15" t="s">
        <v>2190</v>
      </c>
      <c r="G661" s="15" t="s">
        <v>120</v>
      </c>
      <c r="H661" s="15" t="s">
        <v>1988</v>
      </c>
      <c r="I661" s="23" t="n">
        <v>419</v>
      </c>
      <c r="J661" s="15" t="s">
        <v>2191</v>
      </c>
      <c r="K661" s="15" t="s">
        <v>2192</v>
      </c>
      <c r="L661" s="15" t="s">
        <v>2184</v>
      </c>
      <c r="M661" s="15" t="s">
        <v>1478</v>
      </c>
      <c r="N661" s="15"/>
    </row>
    <row r="662" customFormat="false" ht="39" hidden="false" customHeight="true" outlineLevel="0" collapsed="false">
      <c r="A662" s="15" t="s">
        <v>2987</v>
      </c>
      <c r="B662" s="15" t="s">
        <v>312</v>
      </c>
      <c r="C662" s="15" t="s">
        <v>424</v>
      </c>
      <c r="D662" s="15" t="s">
        <v>2397</v>
      </c>
      <c r="E662" s="15" t="s">
        <v>2234</v>
      </c>
      <c r="F662" s="15" t="s">
        <v>2190</v>
      </c>
      <c r="G662" s="15" t="s">
        <v>120</v>
      </c>
      <c r="H662" s="15" t="s">
        <v>1988</v>
      </c>
      <c r="I662" s="23" t="n">
        <v>419</v>
      </c>
      <c r="J662" s="15" t="s">
        <v>2191</v>
      </c>
      <c r="K662" s="15" t="s">
        <v>2192</v>
      </c>
      <c r="L662" s="15" t="s">
        <v>2184</v>
      </c>
      <c r="M662" s="15" t="s">
        <v>1478</v>
      </c>
      <c r="N662" s="15"/>
    </row>
    <row r="663" customFormat="false" ht="39" hidden="false" customHeight="true" outlineLevel="0" collapsed="false">
      <c r="A663" s="15" t="s">
        <v>2988</v>
      </c>
      <c r="B663" s="15" t="s">
        <v>312</v>
      </c>
      <c r="C663" s="15" t="s">
        <v>424</v>
      </c>
      <c r="D663" s="15" t="s">
        <v>2989</v>
      </c>
      <c r="E663" s="15" t="s">
        <v>2117</v>
      </c>
      <c r="F663" s="15" t="s">
        <v>2190</v>
      </c>
      <c r="G663" s="15" t="s">
        <v>120</v>
      </c>
      <c r="H663" s="15" t="s">
        <v>1988</v>
      </c>
      <c r="I663" s="23" t="n">
        <v>399</v>
      </c>
      <c r="J663" s="15" t="s">
        <v>2191</v>
      </c>
      <c r="K663" s="15" t="s">
        <v>2192</v>
      </c>
      <c r="L663" s="15" t="s">
        <v>2184</v>
      </c>
      <c r="M663" s="15" t="s">
        <v>1478</v>
      </c>
      <c r="N663" s="15"/>
    </row>
    <row r="664" customFormat="false" ht="39" hidden="false" customHeight="true" outlineLevel="0" collapsed="false">
      <c r="A664" s="15" t="s">
        <v>2990</v>
      </c>
      <c r="B664" s="15" t="s">
        <v>312</v>
      </c>
      <c r="C664" s="15" t="s">
        <v>424</v>
      </c>
      <c r="D664" s="15" t="s">
        <v>2401</v>
      </c>
      <c r="E664" s="15" t="s">
        <v>2331</v>
      </c>
      <c r="F664" s="15" t="s">
        <v>2190</v>
      </c>
      <c r="G664" s="15" t="s">
        <v>120</v>
      </c>
      <c r="H664" s="15" t="s">
        <v>1988</v>
      </c>
      <c r="I664" s="23" t="n">
        <v>399</v>
      </c>
      <c r="J664" s="15" t="s">
        <v>2191</v>
      </c>
      <c r="K664" s="15" t="s">
        <v>2192</v>
      </c>
      <c r="L664" s="15" t="s">
        <v>2184</v>
      </c>
      <c r="M664" s="15" t="s">
        <v>1478</v>
      </c>
      <c r="N664" s="15"/>
    </row>
    <row r="665" customFormat="false" ht="39" hidden="false" customHeight="true" outlineLevel="0" collapsed="false">
      <c r="A665" s="15" t="s">
        <v>2991</v>
      </c>
      <c r="B665" s="15" t="s">
        <v>312</v>
      </c>
      <c r="C665" s="15" t="s">
        <v>424</v>
      </c>
      <c r="D665" s="15" t="s">
        <v>2399</v>
      </c>
      <c r="E665" s="15" t="s">
        <v>2234</v>
      </c>
      <c r="F665" s="15" t="s">
        <v>2190</v>
      </c>
      <c r="G665" s="15" t="s">
        <v>120</v>
      </c>
      <c r="H665" s="15" t="s">
        <v>1988</v>
      </c>
      <c r="I665" s="23" t="n">
        <v>399</v>
      </c>
      <c r="J665" s="15" t="s">
        <v>2191</v>
      </c>
      <c r="K665" s="15" t="s">
        <v>2192</v>
      </c>
      <c r="L665" s="15" t="s">
        <v>2184</v>
      </c>
      <c r="M665" s="15" t="s">
        <v>1478</v>
      </c>
      <c r="N665" s="15"/>
    </row>
    <row r="666" customFormat="false" ht="39" hidden="false" customHeight="true" outlineLevel="0" collapsed="false">
      <c r="A666" s="15" t="s">
        <v>2992</v>
      </c>
      <c r="B666" s="15" t="s">
        <v>312</v>
      </c>
      <c r="C666" s="15" t="s">
        <v>424</v>
      </c>
      <c r="D666" s="15" t="s">
        <v>2278</v>
      </c>
      <c r="E666" s="15" t="s">
        <v>2002</v>
      </c>
      <c r="F666" s="15" t="s">
        <v>2190</v>
      </c>
      <c r="G666" s="15" t="s">
        <v>120</v>
      </c>
      <c r="H666" s="15" t="s">
        <v>1988</v>
      </c>
      <c r="I666" s="23" t="n">
        <v>349</v>
      </c>
      <c r="J666" s="15" t="s">
        <v>2191</v>
      </c>
      <c r="K666" s="15" t="s">
        <v>2192</v>
      </c>
      <c r="L666" s="15" t="s">
        <v>2184</v>
      </c>
      <c r="M666" s="15" t="s">
        <v>1478</v>
      </c>
      <c r="N666" s="15"/>
    </row>
    <row r="667" customFormat="false" ht="39" hidden="false" customHeight="true" outlineLevel="0" collapsed="false">
      <c r="A667" s="15" t="s">
        <v>2993</v>
      </c>
      <c r="B667" s="15" t="s">
        <v>312</v>
      </c>
      <c r="C667" s="15" t="s">
        <v>424</v>
      </c>
      <c r="D667" s="15" t="s">
        <v>2280</v>
      </c>
      <c r="E667" s="15" t="s">
        <v>2002</v>
      </c>
      <c r="F667" s="15" t="s">
        <v>2190</v>
      </c>
      <c r="G667" s="15" t="s">
        <v>120</v>
      </c>
      <c r="H667" s="15" t="s">
        <v>1988</v>
      </c>
      <c r="I667" s="23" t="n">
        <v>339</v>
      </c>
      <c r="J667" s="15" t="s">
        <v>2191</v>
      </c>
      <c r="K667" s="15" t="s">
        <v>2192</v>
      </c>
      <c r="L667" s="15" t="s">
        <v>2184</v>
      </c>
      <c r="M667" s="15" t="s">
        <v>1478</v>
      </c>
      <c r="N667" s="15"/>
    </row>
    <row r="668" customFormat="false" ht="39" hidden="false" customHeight="true" outlineLevel="0" collapsed="false">
      <c r="A668" s="15" t="s">
        <v>2994</v>
      </c>
      <c r="B668" s="15" t="s">
        <v>312</v>
      </c>
      <c r="C668" s="15" t="s">
        <v>424</v>
      </c>
      <c r="D668" s="15" t="s">
        <v>2284</v>
      </c>
      <c r="E668" s="15" t="s">
        <v>2002</v>
      </c>
      <c r="F668" s="15" t="s">
        <v>2190</v>
      </c>
      <c r="G668" s="15" t="s">
        <v>120</v>
      </c>
      <c r="H668" s="15" t="s">
        <v>1988</v>
      </c>
      <c r="I668" s="23" t="n">
        <v>339</v>
      </c>
      <c r="J668" s="15" t="s">
        <v>2191</v>
      </c>
      <c r="K668" s="15" t="s">
        <v>2192</v>
      </c>
      <c r="L668" s="15" t="s">
        <v>2184</v>
      </c>
      <c r="M668" s="15" t="s">
        <v>1478</v>
      </c>
      <c r="N668" s="15"/>
    </row>
    <row r="669" customFormat="false" ht="39" hidden="false" customHeight="true" outlineLevel="0" collapsed="false">
      <c r="A669" s="15" t="s">
        <v>2995</v>
      </c>
      <c r="B669" s="15" t="s">
        <v>312</v>
      </c>
      <c r="C669" s="15" t="s">
        <v>424</v>
      </c>
      <c r="D669" s="15" t="s">
        <v>2282</v>
      </c>
      <c r="E669" s="15" t="s">
        <v>2002</v>
      </c>
      <c r="F669" s="15" t="s">
        <v>2190</v>
      </c>
      <c r="G669" s="15" t="s">
        <v>120</v>
      </c>
      <c r="H669" s="15" t="s">
        <v>1988</v>
      </c>
      <c r="I669" s="23" t="n">
        <v>339</v>
      </c>
      <c r="J669" s="15" t="s">
        <v>2191</v>
      </c>
      <c r="K669" s="15" t="s">
        <v>2192</v>
      </c>
      <c r="L669" s="15" t="s">
        <v>2184</v>
      </c>
      <c r="M669" s="15" t="s">
        <v>1478</v>
      </c>
      <c r="N669" s="15"/>
    </row>
    <row r="670" customFormat="false" ht="39" hidden="false" customHeight="true" outlineLevel="0" collapsed="false">
      <c r="A670" s="15" t="s">
        <v>2996</v>
      </c>
      <c r="B670" s="15" t="s">
        <v>312</v>
      </c>
      <c r="C670" s="15" t="s">
        <v>424</v>
      </c>
      <c r="D670" s="15" t="s">
        <v>2286</v>
      </c>
      <c r="E670" s="15" t="s">
        <v>2002</v>
      </c>
      <c r="F670" s="15" t="s">
        <v>2190</v>
      </c>
      <c r="G670" s="15" t="s">
        <v>120</v>
      </c>
      <c r="H670" s="15" t="s">
        <v>1988</v>
      </c>
      <c r="I670" s="23" t="n">
        <v>333</v>
      </c>
      <c r="J670" s="15" t="s">
        <v>2191</v>
      </c>
      <c r="K670" s="15" t="s">
        <v>2192</v>
      </c>
      <c r="L670" s="15" t="s">
        <v>2184</v>
      </c>
      <c r="M670" s="15" t="s">
        <v>1478</v>
      </c>
      <c r="N670" s="15"/>
    </row>
    <row r="671" customFormat="false" ht="39" hidden="false" customHeight="true" outlineLevel="0" collapsed="false">
      <c r="A671" s="15" t="s">
        <v>2997</v>
      </c>
      <c r="B671" s="15" t="s">
        <v>312</v>
      </c>
      <c r="C671" s="15" t="s">
        <v>424</v>
      </c>
      <c r="D671" s="15" t="s">
        <v>2403</v>
      </c>
      <c r="E671" s="15" t="s">
        <v>2234</v>
      </c>
      <c r="F671" s="15" t="s">
        <v>2190</v>
      </c>
      <c r="G671" s="15" t="s">
        <v>120</v>
      </c>
      <c r="H671" s="15" t="s">
        <v>1988</v>
      </c>
      <c r="I671" s="23" t="n">
        <v>330</v>
      </c>
      <c r="J671" s="15" t="s">
        <v>2191</v>
      </c>
      <c r="K671" s="15" t="s">
        <v>2192</v>
      </c>
      <c r="L671" s="15" t="s">
        <v>2184</v>
      </c>
      <c r="M671" s="15" t="s">
        <v>1478</v>
      </c>
      <c r="N671" s="15"/>
    </row>
    <row r="672" customFormat="false" ht="39" hidden="false" customHeight="true" outlineLevel="0" collapsed="false">
      <c r="A672" s="15" t="s">
        <v>2998</v>
      </c>
      <c r="B672" s="15" t="s">
        <v>312</v>
      </c>
      <c r="C672" s="15" t="s">
        <v>424</v>
      </c>
      <c r="D672" s="15" t="s">
        <v>2405</v>
      </c>
      <c r="E672" s="15" t="s">
        <v>2002</v>
      </c>
      <c r="F672" s="15" t="s">
        <v>2190</v>
      </c>
      <c r="G672" s="15" t="s">
        <v>120</v>
      </c>
      <c r="H672" s="15" t="s">
        <v>1988</v>
      </c>
      <c r="I672" s="23" t="n">
        <v>329</v>
      </c>
      <c r="J672" s="15" t="s">
        <v>2191</v>
      </c>
      <c r="K672" s="15" t="s">
        <v>2192</v>
      </c>
      <c r="L672" s="15" t="s">
        <v>2184</v>
      </c>
      <c r="M672" s="15" t="s">
        <v>1478</v>
      </c>
      <c r="N672" s="15"/>
    </row>
    <row r="673" customFormat="false" ht="39" hidden="false" customHeight="true" outlineLevel="0" collapsed="false">
      <c r="A673" s="15" t="s">
        <v>2999</v>
      </c>
      <c r="B673" s="15" t="s">
        <v>312</v>
      </c>
      <c r="C673" s="15" t="s">
        <v>424</v>
      </c>
      <c r="D673" s="15" t="s">
        <v>2407</v>
      </c>
      <c r="E673" s="15" t="s">
        <v>2234</v>
      </c>
      <c r="F673" s="15" t="s">
        <v>2190</v>
      </c>
      <c r="G673" s="15" t="s">
        <v>120</v>
      </c>
      <c r="H673" s="15" t="s">
        <v>1988</v>
      </c>
      <c r="I673" s="23" t="n">
        <v>319</v>
      </c>
      <c r="J673" s="15" t="s">
        <v>2191</v>
      </c>
      <c r="K673" s="15" t="s">
        <v>2192</v>
      </c>
      <c r="L673" s="15" t="s">
        <v>2184</v>
      </c>
      <c r="M673" s="15" t="s">
        <v>1478</v>
      </c>
      <c r="N673" s="15"/>
    </row>
    <row r="674" customFormat="false" ht="39" hidden="false" customHeight="true" outlineLevel="0" collapsed="false">
      <c r="A674" s="15" t="s">
        <v>3000</v>
      </c>
      <c r="B674" s="15" t="s">
        <v>312</v>
      </c>
      <c r="C674" s="15" t="s">
        <v>424</v>
      </c>
      <c r="D674" s="15" t="s">
        <v>2409</v>
      </c>
      <c r="E674" s="15" t="s">
        <v>2234</v>
      </c>
      <c r="F674" s="15" t="s">
        <v>2190</v>
      </c>
      <c r="G674" s="15" t="s">
        <v>120</v>
      </c>
      <c r="H674" s="15" t="s">
        <v>1988</v>
      </c>
      <c r="I674" s="23" t="n">
        <v>319</v>
      </c>
      <c r="J674" s="15" t="s">
        <v>2191</v>
      </c>
      <c r="K674" s="15" t="s">
        <v>2192</v>
      </c>
      <c r="L674" s="15" t="s">
        <v>2184</v>
      </c>
      <c r="M674" s="15" t="s">
        <v>1478</v>
      </c>
      <c r="N674" s="15"/>
    </row>
    <row r="675" customFormat="false" ht="39" hidden="false" customHeight="true" outlineLevel="0" collapsed="false">
      <c r="A675" s="15" t="s">
        <v>3001</v>
      </c>
      <c r="B675" s="15" t="s">
        <v>312</v>
      </c>
      <c r="C675" s="15" t="s">
        <v>424</v>
      </c>
      <c r="D675" s="15" t="s">
        <v>2411</v>
      </c>
      <c r="E675" s="15" t="s">
        <v>2234</v>
      </c>
      <c r="F675" s="15" t="s">
        <v>2190</v>
      </c>
      <c r="G675" s="15" t="s">
        <v>120</v>
      </c>
      <c r="H675" s="15" t="s">
        <v>1988</v>
      </c>
      <c r="I675" s="23" t="n">
        <v>319</v>
      </c>
      <c r="J675" s="15" t="s">
        <v>2191</v>
      </c>
      <c r="K675" s="15" t="s">
        <v>2192</v>
      </c>
      <c r="L675" s="15" t="s">
        <v>2184</v>
      </c>
      <c r="M675" s="15" t="s">
        <v>1478</v>
      </c>
      <c r="N675" s="15"/>
    </row>
    <row r="676" customFormat="false" ht="39" hidden="false" customHeight="true" outlineLevel="0" collapsed="false">
      <c r="A676" s="15" t="s">
        <v>3002</v>
      </c>
      <c r="B676" s="15" t="s">
        <v>312</v>
      </c>
      <c r="C676" s="15" t="s">
        <v>424</v>
      </c>
      <c r="D676" s="15" t="s">
        <v>2223</v>
      </c>
      <c r="E676" s="15" t="s">
        <v>2002</v>
      </c>
      <c r="F676" s="15" t="s">
        <v>2190</v>
      </c>
      <c r="G676" s="15" t="s">
        <v>120</v>
      </c>
      <c r="H676" s="15" t="s">
        <v>1988</v>
      </c>
      <c r="I676" s="23" t="n">
        <v>299</v>
      </c>
      <c r="J676" s="15" t="s">
        <v>2191</v>
      </c>
      <c r="K676" s="15" t="s">
        <v>2192</v>
      </c>
      <c r="L676" s="15" t="s">
        <v>2184</v>
      </c>
      <c r="M676" s="15" t="s">
        <v>1478</v>
      </c>
      <c r="N676" s="15"/>
    </row>
    <row r="677" customFormat="false" ht="39" hidden="false" customHeight="true" outlineLevel="0" collapsed="false">
      <c r="A677" s="15" t="s">
        <v>3003</v>
      </c>
      <c r="B677" s="15" t="s">
        <v>312</v>
      </c>
      <c r="C677" s="15" t="s">
        <v>424</v>
      </c>
      <c r="D677" s="15" t="s">
        <v>2288</v>
      </c>
      <c r="E677" s="15" t="s">
        <v>2002</v>
      </c>
      <c r="F677" s="15" t="s">
        <v>2190</v>
      </c>
      <c r="G677" s="15" t="s">
        <v>120</v>
      </c>
      <c r="H677" s="15" t="s">
        <v>1988</v>
      </c>
      <c r="I677" s="23" t="n">
        <v>299</v>
      </c>
      <c r="J677" s="15" t="s">
        <v>2191</v>
      </c>
      <c r="K677" s="15" t="s">
        <v>2192</v>
      </c>
      <c r="L677" s="15" t="s">
        <v>2184</v>
      </c>
      <c r="M677" s="15" t="s">
        <v>1478</v>
      </c>
      <c r="N677" s="15"/>
    </row>
    <row r="678" customFormat="false" ht="39" hidden="false" customHeight="true" outlineLevel="0" collapsed="false">
      <c r="A678" s="15" t="s">
        <v>3004</v>
      </c>
      <c r="B678" s="15" t="s">
        <v>312</v>
      </c>
      <c r="C678" s="15" t="s">
        <v>424</v>
      </c>
      <c r="D678" s="15" t="s">
        <v>2413</v>
      </c>
      <c r="E678" s="15" t="s">
        <v>2234</v>
      </c>
      <c r="F678" s="15" t="s">
        <v>2190</v>
      </c>
      <c r="G678" s="15" t="s">
        <v>120</v>
      </c>
      <c r="H678" s="15" t="s">
        <v>1988</v>
      </c>
      <c r="I678" s="23" t="n">
        <v>289</v>
      </c>
      <c r="J678" s="15" t="s">
        <v>2191</v>
      </c>
      <c r="K678" s="15" t="s">
        <v>2192</v>
      </c>
      <c r="L678" s="15" t="s">
        <v>2184</v>
      </c>
      <c r="M678" s="15" t="s">
        <v>1478</v>
      </c>
      <c r="N678" s="15"/>
    </row>
    <row r="679" customFormat="false" ht="39" hidden="false" customHeight="true" outlineLevel="0" collapsed="false">
      <c r="A679" s="15" t="s">
        <v>3005</v>
      </c>
      <c r="B679" s="15" t="s">
        <v>312</v>
      </c>
      <c r="C679" s="15" t="s">
        <v>424</v>
      </c>
      <c r="D679" s="15" t="s">
        <v>2415</v>
      </c>
      <c r="E679" s="15" t="s">
        <v>2234</v>
      </c>
      <c r="F679" s="15" t="s">
        <v>2190</v>
      </c>
      <c r="G679" s="15" t="s">
        <v>120</v>
      </c>
      <c r="H679" s="15" t="s">
        <v>1988</v>
      </c>
      <c r="I679" s="23" t="n">
        <v>269</v>
      </c>
      <c r="J679" s="15" t="s">
        <v>2191</v>
      </c>
      <c r="K679" s="15" t="s">
        <v>2192</v>
      </c>
      <c r="L679" s="15" t="s">
        <v>2184</v>
      </c>
      <c r="M679" s="15" t="s">
        <v>1478</v>
      </c>
      <c r="N679" s="15"/>
    </row>
    <row r="680" customFormat="false" ht="39" hidden="false" customHeight="true" outlineLevel="0" collapsed="false">
      <c r="A680" s="15" t="s">
        <v>3006</v>
      </c>
      <c r="B680" s="15" t="s">
        <v>312</v>
      </c>
      <c r="C680" s="15" t="s">
        <v>424</v>
      </c>
      <c r="D680" s="15" t="s">
        <v>2254</v>
      </c>
      <c r="E680" s="15" t="s">
        <v>2234</v>
      </c>
      <c r="F680" s="15" t="s">
        <v>2190</v>
      </c>
      <c r="G680" s="15" t="s">
        <v>120</v>
      </c>
      <c r="H680" s="15" t="s">
        <v>1988</v>
      </c>
      <c r="I680" s="23" t="n">
        <v>262</v>
      </c>
      <c r="J680" s="15" t="s">
        <v>2191</v>
      </c>
      <c r="K680" s="15" t="s">
        <v>2192</v>
      </c>
      <c r="L680" s="15" t="s">
        <v>2184</v>
      </c>
      <c r="M680" s="15" t="s">
        <v>1478</v>
      </c>
      <c r="N680" s="15" t="s">
        <v>3007</v>
      </c>
    </row>
    <row r="681" customFormat="false" ht="39" hidden="false" customHeight="true" outlineLevel="0" collapsed="false">
      <c r="A681" s="15" t="s">
        <v>3008</v>
      </c>
      <c r="B681" s="15" t="s">
        <v>312</v>
      </c>
      <c r="C681" s="15" t="s">
        <v>424</v>
      </c>
      <c r="D681" s="15" t="s">
        <v>2417</v>
      </c>
      <c r="E681" s="15" t="s">
        <v>2234</v>
      </c>
      <c r="F681" s="15" t="s">
        <v>2190</v>
      </c>
      <c r="G681" s="15" t="s">
        <v>120</v>
      </c>
      <c r="H681" s="15" t="s">
        <v>1988</v>
      </c>
      <c r="I681" s="23" t="n">
        <v>249</v>
      </c>
      <c r="J681" s="15" t="s">
        <v>2191</v>
      </c>
      <c r="K681" s="15" t="s">
        <v>2192</v>
      </c>
      <c r="L681" s="15" t="s">
        <v>2184</v>
      </c>
      <c r="M681" s="15" t="s">
        <v>1478</v>
      </c>
      <c r="N681" s="15"/>
    </row>
    <row r="682" customFormat="false" ht="39" hidden="false" customHeight="true" outlineLevel="0" collapsed="false">
      <c r="A682" s="15" t="s">
        <v>3009</v>
      </c>
      <c r="B682" s="15" t="s">
        <v>312</v>
      </c>
      <c r="C682" s="15" t="s">
        <v>424</v>
      </c>
      <c r="D682" s="15" t="s">
        <v>2419</v>
      </c>
      <c r="E682" s="15" t="s">
        <v>2234</v>
      </c>
      <c r="F682" s="15" t="s">
        <v>2190</v>
      </c>
      <c r="G682" s="15" t="s">
        <v>120</v>
      </c>
      <c r="H682" s="15" t="s">
        <v>1988</v>
      </c>
      <c r="I682" s="23" t="n">
        <v>243</v>
      </c>
      <c r="J682" s="15" t="s">
        <v>2191</v>
      </c>
      <c r="K682" s="15" t="s">
        <v>2192</v>
      </c>
      <c r="L682" s="15" t="s">
        <v>2184</v>
      </c>
      <c r="M682" s="15" t="s">
        <v>1478</v>
      </c>
      <c r="N682" s="15"/>
    </row>
    <row r="683" customFormat="false" ht="39" hidden="false" customHeight="true" outlineLevel="0" collapsed="false">
      <c r="A683" s="15" t="s">
        <v>3010</v>
      </c>
      <c r="B683" s="15" t="s">
        <v>312</v>
      </c>
      <c r="C683" s="15" t="s">
        <v>424</v>
      </c>
      <c r="D683" s="15" t="s">
        <v>2316</v>
      </c>
      <c r="E683" s="15" t="s">
        <v>2002</v>
      </c>
      <c r="F683" s="15" t="s">
        <v>2190</v>
      </c>
      <c r="G683" s="15" t="s">
        <v>120</v>
      </c>
      <c r="H683" s="15" t="s">
        <v>1988</v>
      </c>
      <c r="I683" s="23" t="n">
        <v>239</v>
      </c>
      <c r="J683" s="15" t="s">
        <v>2191</v>
      </c>
      <c r="K683" s="15" t="s">
        <v>2192</v>
      </c>
      <c r="L683" s="15" t="s">
        <v>2184</v>
      </c>
      <c r="M683" s="15" t="s">
        <v>1478</v>
      </c>
      <c r="N683" s="15"/>
    </row>
    <row r="684" customFormat="false" ht="39" hidden="false" customHeight="true" outlineLevel="0" collapsed="false">
      <c r="A684" s="15" t="s">
        <v>3011</v>
      </c>
      <c r="B684" s="15" t="s">
        <v>312</v>
      </c>
      <c r="C684" s="15" t="s">
        <v>424</v>
      </c>
      <c r="D684" s="15" t="s">
        <v>2421</v>
      </c>
      <c r="E684" s="15" t="s">
        <v>2234</v>
      </c>
      <c r="F684" s="15" t="s">
        <v>2190</v>
      </c>
      <c r="G684" s="15" t="s">
        <v>120</v>
      </c>
      <c r="H684" s="15" t="s">
        <v>1988</v>
      </c>
      <c r="I684" s="23" t="n">
        <v>222</v>
      </c>
      <c r="J684" s="15" t="s">
        <v>2191</v>
      </c>
      <c r="K684" s="15" t="s">
        <v>2192</v>
      </c>
      <c r="L684" s="15" t="s">
        <v>2184</v>
      </c>
      <c r="M684" s="15" t="s">
        <v>1478</v>
      </c>
      <c r="N684" s="15"/>
    </row>
    <row r="685" customFormat="false" ht="39" hidden="false" customHeight="true" outlineLevel="0" collapsed="false">
      <c r="A685" s="15" t="s">
        <v>3012</v>
      </c>
      <c r="B685" s="15" t="s">
        <v>312</v>
      </c>
      <c r="C685" s="15" t="s">
        <v>424</v>
      </c>
      <c r="D685" s="15" t="s">
        <v>2423</v>
      </c>
      <c r="E685" s="15" t="s">
        <v>2234</v>
      </c>
      <c r="F685" s="15" t="s">
        <v>2190</v>
      </c>
      <c r="G685" s="15" t="s">
        <v>120</v>
      </c>
      <c r="H685" s="15" t="s">
        <v>1988</v>
      </c>
      <c r="I685" s="23" t="n">
        <v>222</v>
      </c>
      <c r="J685" s="15" t="s">
        <v>2191</v>
      </c>
      <c r="K685" s="15" t="s">
        <v>2192</v>
      </c>
      <c r="L685" s="15" t="s">
        <v>2184</v>
      </c>
      <c r="M685" s="15" t="s">
        <v>1478</v>
      </c>
      <c r="N685" s="15"/>
    </row>
    <row r="686" customFormat="false" ht="39" hidden="false" customHeight="true" outlineLevel="0" collapsed="false">
      <c r="A686" s="15" t="s">
        <v>3013</v>
      </c>
      <c r="B686" s="15" t="s">
        <v>312</v>
      </c>
      <c r="C686" s="15" t="s">
        <v>424</v>
      </c>
      <c r="D686" s="15" t="s">
        <v>2425</v>
      </c>
      <c r="E686" s="15" t="s">
        <v>2234</v>
      </c>
      <c r="F686" s="15" t="s">
        <v>2190</v>
      </c>
      <c r="G686" s="15" t="s">
        <v>120</v>
      </c>
      <c r="H686" s="15" t="s">
        <v>1988</v>
      </c>
      <c r="I686" s="23" t="n">
        <v>221</v>
      </c>
      <c r="J686" s="15" t="s">
        <v>2191</v>
      </c>
      <c r="K686" s="15" t="s">
        <v>2192</v>
      </c>
      <c r="L686" s="15" t="s">
        <v>2184</v>
      </c>
      <c r="M686" s="15" t="s">
        <v>1478</v>
      </c>
      <c r="N686" s="15"/>
    </row>
    <row r="687" customFormat="false" ht="39" hidden="false" customHeight="true" outlineLevel="0" collapsed="false">
      <c r="A687" s="15" t="s">
        <v>3014</v>
      </c>
      <c r="B687" s="15" t="s">
        <v>312</v>
      </c>
      <c r="C687" s="15" t="s">
        <v>424</v>
      </c>
      <c r="D687" s="15" t="s">
        <v>2427</v>
      </c>
      <c r="E687" s="15" t="s">
        <v>2234</v>
      </c>
      <c r="F687" s="15" t="s">
        <v>2190</v>
      </c>
      <c r="G687" s="15" t="s">
        <v>120</v>
      </c>
      <c r="H687" s="15" t="s">
        <v>1988</v>
      </c>
      <c r="I687" s="23" t="n">
        <v>199</v>
      </c>
      <c r="J687" s="15" t="s">
        <v>2191</v>
      </c>
      <c r="K687" s="15" t="s">
        <v>2192</v>
      </c>
      <c r="L687" s="15" t="s">
        <v>2184</v>
      </c>
      <c r="M687" s="15" t="s">
        <v>1478</v>
      </c>
      <c r="N687" s="15"/>
    </row>
    <row r="688" customFormat="false" ht="39" hidden="false" customHeight="true" outlineLevel="0" collapsed="false">
      <c r="A688" s="15" t="s">
        <v>3015</v>
      </c>
      <c r="B688" s="15" t="s">
        <v>312</v>
      </c>
      <c r="C688" s="15" t="s">
        <v>424</v>
      </c>
      <c r="D688" s="15" t="s">
        <v>2429</v>
      </c>
      <c r="E688" s="15" t="s">
        <v>2234</v>
      </c>
      <c r="F688" s="15" t="s">
        <v>2190</v>
      </c>
      <c r="G688" s="15" t="s">
        <v>120</v>
      </c>
      <c r="H688" s="15" t="s">
        <v>1988</v>
      </c>
      <c r="I688" s="23" t="n">
        <v>195</v>
      </c>
      <c r="J688" s="15" t="s">
        <v>2191</v>
      </c>
      <c r="K688" s="15" t="s">
        <v>2192</v>
      </c>
      <c r="L688" s="15" t="s">
        <v>2184</v>
      </c>
      <c r="M688" s="15" t="s">
        <v>1478</v>
      </c>
      <c r="N688" s="15"/>
    </row>
    <row r="689" customFormat="false" ht="39" hidden="false" customHeight="true" outlineLevel="0" collapsed="false">
      <c r="A689" s="15" t="s">
        <v>3016</v>
      </c>
      <c r="B689" s="15" t="s">
        <v>312</v>
      </c>
      <c r="C689" s="15" t="s">
        <v>424</v>
      </c>
      <c r="D689" s="15" t="s">
        <v>2433</v>
      </c>
      <c r="E689" s="15" t="s">
        <v>2234</v>
      </c>
      <c r="F689" s="15" t="s">
        <v>2190</v>
      </c>
      <c r="G689" s="15" t="s">
        <v>120</v>
      </c>
      <c r="H689" s="15" t="s">
        <v>1988</v>
      </c>
      <c r="I689" s="23" t="n">
        <v>195</v>
      </c>
      <c r="J689" s="15" t="s">
        <v>2191</v>
      </c>
      <c r="K689" s="15" t="s">
        <v>2192</v>
      </c>
      <c r="L689" s="15" t="s">
        <v>2184</v>
      </c>
      <c r="M689" s="15" t="s">
        <v>1478</v>
      </c>
      <c r="N689" s="15"/>
    </row>
    <row r="690" customFormat="false" ht="39" hidden="false" customHeight="true" outlineLevel="0" collapsed="false">
      <c r="A690" s="15" t="s">
        <v>3017</v>
      </c>
      <c r="B690" s="15" t="s">
        <v>312</v>
      </c>
      <c r="C690" s="15" t="s">
        <v>424</v>
      </c>
      <c r="D690" s="15" t="s">
        <v>2431</v>
      </c>
      <c r="E690" s="15" t="s">
        <v>2234</v>
      </c>
      <c r="F690" s="15" t="s">
        <v>2190</v>
      </c>
      <c r="G690" s="15" t="s">
        <v>120</v>
      </c>
      <c r="H690" s="15" t="s">
        <v>1988</v>
      </c>
      <c r="I690" s="23" t="n">
        <v>195</v>
      </c>
      <c r="J690" s="15" t="s">
        <v>2191</v>
      </c>
      <c r="K690" s="15" t="s">
        <v>2192</v>
      </c>
      <c r="L690" s="15" t="s">
        <v>2184</v>
      </c>
      <c r="M690" s="15" t="s">
        <v>1478</v>
      </c>
      <c r="N690" s="15"/>
    </row>
    <row r="691" customFormat="false" ht="39" hidden="false" customHeight="true" outlineLevel="0" collapsed="false">
      <c r="A691" s="15" t="s">
        <v>3018</v>
      </c>
      <c r="B691" s="15" t="s">
        <v>312</v>
      </c>
      <c r="C691" s="15" t="s">
        <v>424</v>
      </c>
      <c r="D691" s="15" t="s">
        <v>2435</v>
      </c>
      <c r="E691" s="15" t="s">
        <v>2234</v>
      </c>
      <c r="F691" s="15" t="s">
        <v>2190</v>
      </c>
      <c r="G691" s="15" t="s">
        <v>120</v>
      </c>
      <c r="H691" s="15" t="s">
        <v>1988</v>
      </c>
      <c r="I691" s="23" t="n">
        <v>190</v>
      </c>
      <c r="J691" s="15" t="s">
        <v>2191</v>
      </c>
      <c r="K691" s="15" t="s">
        <v>2192</v>
      </c>
      <c r="L691" s="15" t="s">
        <v>2184</v>
      </c>
      <c r="M691" s="15" t="s">
        <v>1478</v>
      </c>
      <c r="N691" s="15"/>
    </row>
    <row r="692" customFormat="false" ht="39" hidden="false" customHeight="true" outlineLevel="0" collapsed="false">
      <c r="A692" s="15" t="s">
        <v>3019</v>
      </c>
      <c r="B692" s="15" t="s">
        <v>312</v>
      </c>
      <c r="C692" s="15" t="s">
        <v>424</v>
      </c>
      <c r="D692" s="15" t="s">
        <v>2437</v>
      </c>
      <c r="E692" s="15" t="s">
        <v>2234</v>
      </c>
      <c r="F692" s="15" t="s">
        <v>2190</v>
      </c>
      <c r="G692" s="15" t="s">
        <v>120</v>
      </c>
      <c r="H692" s="15" t="s">
        <v>1988</v>
      </c>
      <c r="I692" s="23" t="n">
        <v>177</v>
      </c>
      <c r="J692" s="15" t="s">
        <v>2191</v>
      </c>
      <c r="K692" s="15" t="s">
        <v>2192</v>
      </c>
      <c r="L692" s="15" t="s">
        <v>2184</v>
      </c>
      <c r="M692" s="15" t="s">
        <v>1478</v>
      </c>
      <c r="N692" s="15"/>
    </row>
    <row r="693" customFormat="false" ht="39" hidden="false" customHeight="true" outlineLevel="0" collapsed="false">
      <c r="A693" s="15" t="s">
        <v>3020</v>
      </c>
      <c r="B693" s="15" t="s">
        <v>312</v>
      </c>
      <c r="C693" s="15" t="s">
        <v>424</v>
      </c>
      <c r="D693" s="15" t="s">
        <v>2439</v>
      </c>
      <c r="E693" s="15" t="s">
        <v>2234</v>
      </c>
      <c r="F693" s="15" t="s">
        <v>2190</v>
      </c>
      <c r="G693" s="15" t="s">
        <v>120</v>
      </c>
      <c r="H693" s="15" t="s">
        <v>1988</v>
      </c>
      <c r="I693" s="23" t="n">
        <v>174</v>
      </c>
      <c r="J693" s="15" t="s">
        <v>2191</v>
      </c>
      <c r="K693" s="15" t="s">
        <v>2192</v>
      </c>
      <c r="L693" s="15" t="s">
        <v>2184</v>
      </c>
      <c r="M693" s="15" t="s">
        <v>1478</v>
      </c>
      <c r="N693" s="15"/>
    </row>
    <row r="694" customFormat="false" ht="39" hidden="false" customHeight="true" outlineLevel="0" collapsed="false">
      <c r="A694" s="15" t="s">
        <v>3021</v>
      </c>
      <c r="B694" s="15" t="s">
        <v>312</v>
      </c>
      <c r="C694" s="15" t="s">
        <v>424</v>
      </c>
      <c r="D694" s="15" t="s">
        <v>2441</v>
      </c>
      <c r="E694" s="15" t="s">
        <v>2234</v>
      </c>
      <c r="F694" s="15" t="s">
        <v>2190</v>
      </c>
      <c r="G694" s="15" t="s">
        <v>120</v>
      </c>
      <c r="H694" s="15" t="s">
        <v>1988</v>
      </c>
      <c r="I694" s="23" t="n">
        <v>159</v>
      </c>
      <c r="J694" s="15" t="s">
        <v>2191</v>
      </c>
      <c r="K694" s="15" t="s">
        <v>2192</v>
      </c>
      <c r="L694" s="15" t="s">
        <v>2184</v>
      </c>
      <c r="M694" s="15" t="s">
        <v>1478</v>
      </c>
      <c r="N694" s="15"/>
    </row>
    <row r="695" customFormat="false" ht="39" hidden="false" customHeight="true" outlineLevel="0" collapsed="false">
      <c r="A695" s="15" t="s">
        <v>3022</v>
      </c>
      <c r="B695" s="15" t="s">
        <v>312</v>
      </c>
      <c r="C695" s="15" t="s">
        <v>424</v>
      </c>
      <c r="D695" s="15" t="s">
        <v>2443</v>
      </c>
      <c r="E695" s="15" t="s">
        <v>2234</v>
      </c>
      <c r="F695" s="15" t="s">
        <v>2190</v>
      </c>
      <c r="G695" s="15" t="s">
        <v>120</v>
      </c>
      <c r="H695" s="15" t="s">
        <v>1988</v>
      </c>
      <c r="I695" s="23" t="n">
        <v>99</v>
      </c>
      <c r="J695" s="15" t="s">
        <v>2191</v>
      </c>
      <c r="K695" s="15" t="s">
        <v>2192</v>
      </c>
      <c r="L695" s="15" t="s">
        <v>2184</v>
      </c>
      <c r="M695" s="15" t="s">
        <v>1478</v>
      </c>
      <c r="N695" s="15"/>
    </row>
    <row r="696" customFormat="false" ht="39" hidden="false" customHeight="true" outlineLevel="0" collapsed="false">
      <c r="A696" s="15" t="s">
        <v>3023</v>
      </c>
      <c r="B696" s="15" t="s">
        <v>312</v>
      </c>
      <c r="C696" s="15" t="s">
        <v>424</v>
      </c>
      <c r="D696" s="15" t="s">
        <v>2445</v>
      </c>
      <c r="E696" s="15" t="s">
        <v>2234</v>
      </c>
      <c r="F696" s="15" t="s">
        <v>2190</v>
      </c>
      <c r="G696" s="15" t="s">
        <v>120</v>
      </c>
      <c r="H696" s="15" t="s">
        <v>1988</v>
      </c>
      <c r="I696" s="23" t="n">
        <v>43</v>
      </c>
      <c r="J696" s="15" t="s">
        <v>2191</v>
      </c>
      <c r="K696" s="15" t="s">
        <v>2192</v>
      </c>
      <c r="L696" s="15" t="s">
        <v>2184</v>
      </c>
      <c r="M696" s="15" t="s">
        <v>1478</v>
      </c>
      <c r="N696" s="15"/>
    </row>
    <row r="697" customFormat="false" ht="39" hidden="false" customHeight="true" outlineLevel="0" collapsed="false">
      <c r="A697" s="15" t="s">
        <v>3024</v>
      </c>
      <c r="B697" s="15" t="s">
        <v>312</v>
      </c>
      <c r="C697" s="15" t="s">
        <v>424</v>
      </c>
      <c r="D697" s="15" t="s">
        <v>2447</v>
      </c>
      <c r="E697" s="15" t="s">
        <v>2234</v>
      </c>
      <c r="F697" s="15" t="s">
        <v>2190</v>
      </c>
      <c r="G697" s="15" t="s">
        <v>120</v>
      </c>
      <c r="H697" s="15" t="s">
        <v>1988</v>
      </c>
      <c r="I697" s="23" t="n">
        <v>30</v>
      </c>
      <c r="J697" s="15" t="s">
        <v>2191</v>
      </c>
      <c r="K697" s="15" t="s">
        <v>2192</v>
      </c>
      <c r="L697" s="15" t="s">
        <v>2184</v>
      </c>
      <c r="M697" s="15" t="s">
        <v>1478</v>
      </c>
      <c r="N697" s="15"/>
    </row>
    <row r="698" customFormat="false" ht="39" hidden="false" customHeight="true" outlineLevel="0" collapsed="false">
      <c r="A698" s="15" t="s">
        <v>3025</v>
      </c>
      <c r="B698" s="15" t="s">
        <v>312</v>
      </c>
      <c r="C698" s="15" t="s">
        <v>327</v>
      </c>
      <c r="D698" s="15" t="s">
        <v>2318</v>
      </c>
      <c r="E698" s="15" t="s">
        <v>2027</v>
      </c>
      <c r="F698" s="15" t="s">
        <v>2190</v>
      </c>
      <c r="G698" s="15" t="s">
        <v>120</v>
      </c>
      <c r="H698" s="15" t="s">
        <v>1988</v>
      </c>
      <c r="I698" s="23" t="n">
        <v>28999</v>
      </c>
      <c r="J698" s="15" t="s">
        <v>2191</v>
      </c>
      <c r="K698" s="15" t="s">
        <v>2192</v>
      </c>
      <c r="L698" s="15" t="s">
        <v>2184</v>
      </c>
      <c r="M698" s="15" t="s">
        <v>1478</v>
      </c>
      <c r="N698" s="15"/>
    </row>
    <row r="699" customFormat="false" ht="39" hidden="false" customHeight="true" outlineLevel="0" collapsed="false">
      <c r="A699" s="15" t="s">
        <v>3026</v>
      </c>
      <c r="B699" s="15" t="s">
        <v>312</v>
      </c>
      <c r="C699" s="15" t="s">
        <v>327</v>
      </c>
      <c r="D699" s="15" t="s">
        <v>2330</v>
      </c>
      <c r="E699" s="15" t="s">
        <v>2331</v>
      </c>
      <c r="F699" s="15" t="s">
        <v>2190</v>
      </c>
      <c r="G699" s="15" t="s">
        <v>2332</v>
      </c>
      <c r="H699" s="15" t="s">
        <v>2064</v>
      </c>
      <c r="I699" s="23" t="n">
        <v>27999</v>
      </c>
      <c r="J699" s="15" t="s">
        <v>2191</v>
      </c>
      <c r="K699" s="15" t="s">
        <v>2192</v>
      </c>
      <c r="L699" s="15" t="s">
        <v>2184</v>
      </c>
      <c r="M699" s="15" t="s">
        <v>1478</v>
      </c>
      <c r="N699" s="15" t="s">
        <v>2333</v>
      </c>
    </row>
    <row r="700" customFormat="false" ht="39" hidden="false" customHeight="true" outlineLevel="0" collapsed="false">
      <c r="A700" s="15" t="s">
        <v>3027</v>
      </c>
      <c r="B700" s="15" t="s">
        <v>312</v>
      </c>
      <c r="C700" s="15" t="s">
        <v>327</v>
      </c>
      <c r="D700" s="15" t="s">
        <v>2335</v>
      </c>
      <c r="E700" s="15" t="s">
        <v>2047</v>
      </c>
      <c r="F700" s="15" t="s">
        <v>2190</v>
      </c>
      <c r="G700" s="15" t="s">
        <v>120</v>
      </c>
      <c r="H700" s="15" t="s">
        <v>1988</v>
      </c>
      <c r="I700" s="23" t="n">
        <v>19999</v>
      </c>
      <c r="J700" s="15" t="s">
        <v>2191</v>
      </c>
      <c r="K700" s="15" t="s">
        <v>2192</v>
      </c>
      <c r="L700" s="15" t="s">
        <v>2184</v>
      </c>
      <c r="M700" s="15" t="s">
        <v>1478</v>
      </c>
      <c r="N700" s="15"/>
    </row>
    <row r="701" customFormat="false" ht="39" hidden="false" customHeight="true" outlineLevel="0" collapsed="false">
      <c r="A701" s="15" t="s">
        <v>3028</v>
      </c>
      <c r="B701" s="15" t="s">
        <v>312</v>
      </c>
      <c r="C701" s="15" t="s">
        <v>327</v>
      </c>
      <c r="D701" s="15" t="s">
        <v>2189</v>
      </c>
      <c r="E701" s="15" t="s">
        <v>2002</v>
      </c>
      <c r="F701" s="15" t="s">
        <v>2190</v>
      </c>
      <c r="G701" s="15" t="s">
        <v>120</v>
      </c>
      <c r="H701" s="15" t="s">
        <v>1988</v>
      </c>
      <c r="I701" s="23" t="n">
        <v>17999</v>
      </c>
      <c r="J701" s="15" t="s">
        <v>2191</v>
      </c>
      <c r="K701" s="15" t="s">
        <v>2192</v>
      </c>
      <c r="L701" s="15" t="s">
        <v>2184</v>
      </c>
      <c r="M701" s="15" t="s">
        <v>1478</v>
      </c>
      <c r="N701" s="15"/>
    </row>
    <row r="702" customFormat="false" ht="39" hidden="false" customHeight="true" outlineLevel="0" collapsed="false">
      <c r="A702" s="15" t="s">
        <v>3029</v>
      </c>
      <c r="B702" s="15" t="s">
        <v>312</v>
      </c>
      <c r="C702" s="15" t="s">
        <v>327</v>
      </c>
      <c r="D702" s="15" t="s">
        <v>3030</v>
      </c>
      <c r="E702" s="15" t="s">
        <v>2032</v>
      </c>
      <c r="F702" s="15" t="s">
        <v>2190</v>
      </c>
      <c r="G702" s="15" t="s">
        <v>120</v>
      </c>
      <c r="H702" s="15" t="s">
        <v>1988</v>
      </c>
      <c r="I702" s="23" t="n">
        <v>14999</v>
      </c>
      <c r="J702" s="15" t="s">
        <v>2191</v>
      </c>
      <c r="K702" s="15" t="s">
        <v>2192</v>
      </c>
      <c r="L702" s="15" t="s">
        <v>2184</v>
      </c>
      <c r="M702" s="15" t="s">
        <v>1478</v>
      </c>
      <c r="N702" s="15"/>
    </row>
    <row r="703" customFormat="false" ht="39" hidden="false" customHeight="true" outlineLevel="0" collapsed="false">
      <c r="A703" s="15" t="s">
        <v>3031</v>
      </c>
      <c r="B703" s="15" t="s">
        <v>312</v>
      </c>
      <c r="C703" s="15" t="s">
        <v>327</v>
      </c>
      <c r="D703" s="15" t="s">
        <v>2337</v>
      </c>
      <c r="E703" s="15" t="s">
        <v>2331</v>
      </c>
      <c r="F703" s="15" t="s">
        <v>2190</v>
      </c>
      <c r="G703" s="15" t="s">
        <v>2332</v>
      </c>
      <c r="H703" s="15" t="s">
        <v>2064</v>
      </c>
      <c r="I703" s="23" t="n">
        <v>14399</v>
      </c>
      <c r="J703" s="15" t="s">
        <v>2191</v>
      </c>
      <c r="K703" s="15" t="s">
        <v>2192</v>
      </c>
      <c r="L703" s="15" t="s">
        <v>2184</v>
      </c>
      <c r="M703" s="15" t="s">
        <v>1478</v>
      </c>
      <c r="N703" s="15" t="s">
        <v>2333</v>
      </c>
    </row>
    <row r="704" customFormat="false" ht="39" hidden="false" customHeight="true" outlineLevel="0" collapsed="false">
      <c r="A704" s="15" t="s">
        <v>3032</v>
      </c>
      <c r="B704" s="15" t="s">
        <v>312</v>
      </c>
      <c r="C704" s="15" t="s">
        <v>327</v>
      </c>
      <c r="D704" s="15" t="s">
        <v>2290</v>
      </c>
      <c r="E704" s="15" t="s">
        <v>2234</v>
      </c>
      <c r="F704" s="15" t="s">
        <v>2190</v>
      </c>
      <c r="G704" s="15" t="s">
        <v>120</v>
      </c>
      <c r="H704" s="15" t="s">
        <v>1988</v>
      </c>
      <c r="I704" s="23" t="n">
        <v>12999</v>
      </c>
      <c r="J704" s="15" t="s">
        <v>2191</v>
      </c>
      <c r="K704" s="15" t="s">
        <v>2192</v>
      </c>
      <c r="L704" s="15" t="s">
        <v>2184</v>
      </c>
      <c r="M704" s="15" t="s">
        <v>1478</v>
      </c>
      <c r="N704" s="15" t="s">
        <v>3033</v>
      </c>
    </row>
    <row r="705" customFormat="false" ht="39" hidden="false" customHeight="true" outlineLevel="0" collapsed="false">
      <c r="A705" s="15" t="s">
        <v>3034</v>
      </c>
      <c r="B705" s="15" t="s">
        <v>312</v>
      </c>
      <c r="C705" s="15" t="s">
        <v>327</v>
      </c>
      <c r="D705" s="15" t="s">
        <v>2292</v>
      </c>
      <c r="E705" s="15" t="s">
        <v>2234</v>
      </c>
      <c r="F705" s="15" t="s">
        <v>2190</v>
      </c>
      <c r="G705" s="15" t="s">
        <v>120</v>
      </c>
      <c r="H705" s="15" t="s">
        <v>1988</v>
      </c>
      <c r="I705" s="23" t="n">
        <v>11999</v>
      </c>
      <c r="J705" s="15" t="s">
        <v>2191</v>
      </c>
      <c r="K705" s="15" t="s">
        <v>2192</v>
      </c>
      <c r="L705" s="15" t="s">
        <v>2184</v>
      </c>
      <c r="M705" s="15" t="s">
        <v>1478</v>
      </c>
      <c r="N705" s="15"/>
    </row>
    <row r="706" customFormat="false" ht="39" hidden="false" customHeight="true" outlineLevel="0" collapsed="false">
      <c r="A706" s="15" t="s">
        <v>3035</v>
      </c>
      <c r="B706" s="15" t="s">
        <v>312</v>
      </c>
      <c r="C706" s="15" t="s">
        <v>327</v>
      </c>
      <c r="D706" s="15" t="s">
        <v>2339</v>
      </c>
      <c r="E706" s="15" t="s">
        <v>2331</v>
      </c>
      <c r="F706" s="15" t="s">
        <v>2190</v>
      </c>
      <c r="G706" s="15" t="s">
        <v>2332</v>
      </c>
      <c r="H706" s="15" t="s">
        <v>2064</v>
      </c>
      <c r="I706" s="23" t="n">
        <v>9599</v>
      </c>
      <c r="J706" s="15" t="s">
        <v>2191</v>
      </c>
      <c r="K706" s="15" t="s">
        <v>2192</v>
      </c>
      <c r="L706" s="15" t="s">
        <v>2184</v>
      </c>
      <c r="M706" s="15" t="s">
        <v>1478</v>
      </c>
      <c r="N706" s="15" t="s">
        <v>2333</v>
      </c>
    </row>
    <row r="707" customFormat="false" ht="39" hidden="false" customHeight="true" outlineLevel="0" collapsed="false">
      <c r="A707" s="15" t="s">
        <v>3036</v>
      </c>
      <c r="B707" s="15" t="s">
        <v>312</v>
      </c>
      <c r="C707" s="15" t="s">
        <v>327</v>
      </c>
      <c r="D707" s="15" t="s">
        <v>2341</v>
      </c>
      <c r="E707" s="15" t="s">
        <v>2331</v>
      </c>
      <c r="F707" s="15" t="s">
        <v>2190</v>
      </c>
      <c r="G707" s="15" t="s">
        <v>120</v>
      </c>
      <c r="H707" s="15" t="s">
        <v>1988</v>
      </c>
      <c r="I707" s="23" t="n">
        <v>7254</v>
      </c>
      <c r="J707" s="15" t="s">
        <v>2191</v>
      </c>
      <c r="K707" s="15" t="s">
        <v>2192</v>
      </c>
      <c r="L707" s="15" t="s">
        <v>2184</v>
      </c>
      <c r="M707" s="15" t="s">
        <v>1478</v>
      </c>
      <c r="N707" s="15"/>
    </row>
    <row r="708" customFormat="false" ht="39" hidden="false" customHeight="true" outlineLevel="0" collapsed="false">
      <c r="A708" s="15" t="s">
        <v>3037</v>
      </c>
      <c r="B708" s="15" t="s">
        <v>312</v>
      </c>
      <c r="C708" s="15" t="s">
        <v>327</v>
      </c>
      <c r="D708" s="15" t="s">
        <v>3038</v>
      </c>
      <c r="E708" s="15" t="s">
        <v>2032</v>
      </c>
      <c r="F708" s="15" t="s">
        <v>2190</v>
      </c>
      <c r="G708" s="15" t="s">
        <v>120</v>
      </c>
      <c r="H708" s="15" t="s">
        <v>1988</v>
      </c>
      <c r="I708" s="23" t="n">
        <v>7199</v>
      </c>
      <c r="J708" s="15" t="s">
        <v>2191</v>
      </c>
      <c r="K708" s="15" t="s">
        <v>2192</v>
      </c>
      <c r="L708" s="15" t="s">
        <v>2184</v>
      </c>
      <c r="M708" s="15" t="s">
        <v>1478</v>
      </c>
      <c r="N708" s="15"/>
    </row>
    <row r="709" customFormat="false" ht="39" hidden="false" customHeight="true" outlineLevel="0" collapsed="false">
      <c r="A709" s="15" t="s">
        <v>3039</v>
      </c>
      <c r="B709" s="15" t="s">
        <v>312</v>
      </c>
      <c r="C709" s="15" t="s">
        <v>327</v>
      </c>
      <c r="D709" s="15" t="s">
        <v>2225</v>
      </c>
      <c r="E709" s="15" t="s">
        <v>2027</v>
      </c>
      <c r="F709" s="15" t="s">
        <v>2190</v>
      </c>
      <c r="G709" s="15" t="s">
        <v>2226</v>
      </c>
      <c r="H709" s="15" t="s">
        <v>2064</v>
      </c>
      <c r="I709" s="23" t="n">
        <v>6999</v>
      </c>
      <c r="J709" s="15" t="s">
        <v>2191</v>
      </c>
      <c r="K709" s="15" t="s">
        <v>2192</v>
      </c>
      <c r="L709" s="15" t="s">
        <v>2184</v>
      </c>
      <c r="M709" s="15" t="s">
        <v>1478</v>
      </c>
      <c r="N709" s="15" t="s">
        <v>2227</v>
      </c>
    </row>
    <row r="710" customFormat="false" ht="39" hidden="false" customHeight="true" outlineLevel="0" collapsed="false">
      <c r="A710" s="15" t="s">
        <v>3040</v>
      </c>
      <c r="B710" s="15" t="s">
        <v>312</v>
      </c>
      <c r="C710" s="15" t="s">
        <v>327</v>
      </c>
      <c r="D710" s="15" t="s">
        <v>2229</v>
      </c>
      <c r="E710" s="15" t="s">
        <v>2027</v>
      </c>
      <c r="F710" s="15" t="s">
        <v>2190</v>
      </c>
      <c r="G710" s="15" t="s">
        <v>2230</v>
      </c>
      <c r="H710" s="15" t="s">
        <v>2064</v>
      </c>
      <c r="I710" s="23" t="n">
        <v>6699</v>
      </c>
      <c r="J710" s="15" t="s">
        <v>2191</v>
      </c>
      <c r="K710" s="15" t="s">
        <v>2192</v>
      </c>
      <c r="L710" s="15" t="s">
        <v>2184</v>
      </c>
      <c r="M710" s="15" t="s">
        <v>1478</v>
      </c>
      <c r="N710" s="15" t="s">
        <v>2231</v>
      </c>
    </row>
    <row r="711" customFormat="false" ht="39" hidden="false" customHeight="true" outlineLevel="0" collapsed="false">
      <c r="A711" s="15" t="s">
        <v>3041</v>
      </c>
      <c r="B711" s="15" t="s">
        <v>312</v>
      </c>
      <c r="C711" s="15" t="s">
        <v>327</v>
      </c>
      <c r="D711" s="15" t="s">
        <v>2343</v>
      </c>
      <c r="E711" s="15" t="s">
        <v>2331</v>
      </c>
      <c r="F711" s="15" t="s">
        <v>2190</v>
      </c>
      <c r="G711" s="15" t="s">
        <v>120</v>
      </c>
      <c r="H711" s="15" t="s">
        <v>1988</v>
      </c>
      <c r="I711" s="23" t="n">
        <v>6599</v>
      </c>
      <c r="J711" s="15" t="s">
        <v>2191</v>
      </c>
      <c r="K711" s="15" t="s">
        <v>2192</v>
      </c>
      <c r="L711" s="15" t="s">
        <v>2184</v>
      </c>
      <c r="M711" s="15" t="s">
        <v>1478</v>
      </c>
      <c r="N711" s="15"/>
    </row>
    <row r="712" customFormat="false" ht="39" hidden="false" customHeight="true" outlineLevel="0" collapsed="false">
      <c r="A712" s="15" t="s">
        <v>3042</v>
      </c>
      <c r="B712" s="15" t="s">
        <v>312</v>
      </c>
      <c r="C712" s="15" t="s">
        <v>327</v>
      </c>
      <c r="D712" s="15" t="s">
        <v>2294</v>
      </c>
      <c r="E712" s="15" t="s">
        <v>2234</v>
      </c>
      <c r="F712" s="15" t="s">
        <v>2190</v>
      </c>
      <c r="G712" s="15" t="s">
        <v>120</v>
      </c>
      <c r="H712" s="15" t="s">
        <v>1988</v>
      </c>
      <c r="I712" s="23" t="n">
        <v>5999</v>
      </c>
      <c r="J712" s="15" t="s">
        <v>2191</v>
      </c>
      <c r="K712" s="15" t="s">
        <v>2192</v>
      </c>
      <c r="L712" s="15" t="s">
        <v>2184</v>
      </c>
      <c r="M712" s="15" t="s">
        <v>1478</v>
      </c>
      <c r="N712" s="15"/>
    </row>
    <row r="713" customFormat="false" ht="39" hidden="false" customHeight="true" outlineLevel="0" collapsed="false">
      <c r="A713" s="15" t="s">
        <v>3043</v>
      </c>
      <c r="B713" s="15" t="s">
        <v>312</v>
      </c>
      <c r="C713" s="15" t="s">
        <v>327</v>
      </c>
      <c r="D713" s="15" t="s">
        <v>3044</v>
      </c>
      <c r="E713" s="15" t="s">
        <v>1986</v>
      </c>
      <c r="F713" s="15" t="s">
        <v>2190</v>
      </c>
      <c r="G713" s="15" t="s">
        <v>120</v>
      </c>
      <c r="H713" s="15" t="s">
        <v>1988</v>
      </c>
      <c r="I713" s="23" t="n">
        <v>4999</v>
      </c>
      <c r="J713" s="15" t="s">
        <v>2191</v>
      </c>
      <c r="K713" s="15" t="s">
        <v>2192</v>
      </c>
      <c r="L713" s="15" t="s">
        <v>2184</v>
      </c>
      <c r="M713" s="15" t="s">
        <v>1478</v>
      </c>
      <c r="N713" s="15"/>
    </row>
    <row r="714" customFormat="false" ht="39" hidden="false" customHeight="true" outlineLevel="0" collapsed="false">
      <c r="A714" s="15" t="s">
        <v>3045</v>
      </c>
      <c r="B714" s="15" t="s">
        <v>312</v>
      </c>
      <c r="C714" s="15" t="s">
        <v>327</v>
      </c>
      <c r="D714" s="15" t="s">
        <v>3046</v>
      </c>
      <c r="E714" s="15" t="s">
        <v>2117</v>
      </c>
      <c r="F714" s="15" t="s">
        <v>2190</v>
      </c>
      <c r="G714" s="15" t="s">
        <v>120</v>
      </c>
      <c r="H714" s="15" t="s">
        <v>1988</v>
      </c>
      <c r="I714" s="23" t="n">
        <v>4499</v>
      </c>
      <c r="J714" s="15" t="s">
        <v>2191</v>
      </c>
      <c r="K714" s="15" t="s">
        <v>2192</v>
      </c>
      <c r="L714" s="15" t="s">
        <v>2184</v>
      </c>
      <c r="M714" s="15" t="s">
        <v>1478</v>
      </c>
      <c r="N714" s="15"/>
    </row>
    <row r="715" customFormat="false" ht="39" hidden="false" customHeight="true" outlineLevel="0" collapsed="false">
      <c r="A715" s="15" t="s">
        <v>3047</v>
      </c>
      <c r="B715" s="15" t="s">
        <v>312</v>
      </c>
      <c r="C715" s="15" t="s">
        <v>327</v>
      </c>
      <c r="D715" s="15" t="s">
        <v>3048</v>
      </c>
      <c r="E715" s="15" t="s">
        <v>2027</v>
      </c>
      <c r="F715" s="15" t="s">
        <v>2190</v>
      </c>
      <c r="G715" s="15" t="s">
        <v>120</v>
      </c>
      <c r="H715" s="15" t="s">
        <v>1988</v>
      </c>
      <c r="I715" s="23" t="n">
        <v>4499</v>
      </c>
      <c r="J715" s="15" t="s">
        <v>2191</v>
      </c>
      <c r="K715" s="15" t="s">
        <v>2192</v>
      </c>
      <c r="L715" s="15" t="s">
        <v>2184</v>
      </c>
      <c r="M715" s="15" t="s">
        <v>1478</v>
      </c>
      <c r="N715" s="15" t="s">
        <v>3049</v>
      </c>
    </row>
    <row r="716" customFormat="false" ht="39" hidden="false" customHeight="true" outlineLevel="0" collapsed="false">
      <c r="A716" s="15" t="s">
        <v>3050</v>
      </c>
      <c r="B716" s="15" t="s">
        <v>312</v>
      </c>
      <c r="C716" s="15" t="s">
        <v>327</v>
      </c>
      <c r="D716" s="15" t="s">
        <v>3051</v>
      </c>
      <c r="E716" s="15" t="s">
        <v>1986</v>
      </c>
      <c r="F716" s="15" t="s">
        <v>2190</v>
      </c>
      <c r="G716" s="15" t="s">
        <v>120</v>
      </c>
      <c r="H716" s="15" t="s">
        <v>1988</v>
      </c>
      <c r="I716" s="23" t="n">
        <v>4499</v>
      </c>
      <c r="J716" s="15" t="s">
        <v>2191</v>
      </c>
      <c r="K716" s="15" t="s">
        <v>2192</v>
      </c>
      <c r="L716" s="15" t="s">
        <v>2184</v>
      </c>
      <c r="M716" s="15" t="s">
        <v>1478</v>
      </c>
      <c r="N716" s="15"/>
    </row>
    <row r="717" customFormat="false" ht="39" hidden="false" customHeight="true" outlineLevel="0" collapsed="false">
      <c r="A717" s="15" t="s">
        <v>3052</v>
      </c>
      <c r="B717" s="15" t="s">
        <v>312</v>
      </c>
      <c r="C717" s="15" t="s">
        <v>327</v>
      </c>
      <c r="D717" s="15" t="s">
        <v>3053</v>
      </c>
      <c r="E717" s="15" t="s">
        <v>2047</v>
      </c>
      <c r="F717" s="15" t="s">
        <v>2190</v>
      </c>
      <c r="G717" s="15" t="s">
        <v>120</v>
      </c>
      <c r="H717" s="15" t="s">
        <v>1988</v>
      </c>
      <c r="I717" s="23" t="n">
        <v>4499</v>
      </c>
      <c r="J717" s="15" t="s">
        <v>2191</v>
      </c>
      <c r="K717" s="15" t="s">
        <v>2192</v>
      </c>
      <c r="L717" s="15" t="s">
        <v>2184</v>
      </c>
      <c r="M717" s="15" t="s">
        <v>1478</v>
      </c>
      <c r="N717" s="15"/>
    </row>
    <row r="718" customFormat="false" ht="39" hidden="false" customHeight="true" outlineLevel="0" collapsed="false">
      <c r="A718" s="15" t="s">
        <v>3054</v>
      </c>
      <c r="B718" s="15" t="s">
        <v>312</v>
      </c>
      <c r="C718" s="15" t="s">
        <v>327</v>
      </c>
      <c r="D718" s="15" t="s">
        <v>2320</v>
      </c>
      <c r="E718" s="15" t="s">
        <v>2321</v>
      </c>
      <c r="F718" s="15" t="s">
        <v>2190</v>
      </c>
      <c r="G718" s="15" t="s">
        <v>120</v>
      </c>
      <c r="H718" s="15" t="s">
        <v>1988</v>
      </c>
      <c r="I718" s="23" t="n">
        <v>4299</v>
      </c>
      <c r="J718" s="15" t="s">
        <v>2191</v>
      </c>
      <c r="K718" s="15" t="s">
        <v>2192</v>
      </c>
      <c r="L718" s="15" t="s">
        <v>2184</v>
      </c>
      <c r="M718" s="15" t="s">
        <v>1478</v>
      </c>
      <c r="N718" s="15"/>
    </row>
    <row r="719" customFormat="false" ht="39" hidden="false" customHeight="true" outlineLevel="0" collapsed="false">
      <c r="A719" s="15" t="s">
        <v>3055</v>
      </c>
      <c r="B719" s="15" t="s">
        <v>312</v>
      </c>
      <c r="C719" s="15" t="s">
        <v>327</v>
      </c>
      <c r="D719" s="15" t="s">
        <v>3056</v>
      </c>
      <c r="E719" s="15" t="s">
        <v>1986</v>
      </c>
      <c r="F719" s="15" t="s">
        <v>2190</v>
      </c>
      <c r="G719" s="15" t="s">
        <v>120</v>
      </c>
      <c r="H719" s="15" t="s">
        <v>1988</v>
      </c>
      <c r="I719" s="23" t="n">
        <v>4199</v>
      </c>
      <c r="J719" s="15" t="s">
        <v>2191</v>
      </c>
      <c r="K719" s="15" t="s">
        <v>2192</v>
      </c>
      <c r="L719" s="15" t="s">
        <v>2184</v>
      </c>
      <c r="M719" s="15" t="s">
        <v>1478</v>
      </c>
      <c r="N719" s="15"/>
    </row>
    <row r="720" customFormat="false" ht="39" hidden="false" customHeight="true" outlineLevel="0" collapsed="false">
      <c r="A720" s="15" t="s">
        <v>3057</v>
      </c>
      <c r="B720" s="15" t="s">
        <v>312</v>
      </c>
      <c r="C720" s="15" t="s">
        <v>327</v>
      </c>
      <c r="D720" s="15" t="s">
        <v>2296</v>
      </c>
      <c r="E720" s="15" t="s">
        <v>2234</v>
      </c>
      <c r="F720" s="15" t="s">
        <v>2190</v>
      </c>
      <c r="G720" s="15" t="s">
        <v>120</v>
      </c>
      <c r="H720" s="15" t="s">
        <v>1988</v>
      </c>
      <c r="I720" s="23" t="n">
        <v>4099</v>
      </c>
      <c r="J720" s="15" t="s">
        <v>2191</v>
      </c>
      <c r="K720" s="15" t="s">
        <v>2192</v>
      </c>
      <c r="L720" s="15" t="s">
        <v>2184</v>
      </c>
      <c r="M720" s="15" t="s">
        <v>1478</v>
      </c>
      <c r="N720" s="15"/>
    </row>
    <row r="721" customFormat="false" ht="39" hidden="false" customHeight="true" outlineLevel="0" collapsed="false">
      <c r="A721" s="15" t="s">
        <v>3058</v>
      </c>
      <c r="B721" s="15" t="s">
        <v>312</v>
      </c>
      <c r="C721" s="15" t="s">
        <v>327</v>
      </c>
      <c r="D721" s="15" t="s">
        <v>2345</v>
      </c>
      <c r="E721" s="15" t="s">
        <v>2117</v>
      </c>
      <c r="F721" s="15" t="s">
        <v>2190</v>
      </c>
      <c r="G721" s="15" t="s">
        <v>120</v>
      </c>
      <c r="H721" s="15" t="s">
        <v>1988</v>
      </c>
      <c r="I721" s="23" t="n">
        <v>3999</v>
      </c>
      <c r="J721" s="15" t="s">
        <v>2191</v>
      </c>
      <c r="K721" s="15" t="s">
        <v>2192</v>
      </c>
      <c r="L721" s="15" t="s">
        <v>2184</v>
      </c>
      <c r="M721" s="15" t="s">
        <v>1478</v>
      </c>
      <c r="N721" s="15" t="s">
        <v>3033</v>
      </c>
    </row>
    <row r="722" customFormat="false" ht="39" hidden="false" customHeight="true" outlineLevel="0" collapsed="false">
      <c r="A722" s="15" t="s">
        <v>3059</v>
      </c>
      <c r="B722" s="15" t="s">
        <v>312</v>
      </c>
      <c r="C722" s="15" t="s">
        <v>327</v>
      </c>
      <c r="D722" s="15" t="s">
        <v>2323</v>
      </c>
      <c r="E722" s="15" t="s">
        <v>2321</v>
      </c>
      <c r="F722" s="15" t="s">
        <v>2190</v>
      </c>
      <c r="G722" s="15" t="s">
        <v>120</v>
      </c>
      <c r="H722" s="15" t="s">
        <v>1988</v>
      </c>
      <c r="I722" s="23" t="n">
        <v>3999</v>
      </c>
      <c r="J722" s="15" t="s">
        <v>2191</v>
      </c>
      <c r="K722" s="15" t="s">
        <v>2192</v>
      </c>
      <c r="L722" s="15" t="s">
        <v>2184</v>
      </c>
      <c r="M722" s="15" t="s">
        <v>1478</v>
      </c>
      <c r="N722" s="15"/>
    </row>
    <row r="723" customFormat="false" ht="39" hidden="false" customHeight="true" outlineLevel="0" collapsed="false">
      <c r="A723" s="15" t="s">
        <v>3060</v>
      </c>
      <c r="B723" s="15" t="s">
        <v>312</v>
      </c>
      <c r="C723" s="15" t="s">
        <v>327</v>
      </c>
      <c r="D723" s="15" t="s">
        <v>2347</v>
      </c>
      <c r="E723" s="15" t="s">
        <v>2234</v>
      </c>
      <c r="F723" s="15" t="s">
        <v>2190</v>
      </c>
      <c r="G723" s="15" t="s">
        <v>120</v>
      </c>
      <c r="H723" s="15" t="s">
        <v>1988</v>
      </c>
      <c r="I723" s="23" t="n">
        <v>3999</v>
      </c>
      <c r="J723" s="15" t="s">
        <v>2191</v>
      </c>
      <c r="K723" s="15" t="s">
        <v>2192</v>
      </c>
      <c r="L723" s="15" t="s">
        <v>2184</v>
      </c>
      <c r="M723" s="15" t="s">
        <v>1478</v>
      </c>
      <c r="N723" s="15"/>
    </row>
    <row r="724" customFormat="false" ht="39" hidden="false" customHeight="true" outlineLevel="0" collapsed="false">
      <c r="A724" s="15" t="s">
        <v>3061</v>
      </c>
      <c r="B724" s="15" t="s">
        <v>312</v>
      </c>
      <c r="C724" s="15" t="s">
        <v>327</v>
      </c>
      <c r="D724" s="15" t="s">
        <v>3062</v>
      </c>
      <c r="E724" s="15" t="s">
        <v>2002</v>
      </c>
      <c r="F724" s="15" t="s">
        <v>2190</v>
      </c>
      <c r="G724" s="15" t="s">
        <v>120</v>
      </c>
      <c r="H724" s="15" t="s">
        <v>1988</v>
      </c>
      <c r="I724" s="23" t="n">
        <v>3799</v>
      </c>
      <c r="J724" s="15" t="s">
        <v>2191</v>
      </c>
      <c r="K724" s="15" t="s">
        <v>2192</v>
      </c>
      <c r="L724" s="15" t="s">
        <v>2184</v>
      </c>
      <c r="M724" s="15" t="s">
        <v>1478</v>
      </c>
      <c r="N724" s="15"/>
    </row>
    <row r="725" customFormat="false" ht="39" hidden="false" customHeight="true" outlineLevel="0" collapsed="false">
      <c r="A725" s="15" t="s">
        <v>3063</v>
      </c>
      <c r="B725" s="15" t="s">
        <v>312</v>
      </c>
      <c r="C725" s="15" t="s">
        <v>327</v>
      </c>
      <c r="D725" s="15" t="s">
        <v>3064</v>
      </c>
      <c r="E725" s="15" t="s">
        <v>2032</v>
      </c>
      <c r="F725" s="15" t="s">
        <v>2190</v>
      </c>
      <c r="G725" s="15" t="s">
        <v>120</v>
      </c>
      <c r="H725" s="15" t="s">
        <v>1988</v>
      </c>
      <c r="I725" s="23" t="n">
        <v>3699</v>
      </c>
      <c r="J725" s="15" t="s">
        <v>2191</v>
      </c>
      <c r="K725" s="15" t="s">
        <v>2192</v>
      </c>
      <c r="L725" s="15" t="s">
        <v>2184</v>
      </c>
      <c r="M725" s="15" t="s">
        <v>1478</v>
      </c>
      <c r="N725" s="15"/>
    </row>
    <row r="726" customFormat="false" ht="39" hidden="false" customHeight="true" outlineLevel="0" collapsed="false">
      <c r="A726" s="15" t="s">
        <v>3065</v>
      </c>
      <c r="B726" s="15" t="s">
        <v>312</v>
      </c>
      <c r="C726" s="15" t="s">
        <v>327</v>
      </c>
      <c r="D726" s="15" t="s">
        <v>3066</v>
      </c>
      <c r="E726" s="15" t="s">
        <v>2117</v>
      </c>
      <c r="F726" s="15" t="s">
        <v>2190</v>
      </c>
      <c r="G726" s="15" t="s">
        <v>120</v>
      </c>
      <c r="H726" s="15" t="s">
        <v>1988</v>
      </c>
      <c r="I726" s="23" t="n">
        <v>3599</v>
      </c>
      <c r="J726" s="15" t="s">
        <v>2191</v>
      </c>
      <c r="K726" s="15" t="s">
        <v>2192</v>
      </c>
      <c r="L726" s="15" t="s">
        <v>2184</v>
      </c>
      <c r="M726" s="15" t="s">
        <v>1478</v>
      </c>
      <c r="N726" s="15"/>
    </row>
    <row r="727" customFormat="false" ht="39" hidden="false" customHeight="true" outlineLevel="0" collapsed="false">
      <c r="A727" s="15" t="s">
        <v>3067</v>
      </c>
      <c r="B727" s="15" t="s">
        <v>312</v>
      </c>
      <c r="C727" s="15" t="s">
        <v>327</v>
      </c>
      <c r="D727" s="15" t="s">
        <v>2349</v>
      </c>
      <c r="E727" s="15" t="s">
        <v>2106</v>
      </c>
      <c r="F727" s="15" t="s">
        <v>2190</v>
      </c>
      <c r="G727" s="15" t="s">
        <v>2350</v>
      </c>
      <c r="H727" s="15" t="s">
        <v>1998</v>
      </c>
      <c r="I727" s="23" t="n">
        <v>3549</v>
      </c>
      <c r="J727" s="15" t="s">
        <v>2191</v>
      </c>
      <c r="K727" s="15" t="s">
        <v>2192</v>
      </c>
      <c r="L727" s="15" t="s">
        <v>2184</v>
      </c>
      <c r="M727" s="15" t="s">
        <v>1478</v>
      </c>
      <c r="N727" s="15" t="s">
        <v>2351</v>
      </c>
    </row>
    <row r="728" customFormat="false" ht="39" hidden="false" customHeight="true" outlineLevel="0" collapsed="false">
      <c r="A728" s="15" t="s">
        <v>3068</v>
      </c>
      <c r="B728" s="15" t="s">
        <v>312</v>
      </c>
      <c r="C728" s="15" t="s">
        <v>327</v>
      </c>
      <c r="D728" s="15" t="s">
        <v>2256</v>
      </c>
      <c r="E728" s="15" t="s">
        <v>2106</v>
      </c>
      <c r="F728" s="15" t="s">
        <v>2190</v>
      </c>
      <c r="G728" s="15" t="s">
        <v>120</v>
      </c>
      <c r="H728" s="15" t="s">
        <v>1988</v>
      </c>
      <c r="I728" s="23" t="n">
        <v>3499</v>
      </c>
      <c r="J728" s="15" t="s">
        <v>2191</v>
      </c>
      <c r="K728" s="15" t="s">
        <v>2192</v>
      </c>
      <c r="L728" s="15" t="s">
        <v>2184</v>
      </c>
      <c r="M728" s="15" t="s">
        <v>1478</v>
      </c>
      <c r="N728" s="15"/>
    </row>
    <row r="729" customFormat="false" ht="39" hidden="false" customHeight="true" outlineLevel="0" collapsed="false">
      <c r="A729" s="15" t="s">
        <v>3069</v>
      </c>
      <c r="B729" s="15" t="s">
        <v>312</v>
      </c>
      <c r="C729" s="15" t="s">
        <v>327</v>
      </c>
      <c r="D729" s="15" t="s">
        <v>2353</v>
      </c>
      <c r="E729" s="15" t="s">
        <v>2099</v>
      </c>
      <c r="F729" s="15" t="s">
        <v>2190</v>
      </c>
      <c r="G729" s="15" t="s">
        <v>120</v>
      </c>
      <c r="H729" s="15" t="s">
        <v>1988</v>
      </c>
      <c r="I729" s="23" t="n">
        <v>3499</v>
      </c>
      <c r="J729" s="15" t="s">
        <v>2191</v>
      </c>
      <c r="K729" s="15" t="s">
        <v>2192</v>
      </c>
      <c r="L729" s="15" t="s">
        <v>2184</v>
      </c>
      <c r="M729" s="15" t="s">
        <v>1478</v>
      </c>
      <c r="N729" s="15"/>
    </row>
    <row r="730" customFormat="false" ht="39" hidden="false" customHeight="true" outlineLevel="0" collapsed="false">
      <c r="A730" s="15" t="s">
        <v>3070</v>
      </c>
      <c r="B730" s="15" t="s">
        <v>312</v>
      </c>
      <c r="C730" s="15" t="s">
        <v>327</v>
      </c>
      <c r="D730" s="15" t="s">
        <v>2258</v>
      </c>
      <c r="E730" s="15" t="s">
        <v>2106</v>
      </c>
      <c r="F730" s="15" t="s">
        <v>2190</v>
      </c>
      <c r="G730" s="15" t="s">
        <v>120</v>
      </c>
      <c r="H730" s="15" t="s">
        <v>1988</v>
      </c>
      <c r="I730" s="23" t="n">
        <v>3499</v>
      </c>
      <c r="J730" s="15" t="s">
        <v>2191</v>
      </c>
      <c r="K730" s="15" t="s">
        <v>2192</v>
      </c>
      <c r="L730" s="15" t="s">
        <v>2184</v>
      </c>
      <c r="M730" s="15" t="s">
        <v>1478</v>
      </c>
      <c r="N730" s="15"/>
    </row>
    <row r="731" customFormat="false" ht="39" hidden="false" customHeight="true" outlineLevel="0" collapsed="false">
      <c r="A731" s="15" t="s">
        <v>3071</v>
      </c>
      <c r="B731" s="15" t="s">
        <v>312</v>
      </c>
      <c r="C731" s="15" t="s">
        <v>327</v>
      </c>
      <c r="D731" s="15" t="s">
        <v>2320</v>
      </c>
      <c r="E731" s="15" t="s">
        <v>2321</v>
      </c>
      <c r="F731" s="15" t="s">
        <v>2190</v>
      </c>
      <c r="G731" s="15" t="s">
        <v>120</v>
      </c>
      <c r="H731" s="15" t="s">
        <v>1988</v>
      </c>
      <c r="I731" s="23" t="n">
        <v>3399</v>
      </c>
      <c r="J731" s="15" t="s">
        <v>2191</v>
      </c>
      <c r="K731" s="15" t="s">
        <v>2192</v>
      </c>
      <c r="L731" s="15" t="s">
        <v>2184</v>
      </c>
      <c r="M731" s="15" t="s">
        <v>1478</v>
      </c>
      <c r="N731" s="15"/>
    </row>
    <row r="732" customFormat="false" ht="39" hidden="false" customHeight="true" outlineLevel="0" collapsed="false">
      <c r="A732" s="15" t="s">
        <v>3072</v>
      </c>
      <c r="B732" s="15" t="s">
        <v>312</v>
      </c>
      <c r="C732" s="15" t="s">
        <v>327</v>
      </c>
      <c r="D732" s="15" t="s">
        <v>2355</v>
      </c>
      <c r="E732" s="15" t="s">
        <v>2047</v>
      </c>
      <c r="F732" s="15" t="s">
        <v>2190</v>
      </c>
      <c r="G732" s="15" t="s">
        <v>120</v>
      </c>
      <c r="H732" s="15" t="s">
        <v>1988</v>
      </c>
      <c r="I732" s="23" t="n">
        <v>3199</v>
      </c>
      <c r="J732" s="15" t="s">
        <v>2191</v>
      </c>
      <c r="K732" s="15" t="s">
        <v>2192</v>
      </c>
      <c r="L732" s="15" t="s">
        <v>2184</v>
      </c>
      <c r="M732" s="15" t="s">
        <v>1478</v>
      </c>
      <c r="N732" s="15"/>
    </row>
    <row r="733" customFormat="false" ht="39" hidden="false" customHeight="true" outlineLevel="0" collapsed="false">
      <c r="A733" s="15" t="s">
        <v>3073</v>
      </c>
      <c r="B733" s="15" t="s">
        <v>312</v>
      </c>
      <c r="C733" s="15" t="s">
        <v>327</v>
      </c>
      <c r="D733" s="15" t="s">
        <v>3074</v>
      </c>
      <c r="E733" s="15" t="s">
        <v>2117</v>
      </c>
      <c r="F733" s="15" t="s">
        <v>2190</v>
      </c>
      <c r="G733" s="15" t="s">
        <v>120</v>
      </c>
      <c r="H733" s="15" t="s">
        <v>1988</v>
      </c>
      <c r="I733" s="23" t="n">
        <v>2999</v>
      </c>
      <c r="J733" s="15" t="s">
        <v>2191</v>
      </c>
      <c r="K733" s="15" t="s">
        <v>2192</v>
      </c>
      <c r="L733" s="15" t="s">
        <v>2184</v>
      </c>
      <c r="M733" s="15" t="s">
        <v>1478</v>
      </c>
      <c r="N733" s="15"/>
    </row>
    <row r="734" customFormat="false" ht="39" hidden="false" customHeight="true" outlineLevel="0" collapsed="false">
      <c r="A734" s="15" t="s">
        <v>3075</v>
      </c>
      <c r="B734" s="15" t="s">
        <v>312</v>
      </c>
      <c r="C734" s="15" t="s">
        <v>327</v>
      </c>
      <c r="D734" s="15" t="s">
        <v>2357</v>
      </c>
      <c r="E734" s="15" t="s">
        <v>2321</v>
      </c>
      <c r="F734" s="15" t="s">
        <v>2190</v>
      </c>
      <c r="G734" s="15" t="s">
        <v>120</v>
      </c>
      <c r="H734" s="15" t="s">
        <v>1988</v>
      </c>
      <c r="I734" s="23" t="n">
        <v>2838</v>
      </c>
      <c r="J734" s="15" t="s">
        <v>2191</v>
      </c>
      <c r="K734" s="15" t="s">
        <v>2192</v>
      </c>
      <c r="L734" s="15" t="s">
        <v>2184</v>
      </c>
      <c r="M734" s="15" t="s">
        <v>1478</v>
      </c>
      <c r="N734" s="15"/>
    </row>
    <row r="735" customFormat="false" ht="39" hidden="false" customHeight="true" outlineLevel="0" collapsed="false">
      <c r="A735" s="15" t="s">
        <v>3076</v>
      </c>
      <c r="B735" s="15" t="s">
        <v>312</v>
      </c>
      <c r="C735" s="15" t="s">
        <v>327</v>
      </c>
      <c r="D735" s="15" t="s">
        <v>2238</v>
      </c>
      <c r="E735" s="15" t="s">
        <v>2027</v>
      </c>
      <c r="F735" s="15" t="s">
        <v>2190</v>
      </c>
      <c r="G735" s="15" t="s">
        <v>120</v>
      </c>
      <c r="H735" s="15" t="s">
        <v>1988</v>
      </c>
      <c r="I735" s="23" t="n">
        <v>2599</v>
      </c>
      <c r="J735" s="15" t="s">
        <v>2191</v>
      </c>
      <c r="K735" s="15" t="s">
        <v>2192</v>
      </c>
      <c r="L735" s="15" t="s">
        <v>2184</v>
      </c>
      <c r="M735" s="15" t="s">
        <v>1478</v>
      </c>
      <c r="N735" s="15"/>
    </row>
    <row r="736" customFormat="false" ht="39" hidden="false" customHeight="true" outlineLevel="0" collapsed="false">
      <c r="A736" s="15" t="s">
        <v>3077</v>
      </c>
      <c r="B736" s="15" t="s">
        <v>312</v>
      </c>
      <c r="C736" s="15" t="s">
        <v>327</v>
      </c>
      <c r="D736" s="15" t="s">
        <v>2359</v>
      </c>
      <c r="E736" s="15" t="s">
        <v>2099</v>
      </c>
      <c r="F736" s="15" t="s">
        <v>2190</v>
      </c>
      <c r="G736" s="15" t="s">
        <v>120</v>
      </c>
      <c r="H736" s="15" t="s">
        <v>1988</v>
      </c>
      <c r="I736" s="23" t="n">
        <v>2599</v>
      </c>
      <c r="J736" s="15" t="s">
        <v>2191</v>
      </c>
      <c r="K736" s="15" t="s">
        <v>2192</v>
      </c>
      <c r="L736" s="15" t="s">
        <v>2184</v>
      </c>
      <c r="M736" s="15" t="s">
        <v>1478</v>
      </c>
      <c r="N736" s="15"/>
    </row>
    <row r="737" customFormat="false" ht="39" hidden="false" customHeight="true" outlineLevel="0" collapsed="false">
      <c r="A737" s="15" t="s">
        <v>3078</v>
      </c>
      <c r="B737" s="15" t="s">
        <v>312</v>
      </c>
      <c r="C737" s="15" t="s">
        <v>327</v>
      </c>
      <c r="D737" s="15" t="s">
        <v>3079</v>
      </c>
      <c r="E737" s="15" t="s">
        <v>1986</v>
      </c>
      <c r="F737" s="15" t="s">
        <v>2190</v>
      </c>
      <c r="G737" s="15" t="s">
        <v>120</v>
      </c>
      <c r="H737" s="15" t="s">
        <v>1988</v>
      </c>
      <c r="I737" s="23" t="n">
        <v>2499</v>
      </c>
      <c r="J737" s="15" t="s">
        <v>2191</v>
      </c>
      <c r="K737" s="15" t="s">
        <v>2192</v>
      </c>
      <c r="L737" s="15" t="s">
        <v>2184</v>
      </c>
      <c r="M737" s="15" t="s">
        <v>1478</v>
      </c>
      <c r="N737" s="15"/>
    </row>
    <row r="738" customFormat="false" ht="39" hidden="false" customHeight="true" outlineLevel="0" collapsed="false">
      <c r="A738" s="15" t="s">
        <v>3080</v>
      </c>
      <c r="B738" s="15" t="s">
        <v>312</v>
      </c>
      <c r="C738" s="15" t="s">
        <v>327</v>
      </c>
      <c r="D738" s="15" t="s">
        <v>3081</v>
      </c>
      <c r="E738" s="15" t="s">
        <v>1986</v>
      </c>
      <c r="F738" s="15" t="s">
        <v>2190</v>
      </c>
      <c r="G738" s="15" t="s">
        <v>120</v>
      </c>
      <c r="H738" s="15" t="s">
        <v>1988</v>
      </c>
      <c r="I738" s="23" t="n">
        <v>2299</v>
      </c>
      <c r="J738" s="15" t="s">
        <v>2191</v>
      </c>
      <c r="K738" s="15" t="s">
        <v>2192</v>
      </c>
      <c r="L738" s="15" t="s">
        <v>2184</v>
      </c>
      <c r="M738" s="15" t="s">
        <v>1478</v>
      </c>
      <c r="N738" s="15"/>
    </row>
    <row r="739" customFormat="false" ht="39" hidden="false" customHeight="true" outlineLevel="0" collapsed="false">
      <c r="A739" s="15" t="s">
        <v>3082</v>
      </c>
      <c r="B739" s="15" t="s">
        <v>312</v>
      </c>
      <c r="C739" s="15" t="s">
        <v>327</v>
      </c>
      <c r="D739" s="15" t="s">
        <v>3083</v>
      </c>
      <c r="E739" s="15" t="s">
        <v>2117</v>
      </c>
      <c r="F739" s="15" t="s">
        <v>2190</v>
      </c>
      <c r="G739" s="15" t="s">
        <v>120</v>
      </c>
      <c r="H739" s="15" t="s">
        <v>1988</v>
      </c>
      <c r="I739" s="23" t="n">
        <v>2199</v>
      </c>
      <c r="J739" s="15" t="s">
        <v>2191</v>
      </c>
      <c r="K739" s="15" t="s">
        <v>2192</v>
      </c>
      <c r="L739" s="15" t="s">
        <v>2184</v>
      </c>
      <c r="M739" s="15" t="s">
        <v>1478</v>
      </c>
      <c r="N739" s="15"/>
    </row>
    <row r="740" customFormat="false" ht="39" hidden="false" customHeight="true" outlineLevel="0" collapsed="false">
      <c r="A740" s="15" t="s">
        <v>3084</v>
      </c>
      <c r="B740" s="15" t="s">
        <v>312</v>
      </c>
      <c r="C740" s="15" t="s">
        <v>327</v>
      </c>
      <c r="D740" s="15" t="s">
        <v>3085</v>
      </c>
      <c r="E740" s="15" t="s">
        <v>2047</v>
      </c>
      <c r="F740" s="15" t="s">
        <v>2190</v>
      </c>
      <c r="G740" s="15" t="s">
        <v>120</v>
      </c>
      <c r="H740" s="15" t="s">
        <v>1988</v>
      </c>
      <c r="I740" s="23" t="n">
        <v>2199</v>
      </c>
      <c r="J740" s="15" t="s">
        <v>2191</v>
      </c>
      <c r="K740" s="15" t="s">
        <v>2192</v>
      </c>
      <c r="L740" s="15" t="s">
        <v>2184</v>
      </c>
      <c r="M740" s="15" t="s">
        <v>1478</v>
      </c>
      <c r="N740" s="15"/>
    </row>
    <row r="741" customFormat="false" ht="39" hidden="false" customHeight="true" outlineLevel="0" collapsed="false">
      <c r="A741" s="15" t="s">
        <v>3086</v>
      </c>
      <c r="B741" s="15" t="s">
        <v>312</v>
      </c>
      <c r="C741" s="15" t="s">
        <v>327</v>
      </c>
      <c r="D741" s="15" t="s">
        <v>3087</v>
      </c>
      <c r="E741" s="15" t="s">
        <v>2234</v>
      </c>
      <c r="F741" s="15" t="s">
        <v>2190</v>
      </c>
      <c r="G741" s="15" t="s">
        <v>120</v>
      </c>
      <c r="H741" s="15" t="s">
        <v>1988</v>
      </c>
      <c r="I741" s="23" t="n">
        <v>2199</v>
      </c>
      <c r="J741" s="15" t="s">
        <v>2191</v>
      </c>
      <c r="K741" s="15" t="s">
        <v>2192</v>
      </c>
      <c r="L741" s="15" t="s">
        <v>2184</v>
      </c>
      <c r="M741" s="15" t="s">
        <v>1478</v>
      </c>
      <c r="N741" s="15"/>
    </row>
    <row r="742" customFormat="false" ht="39" hidden="false" customHeight="true" outlineLevel="0" collapsed="false">
      <c r="A742" s="15" t="s">
        <v>3088</v>
      </c>
      <c r="B742" s="15" t="s">
        <v>312</v>
      </c>
      <c r="C742" s="15" t="s">
        <v>327</v>
      </c>
      <c r="D742" s="15" t="s">
        <v>3089</v>
      </c>
      <c r="E742" s="15" t="s">
        <v>2002</v>
      </c>
      <c r="F742" s="15" t="s">
        <v>2190</v>
      </c>
      <c r="G742" s="15" t="s">
        <v>120</v>
      </c>
      <c r="H742" s="15" t="s">
        <v>1988</v>
      </c>
      <c r="I742" s="23" t="n">
        <v>2099</v>
      </c>
      <c r="J742" s="15" t="s">
        <v>2191</v>
      </c>
      <c r="K742" s="15" t="s">
        <v>2192</v>
      </c>
      <c r="L742" s="15" t="s">
        <v>2184</v>
      </c>
      <c r="M742" s="15" t="s">
        <v>1478</v>
      </c>
      <c r="N742" s="15"/>
    </row>
    <row r="743" customFormat="false" ht="39" hidden="false" customHeight="true" outlineLevel="0" collapsed="false">
      <c r="A743" s="15" t="s">
        <v>3090</v>
      </c>
      <c r="B743" s="15" t="s">
        <v>312</v>
      </c>
      <c r="C743" s="15" t="s">
        <v>327</v>
      </c>
      <c r="D743" s="15" t="s">
        <v>2326</v>
      </c>
      <c r="E743" s="15" t="s">
        <v>2321</v>
      </c>
      <c r="F743" s="15" t="s">
        <v>2190</v>
      </c>
      <c r="G743" s="15" t="s">
        <v>120</v>
      </c>
      <c r="H743" s="15" t="s">
        <v>1988</v>
      </c>
      <c r="I743" s="23" t="n">
        <v>2099</v>
      </c>
      <c r="J743" s="15" t="s">
        <v>2191</v>
      </c>
      <c r="K743" s="15" t="s">
        <v>2192</v>
      </c>
      <c r="L743" s="15" t="s">
        <v>2184</v>
      </c>
      <c r="M743" s="15" t="s">
        <v>1478</v>
      </c>
      <c r="N743" s="15"/>
    </row>
    <row r="744" customFormat="false" ht="39" hidden="false" customHeight="true" outlineLevel="0" collapsed="false">
      <c r="A744" s="15" t="s">
        <v>3091</v>
      </c>
      <c r="B744" s="15" t="s">
        <v>312</v>
      </c>
      <c r="C744" s="15" t="s">
        <v>327</v>
      </c>
      <c r="D744" s="15" t="s">
        <v>2262</v>
      </c>
      <c r="E744" s="15" t="s">
        <v>2234</v>
      </c>
      <c r="F744" s="15" t="s">
        <v>2190</v>
      </c>
      <c r="G744" s="15" t="s">
        <v>120</v>
      </c>
      <c r="H744" s="15" t="s">
        <v>1988</v>
      </c>
      <c r="I744" s="23" t="n">
        <v>2005</v>
      </c>
      <c r="J744" s="15" t="s">
        <v>2191</v>
      </c>
      <c r="K744" s="15" t="s">
        <v>2192</v>
      </c>
      <c r="L744" s="15" t="s">
        <v>2184</v>
      </c>
      <c r="M744" s="15" t="s">
        <v>1478</v>
      </c>
      <c r="N744" s="15"/>
    </row>
    <row r="745" customFormat="false" ht="39" hidden="false" customHeight="true" outlineLevel="0" collapsed="false">
      <c r="A745" s="15" t="s">
        <v>3092</v>
      </c>
      <c r="B745" s="15" t="s">
        <v>312</v>
      </c>
      <c r="C745" s="15" t="s">
        <v>327</v>
      </c>
      <c r="D745" s="15" t="s">
        <v>3093</v>
      </c>
      <c r="E745" s="15" t="s">
        <v>2234</v>
      </c>
      <c r="F745" s="15" t="s">
        <v>2190</v>
      </c>
      <c r="G745" s="15" t="s">
        <v>120</v>
      </c>
      <c r="H745" s="15" t="s">
        <v>1988</v>
      </c>
      <c r="I745" s="23" t="n">
        <v>1999</v>
      </c>
      <c r="J745" s="15" t="s">
        <v>2191</v>
      </c>
      <c r="K745" s="15" t="s">
        <v>2192</v>
      </c>
      <c r="L745" s="15" t="s">
        <v>2184</v>
      </c>
      <c r="M745" s="15" t="s">
        <v>1478</v>
      </c>
      <c r="N745" s="15"/>
    </row>
    <row r="746" customFormat="false" ht="39" hidden="false" customHeight="true" outlineLevel="0" collapsed="false">
      <c r="A746" s="15" t="s">
        <v>3094</v>
      </c>
      <c r="B746" s="15" t="s">
        <v>312</v>
      </c>
      <c r="C746" s="15" t="s">
        <v>327</v>
      </c>
      <c r="D746" s="15" t="s">
        <v>2328</v>
      </c>
      <c r="E746" s="15" t="s">
        <v>2321</v>
      </c>
      <c r="F746" s="15" t="s">
        <v>2190</v>
      </c>
      <c r="G746" s="15" t="s">
        <v>120</v>
      </c>
      <c r="H746" s="15" t="s">
        <v>1988</v>
      </c>
      <c r="I746" s="23" t="n">
        <v>1999</v>
      </c>
      <c r="J746" s="15" t="s">
        <v>2191</v>
      </c>
      <c r="K746" s="15" t="s">
        <v>2192</v>
      </c>
      <c r="L746" s="15" t="s">
        <v>2184</v>
      </c>
      <c r="M746" s="15" t="s">
        <v>1478</v>
      </c>
      <c r="N746" s="15"/>
    </row>
    <row r="747" customFormat="false" ht="39" hidden="false" customHeight="true" outlineLevel="0" collapsed="false">
      <c r="A747" s="15" t="s">
        <v>3095</v>
      </c>
      <c r="B747" s="15" t="s">
        <v>312</v>
      </c>
      <c r="C747" s="15" t="s">
        <v>327</v>
      </c>
      <c r="D747" s="15" t="s">
        <v>3096</v>
      </c>
      <c r="E747" s="15" t="s">
        <v>1986</v>
      </c>
      <c r="F747" s="15" t="s">
        <v>2190</v>
      </c>
      <c r="G747" s="15" t="s">
        <v>120</v>
      </c>
      <c r="H747" s="15" t="s">
        <v>1988</v>
      </c>
      <c r="I747" s="23" t="n">
        <v>1999</v>
      </c>
      <c r="J747" s="15" t="s">
        <v>2191</v>
      </c>
      <c r="K747" s="15" t="s">
        <v>2192</v>
      </c>
      <c r="L747" s="15" t="s">
        <v>2184</v>
      </c>
      <c r="M747" s="15" t="s">
        <v>1478</v>
      </c>
      <c r="N747" s="15"/>
    </row>
    <row r="748" customFormat="false" ht="39" hidden="false" customHeight="true" outlineLevel="0" collapsed="false">
      <c r="A748" s="15" t="s">
        <v>3097</v>
      </c>
      <c r="B748" s="15" t="s">
        <v>312</v>
      </c>
      <c r="C748" s="15" t="s">
        <v>327</v>
      </c>
      <c r="D748" s="15" t="s">
        <v>3098</v>
      </c>
      <c r="E748" s="15" t="s">
        <v>1986</v>
      </c>
      <c r="F748" s="15" t="s">
        <v>2190</v>
      </c>
      <c r="G748" s="15" t="s">
        <v>120</v>
      </c>
      <c r="H748" s="15" t="s">
        <v>1988</v>
      </c>
      <c r="I748" s="23" t="n">
        <v>1899</v>
      </c>
      <c r="J748" s="15" t="s">
        <v>2191</v>
      </c>
      <c r="K748" s="15" t="s">
        <v>2192</v>
      </c>
      <c r="L748" s="15" t="s">
        <v>2184</v>
      </c>
      <c r="M748" s="15" t="s">
        <v>1478</v>
      </c>
      <c r="N748" s="15"/>
    </row>
    <row r="749" customFormat="false" ht="39" hidden="false" customHeight="true" outlineLevel="0" collapsed="false">
      <c r="A749" s="15" t="s">
        <v>3099</v>
      </c>
      <c r="B749" s="15" t="s">
        <v>312</v>
      </c>
      <c r="C749" s="15" t="s">
        <v>327</v>
      </c>
      <c r="D749" s="15" t="s">
        <v>2363</v>
      </c>
      <c r="E749" s="15" t="s">
        <v>2234</v>
      </c>
      <c r="F749" s="15" t="s">
        <v>2190</v>
      </c>
      <c r="G749" s="15" t="s">
        <v>120</v>
      </c>
      <c r="H749" s="15" t="s">
        <v>1988</v>
      </c>
      <c r="I749" s="23" t="n">
        <v>1899</v>
      </c>
      <c r="J749" s="15" t="s">
        <v>2191</v>
      </c>
      <c r="K749" s="15" t="s">
        <v>2192</v>
      </c>
      <c r="L749" s="15" t="s">
        <v>2184</v>
      </c>
      <c r="M749" s="15" t="s">
        <v>1478</v>
      </c>
      <c r="N749" s="15"/>
    </row>
    <row r="750" customFormat="false" ht="39" hidden="false" customHeight="true" outlineLevel="0" collapsed="false">
      <c r="A750" s="15" t="s">
        <v>3100</v>
      </c>
      <c r="B750" s="15" t="s">
        <v>312</v>
      </c>
      <c r="C750" s="15" t="s">
        <v>327</v>
      </c>
      <c r="D750" s="15" t="s">
        <v>2363</v>
      </c>
      <c r="E750" s="15" t="s">
        <v>2234</v>
      </c>
      <c r="F750" s="15" t="s">
        <v>2190</v>
      </c>
      <c r="G750" s="15" t="s">
        <v>120</v>
      </c>
      <c r="H750" s="15" t="s">
        <v>1988</v>
      </c>
      <c r="I750" s="23" t="n">
        <v>1799</v>
      </c>
      <c r="J750" s="15" t="s">
        <v>2191</v>
      </c>
      <c r="K750" s="15" t="s">
        <v>2192</v>
      </c>
      <c r="L750" s="15" t="s">
        <v>2184</v>
      </c>
      <c r="M750" s="15" t="s">
        <v>1478</v>
      </c>
      <c r="N750" s="15"/>
    </row>
    <row r="751" customFormat="false" ht="39" hidden="false" customHeight="true" outlineLevel="0" collapsed="false">
      <c r="A751" s="15" t="s">
        <v>3101</v>
      </c>
      <c r="B751" s="15" t="s">
        <v>312</v>
      </c>
      <c r="C751" s="15" t="s">
        <v>327</v>
      </c>
      <c r="D751" s="15" t="s">
        <v>2245</v>
      </c>
      <c r="E751" s="15" t="s">
        <v>2027</v>
      </c>
      <c r="F751" s="15" t="s">
        <v>2190</v>
      </c>
      <c r="G751" s="15" t="s">
        <v>120</v>
      </c>
      <c r="H751" s="15" t="s">
        <v>1988</v>
      </c>
      <c r="I751" s="23" t="n">
        <v>1499</v>
      </c>
      <c r="J751" s="15" t="s">
        <v>2191</v>
      </c>
      <c r="K751" s="15" t="s">
        <v>2192</v>
      </c>
      <c r="L751" s="15" t="s">
        <v>2184</v>
      </c>
      <c r="M751" s="15" t="s">
        <v>1478</v>
      </c>
      <c r="N751" s="15" t="s">
        <v>3033</v>
      </c>
    </row>
    <row r="752" customFormat="false" ht="39" hidden="false" customHeight="true" outlineLevel="0" collapsed="false">
      <c r="A752" s="15" t="s">
        <v>3102</v>
      </c>
      <c r="B752" s="15" t="s">
        <v>312</v>
      </c>
      <c r="C752" s="15" t="s">
        <v>327</v>
      </c>
      <c r="D752" s="15" t="s">
        <v>2268</v>
      </c>
      <c r="E752" s="15" t="s">
        <v>2032</v>
      </c>
      <c r="F752" s="15" t="s">
        <v>2190</v>
      </c>
      <c r="G752" s="15" t="s">
        <v>120</v>
      </c>
      <c r="H752" s="15" t="s">
        <v>1988</v>
      </c>
      <c r="I752" s="23" t="n">
        <v>1499</v>
      </c>
      <c r="J752" s="15" t="s">
        <v>2191</v>
      </c>
      <c r="K752" s="15" t="s">
        <v>2192</v>
      </c>
      <c r="L752" s="15" t="s">
        <v>2184</v>
      </c>
      <c r="M752" s="15" t="s">
        <v>1478</v>
      </c>
      <c r="N752" s="15"/>
    </row>
    <row r="753" customFormat="false" ht="39" hidden="false" customHeight="true" outlineLevel="0" collapsed="false">
      <c r="A753" s="15" t="s">
        <v>3103</v>
      </c>
      <c r="B753" s="15" t="s">
        <v>312</v>
      </c>
      <c r="C753" s="15" t="s">
        <v>327</v>
      </c>
      <c r="D753" s="15" t="s">
        <v>3104</v>
      </c>
      <c r="E753" s="15" t="s">
        <v>2032</v>
      </c>
      <c r="F753" s="15" t="s">
        <v>2190</v>
      </c>
      <c r="G753" s="15" t="s">
        <v>120</v>
      </c>
      <c r="H753" s="15" t="s">
        <v>1988</v>
      </c>
      <c r="I753" s="23" t="n">
        <v>1349</v>
      </c>
      <c r="J753" s="15" t="s">
        <v>2191</v>
      </c>
      <c r="K753" s="15" t="s">
        <v>2192</v>
      </c>
      <c r="L753" s="15" t="s">
        <v>2184</v>
      </c>
      <c r="M753" s="15" t="s">
        <v>1478</v>
      </c>
      <c r="N753" s="15"/>
    </row>
    <row r="754" customFormat="false" ht="39" hidden="false" customHeight="true" outlineLevel="0" collapsed="false">
      <c r="A754" s="15" t="s">
        <v>3105</v>
      </c>
      <c r="B754" s="15" t="s">
        <v>312</v>
      </c>
      <c r="C754" s="15" t="s">
        <v>327</v>
      </c>
      <c r="D754" s="15" t="s">
        <v>3074</v>
      </c>
      <c r="E754" s="15" t="s">
        <v>2117</v>
      </c>
      <c r="F754" s="15" t="s">
        <v>2190</v>
      </c>
      <c r="G754" s="15" t="s">
        <v>120</v>
      </c>
      <c r="H754" s="15" t="s">
        <v>1988</v>
      </c>
      <c r="I754" s="23" t="n">
        <v>1299</v>
      </c>
      <c r="J754" s="15" t="s">
        <v>2191</v>
      </c>
      <c r="K754" s="15" t="s">
        <v>2192</v>
      </c>
      <c r="L754" s="15" t="s">
        <v>2184</v>
      </c>
      <c r="M754" s="15" t="s">
        <v>1478</v>
      </c>
      <c r="N754" s="15"/>
    </row>
    <row r="755" customFormat="false" ht="39" hidden="false" customHeight="true" outlineLevel="0" collapsed="false">
      <c r="A755" s="15" t="s">
        <v>3106</v>
      </c>
      <c r="B755" s="15" t="s">
        <v>312</v>
      </c>
      <c r="C755" s="15" t="s">
        <v>327</v>
      </c>
      <c r="D755" s="15" t="s">
        <v>2366</v>
      </c>
      <c r="E755" s="15" t="s">
        <v>2099</v>
      </c>
      <c r="F755" s="15" t="s">
        <v>2190</v>
      </c>
      <c r="G755" s="15" t="s">
        <v>120</v>
      </c>
      <c r="H755" s="15" t="s">
        <v>1988</v>
      </c>
      <c r="I755" s="23" t="n">
        <v>1199</v>
      </c>
      <c r="J755" s="15" t="s">
        <v>2191</v>
      </c>
      <c r="K755" s="15" t="s">
        <v>2192</v>
      </c>
      <c r="L755" s="15" t="s">
        <v>2184</v>
      </c>
      <c r="M755" s="15" t="s">
        <v>1478</v>
      </c>
      <c r="N755" s="15"/>
    </row>
    <row r="756" customFormat="false" ht="39" hidden="false" customHeight="true" outlineLevel="0" collapsed="false">
      <c r="A756" s="15" t="s">
        <v>3107</v>
      </c>
      <c r="B756" s="15" t="s">
        <v>312</v>
      </c>
      <c r="C756" s="15" t="s">
        <v>327</v>
      </c>
      <c r="D756" s="15" t="s">
        <v>3108</v>
      </c>
      <c r="E756" s="15" t="s">
        <v>1986</v>
      </c>
      <c r="F756" s="15" t="s">
        <v>2190</v>
      </c>
      <c r="G756" s="15" t="s">
        <v>120</v>
      </c>
      <c r="H756" s="15" t="s">
        <v>1988</v>
      </c>
      <c r="I756" s="23" t="n">
        <v>1195</v>
      </c>
      <c r="J756" s="15" t="s">
        <v>2191</v>
      </c>
      <c r="K756" s="15" t="s">
        <v>2192</v>
      </c>
      <c r="L756" s="15" t="s">
        <v>2184</v>
      </c>
      <c r="M756" s="15" t="s">
        <v>1478</v>
      </c>
      <c r="N756" s="15"/>
    </row>
    <row r="757" customFormat="false" ht="39" hidden="false" customHeight="true" outlineLevel="0" collapsed="false">
      <c r="A757" s="15" t="s">
        <v>3109</v>
      </c>
      <c r="B757" s="15" t="s">
        <v>312</v>
      </c>
      <c r="C757" s="15" t="s">
        <v>327</v>
      </c>
      <c r="D757" s="15" t="s">
        <v>3110</v>
      </c>
      <c r="E757" s="15" t="s">
        <v>2002</v>
      </c>
      <c r="F757" s="15" t="s">
        <v>2190</v>
      </c>
      <c r="G757" s="15" t="s">
        <v>120</v>
      </c>
      <c r="H757" s="15" t="s">
        <v>1988</v>
      </c>
      <c r="I757" s="23" t="n">
        <v>1099</v>
      </c>
      <c r="J757" s="15" t="s">
        <v>2191</v>
      </c>
      <c r="K757" s="15" t="s">
        <v>2192</v>
      </c>
      <c r="L757" s="15" t="s">
        <v>2184</v>
      </c>
      <c r="M757" s="15" t="s">
        <v>1478</v>
      </c>
      <c r="N757" s="15" t="s">
        <v>3049</v>
      </c>
    </row>
    <row r="758" customFormat="false" ht="39" hidden="false" customHeight="true" outlineLevel="0" collapsed="false">
      <c r="A758" s="15" t="s">
        <v>3111</v>
      </c>
      <c r="B758" s="15" t="s">
        <v>312</v>
      </c>
      <c r="C758" s="15" t="s">
        <v>327</v>
      </c>
      <c r="D758" s="15" t="s">
        <v>2366</v>
      </c>
      <c r="E758" s="15" t="s">
        <v>2099</v>
      </c>
      <c r="F758" s="15" t="s">
        <v>2190</v>
      </c>
      <c r="G758" s="15" t="s">
        <v>120</v>
      </c>
      <c r="H758" s="15" t="s">
        <v>1988</v>
      </c>
      <c r="I758" s="23" t="n">
        <v>1063</v>
      </c>
      <c r="J758" s="15" t="s">
        <v>2191</v>
      </c>
      <c r="K758" s="15" t="s">
        <v>2192</v>
      </c>
      <c r="L758" s="15" t="s">
        <v>2184</v>
      </c>
      <c r="M758" s="15" t="s">
        <v>1478</v>
      </c>
      <c r="N758" s="15"/>
    </row>
    <row r="759" customFormat="false" ht="39" hidden="false" customHeight="true" outlineLevel="0" collapsed="false">
      <c r="A759" s="15" t="s">
        <v>3112</v>
      </c>
      <c r="B759" s="15" t="s">
        <v>312</v>
      </c>
      <c r="C759" s="15" t="s">
        <v>327</v>
      </c>
      <c r="D759" s="15" t="s">
        <v>2369</v>
      </c>
      <c r="E759" s="15" t="s">
        <v>2234</v>
      </c>
      <c r="F759" s="15" t="s">
        <v>2190</v>
      </c>
      <c r="G759" s="15" t="s">
        <v>120</v>
      </c>
      <c r="H759" s="15" t="s">
        <v>1988</v>
      </c>
      <c r="I759" s="23" t="n">
        <v>999</v>
      </c>
      <c r="J759" s="15" t="s">
        <v>2191</v>
      </c>
      <c r="K759" s="15" t="s">
        <v>2192</v>
      </c>
      <c r="L759" s="15" t="s">
        <v>2184</v>
      </c>
      <c r="M759" s="15" t="s">
        <v>1478</v>
      </c>
      <c r="N759" s="15"/>
    </row>
    <row r="760" customFormat="false" ht="39" hidden="false" customHeight="true" outlineLevel="0" collapsed="false">
      <c r="A760" s="15" t="s">
        <v>3113</v>
      </c>
      <c r="B760" s="15" t="s">
        <v>312</v>
      </c>
      <c r="C760" s="15" t="s">
        <v>327</v>
      </c>
      <c r="D760" s="15" t="s">
        <v>3114</v>
      </c>
      <c r="E760" s="15" t="s">
        <v>2002</v>
      </c>
      <c r="F760" s="15" t="s">
        <v>2190</v>
      </c>
      <c r="G760" s="15" t="s">
        <v>120</v>
      </c>
      <c r="H760" s="15" t="s">
        <v>1988</v>
      </c>
      <c r="I760" s="23" t="n">
        <v>999</v>
      </c>
      <c r="J760" s="15" t="s">
        <v>2191</v>
      </c>
      <c r="K760" s="15" t="s">
        <v>2192</v>
      </c>
      <c r="L760" s="15" t="s">
        <v>2184</v>
      </c>
      <c r="M760" s="15" t="s">
        <v>1478</v>
      </c>
      <c r="N760" s="15"/>
    </row>
    <row r="761" customFormat="false" ht="39" hidden="false" customHeight="true" outlineLevel="0" collapsed="false">
      <c r="A761" s="15" t="s">
        <v>3115</v>
      </c>
      <c r="B761" s="15" t="s">
        <v>312</v>
      </c>
      <c r="C761" s="15" t="s">
        <v>327</v>
      </c>
      <c r="D761" s="15" t="s">
        <v>2298</v>
      </c>
      <c r="E761" s="15" t="s">
        <v>2234</v>
      </c>
      <c r="F761" s="15" t="s">
        <v>2190</v>
      </c>
      <c r="G761" s="15" t="s">
        <v>120</v>
      </c>
      <c r="H761" s="15" t="s">
        <v>1988</v>
      </c>
      <c r="I761" s="23" t="n">
        <v>999</v>
      </c>
      <c r="J761" s="15" t="s">
        <v>2191</v>
      </c>
      <c r="K761" s="15" t="s">
        <v>2192</v>
      </c>
      <c r="L761" s="15" t="s">
        <v>2184</v>
      </c>
      <c r="M761" s="15" t="s">
        <v>1478</v>
      </c>
      <c r="N761" s="15"/>
    </row>
    <row r="762" customFormat="false" ht="39" hidden="false" customHeight="true" outlineLevel="0" collapsed="false">
      <c r="A762" s="15" t="s">
        <v>3116</v>
      </c>
      <c r="B762" s="15" t="s">
        <v>312</v>
      </c>
      <c r="C762" s="15" t="s">
        <v>327</v>
      </c>
      <c r="D762" s="15" t="s">
        <v>2243</v>
      </c>
      <c r="E762" s="15" t="s">
        <v>2027</v>
      </c>
      <c r="F762" s="15" t="s">
        <v>2190</v>
      </c>
      <c r="G762" s="15" t="s">
        <v>120</v>
      </c>
      <c r="H762" s="15" t="s">
        <v>1988</v>
      </c>
      <c r="I762" s="23" t="n">
        <v>899</v>
      </c>
      <c r="J762" s="15" t="s">
        <v>2191</v>
      </c>
      <c r="K762" s="15" t="s">
        <v>2192</v>
      </c>
      <c r="L762" s="15" t="s">
        <v>2184</v>
      </c>
      <c r="M762" s="15" t="s">
        <v>1478</v>
      </c>
      <c r="N762" s="15"/>
    </row>
    <row r="763" customFormat="false" ht="39" hidden="false" customHeight="true" outlineLevel="0" collapsed="false">
      <c r="A763" s="15" t="s">
        <v>3117</v>
      </c>
      <c r="B763" s="15" t="s">
        <v>312</v>
      </c>
      <c r="C763" s="15" t="s">
        <v>327</v>
      </c>
      <c r="D763" s="15" t="s">
        <v>2373</v>
      </c>
      <c r="E763" s="15" t="s">
        <v>2047</v>
      </c>
      <c r="F763" s="15" t="s">
        <v>2190</v>
      </c>
      <c r="G763" s="15" t="s">
        <v>120</v>
      </c>
      <c r="H763" s="15" t="s">
        <v>1988</v>
      </c>
      <c r="I763" s="23" t="n">
        <v>799</v>
      </c>
      <c r="J763" s="15" t="s">
        <v>2191</v>
      </c>
      <c r="K763" s="15" t="s">
        <v>2192</v>
      </c>
      <c r="L763" s="15" t="s">
        <v>2184</v>
      </c>
      <c r="M763" s="15" t="s">
        <v>1478</v>
      </c>
      <c r="N763" s="15"/>
    </row>
    <row r="764" customFormat="false" ht="39" hidden="false" customHeight="true" outlineLevel="0" collapsed="false">
      <c r="A764" s="15" t="s">
        <v>3118</v>
      </c>
      <c r="B764" s="15" t="s">
        <v>312</v>
      </c>
      <c r="C764" s="15" t="s">
        <v>327</v>
      </c>
      <c r="D764" s="15" t="s">
        <v>2371</v>
      </c>
      <c r="E764" s="15" t="s">
        <v>2032</v>
      </c>
      <c r="F764" s="15" t="s">
        <v>2190</v>
      </c>
      <c r="G764" s="15" t="s">
        <v>120</v>
      </c>
      <c r="H764" s="15" t="s">
        <v>1988</v>
      </c>
      <c r="I764" s="23" t="n">
        <v>799</v>
      </c>
      <c r="J764" s="15" t="s">
        <v>2191</v>
      </c>
      <c r="K764" s="15" t="s">
        <v>2192</v>
      </c>
      <c r="L764" s="15" t="s">
        <v>2184</v>
      </c>
      <c r="M764" s="15" t="s">
        <v>1478</v>
      </c>
      <c r="N764" s="15"/>
    </row>
    <row r="765" customFormat="false" ht="39" hidden="false" customHeight="true" outlineLevel="0" collapsed="false">
      <c r="A765" s="15" t="s">
        <v>3119</v>
      </c>
      <c r="B765" s="15" t="s">
        <v>312</v>
      </c>
      <c r="C765" s="15" t="s">
        <v>327</v>
      </c>
      <c r="D765" s="15" t="s">
        <v>2375</v>
      </c>
      <c r="E765" s="15" t="s">
        <v>2234</v>
      </c>
      <c r="F765" s="15" t="s">
        <v>2190</v>
      </c>
      <c r="G765" s="15" t="s">
        <v>120</v>
      </c>
      <c r="H765" s="15" t="s">
        <v>1988</v>
      </c>
      <c r="I765" s="23" t="n">
        <v>799</v>
      </c>
      <c r="J765" s="15" t="s">
        <v>2191</v>
      </c>
      <c r="K765" s="15" t="s">
        <v>2192</v>
      </c>
      <c r="L765" s="15" t="s">
        <v>2184</v>
      </c>
      <c r="M765" s="15" t="s">
        <v>1478</v>
      </c>
      <c r="N765" s="15"/>
    </row>
    <row r="766" customFormat="false" ht="39" hidden="false" customHeight="true" outlineLevel="0" collapsed="false">
      <c r="A766" s="15" t="s">
        <v>3120</v>
      </c>
      <c r="B766" s="15" t="s">
        <v>312</v>
      </c>
      <c r="C766" s="15" t="s">
        <v>327</v>
      </c>
      <c r="D766" s="15" t="s">
        <v>2377</v>
      </c>
      <c r="E766" s="15" t="s">
        <v>2234</v>
      </c>
      <c r="F766" s="15" t="s">
        <v>2190</v>
      </c>
      <c r="G766" s="15" t="s">
        <v>120</v>
      </c>
      <c r="H766" s="15" t="s">
        <v>1988</v>
      </c>
      <c r="I766" s="23" t="n">
        <v>752</v>
      </c>
      <c r="J766" s="15" t="s">
        <v>2191</v>
      </c>
      <c r="K766" s="15" t="s">
        <v>2192</v>
      </c>
      <c r="L766" s="15" t="s">
        <v>2184</v>
      </c>
      <c r="M766" s="15" t="s">
        <v>1478</v>
      </c>
      <c r="N766" s="15"/>
    </row>
    <row r="767" customFormat="false" ht="39" hidden="false" customHeight="true" outlineLevel="0" collapsed="false">
      <c r="A767" s="15" t="s">
        <v>3121</v>
      </c>
      <c r="B767" s="15" t="s">
        <v>312</v>
      </c>
      <c r="C767" s="15" t="s">
        <v>327</v>
      </c>
      <c r="D767" s="15" t="s">
        <v>2379</v>
      </c>
      <c r="E767" s="15" t="s">
        <v>2234</v>
      </c>
      <c r="F767" s="15" t="s">
        <v>2190</v>
      </c>
      <c r="G767" s="15" t="s">
        <v>120</v>
      </c>
      <c r="H767" s="15" t="s">
        <v>1988</v>
      </c>
      <c r="I767" s="23" t="n">
        <v>752</v>
      </c>
      <c r="J767" s="15" t="s">
        <v>2191</v>
      </c>
      <c r="K767" s="15" t="s">
        <v>2192</v>
      </c>
      <c r="L767" s="15" t="s">
        <v>2184</v>
      </c>
      <c r="M767" s="15" t="s">
        <v>1478</v>
      </c>
      <c r="N767" s="15"/>
    </row>
    <row r="768" customFormat="false" ht="39" hidden="false" customHeight="true" outlineLevel="0" collapsed="false">
      <c r="A768" s="15" t="s">
        <v>3122</v>
      </c>
      <c r="B768" s="15" t="s">
        <v>312</v>
      </c>
      <c r="C768" s="15" t="s">
        <v>327</v>
      </c>
      <c r="D768" s="15" t="s">
        <v>2381</v>
      </c>
      <c r="E768" s="15" t="s">
        <v>2234</v>
      </c>
      <c r="F768" s="15" t="s">
        <v>2190</v>
      </c>
      <c r="G768" s="15" t="s">
        <v>120</v>
      </c>
      <c r="H768" s="15" t="s">
        <v>1988</v>
      </c>
      <c r="I768" s="23" t="n">
        <v>739</v>
      </c>
      <c r="J768" s="15" t="s">
        <v>2191</v>
      </c>
      <c r="K768" s="15" t="s">
        <v>2192</v>
      </c>
      <c r="L768" s="15" t="s">
        <v>2184</v>
      </c>
      <c r="M768" s="15" t="s">
        <v>1478</v>
      </c>
      <c r="N768" s="15"/>
    </row>
    <row r="769" customFormat="false" ht="39" hidden="false" customHeight="true" outlineLevel="0" collapsed="false">
      <c r="A769" s="15" t="s">
        <v>3123</v>
      </c>
      <c r="B769" s="15" t="s">
        <v>312</v>
      </c>
      <c r="C769" s="15" t="s">
        <v>327</v>
      </c>
      <c r="D769" s="15" t="s">
        <v>2302</v>
      </c>
      <c r="E769" s="15" t="s">
        <v>2234</v>
      </c>
      <c r="F769" s="15" t="s">
        <v>2190</v>
      </c>
      <c r="G769" s="15" t="s">
        <v>120</v>
      </c>
      <c r="H769" s="15" t="s">
        <v>1988</v>
      </c>
      <c r="I769" s="23" t="n">
        <v>699</v>
      </c>
      <c r="J769" s="15" t="s">
        <v>2191</v>
      </c>
      <c r="K769" s="15" t="s">
        <v>2192</v>
      </c>
      <c r="L769" s="15" t="s">
        <v>2184</v>
      </c>
      <c r="M769" s="15" t="s">
        <v>1478</v>
      </c>
      <c r="N769" s="15" t="s">
        <v>3033</v>
      </c>
    </row>
    <row r="770" customFormat="false" ht="39" hidden="false" customHeight="true" outlineLevel="0" collapsed="false">
      <c r="A770" s="15" t="s">
        <v>3124</v>
      </c>
      <c r="B770" s="15" t="s">
        <v>312</v>
      </c>
      <c r="C770" s="15" t="s">
        <v>327</v>
      </c>
      <c r="D770" s="15" t="s">
        <v>2306</v>
      </c>
      <c r="E770" s="15" t="s">
        <v>2234</v>
      </c>
      <c r="F770" s="15" t="s">
        <v>2190</v>
      </c>
      <c r="G770" s="15" t="s">
        <v>120</v>
      </c>
      <c r="H770" s="15" t="s">
        <v>1988</v>
      </c>
      <c r="I770" s="23" t="n">
        <v>669</v>
      </c>
      <c r="J770" s="15" t="s">
        <v>2191</v>
      </c>
      <c r="K770" s="15" t="s">
        <v>2192</v>
      </c>
      <c r="L770" s="15" t="s">
        <v>2184</v>
      </c>
      <c r="M770" s="15" t="s">
        <v>1478</v>
      </c>
      <c r="N770" s="15"/>
    </row>
    <row r="771" customFormat="false" ht="39" hidden="false" customHeight="true" outlineLevel="0" collapsed="false">
      <c r="A771" s="15" t="s">
        <v>3125</v>
      </c>
      <c r="B771" s="15" t="s">
        <v>312</v>
      </c>
      <c r="C771" s="15" t="s">
        <v>327</v>
      </c>
      <c r="D771" s="15" t="s">
        <v>2383</v>
      </c>
      <c r="E771" s="15" t="s">
        <v>2234</v>
      </c>
      <c r="F771" s="15" t="s">
        <v>2190</v>
      </c>
      <c r="G771" s="15" t="s">
        <v>120</v>
      </c>
      <c r="H771" s="15" t="s">
        <v>1988</v>
      </c>
      <c r="I771" s="23" t="n">
        <v>659</v>
      </c>
      <c r="J771" s="15" t="s">
        <v>2191</v>
      </c>
      <c r="K771" s="15" t="s">
        <v>2192</v>
      </c>
      <c r="L771" s="15" t="s">
        <v>2184</v>
      </c>
      <c r="M771" s="15" t="s">
        <v>1478</v>
      </c>
      <c r="N771" s="15"/>
    </row>
    <row r="772" customFormat="false" ht="39" hidden="false" customHeight="true" outlineLevel="0" collapsed="false">
      <c r="A772" s="15" t="s">
        <v>3126</v>
      </c>
      <c r="B772" s="15" t="s">
        <v>312</v>
      </c>
      <c r="C772" s="15" t="s">
        <v>327</v>
      </c>
      <c r="D772" s="15" t="s">
        <v>2250</v>
      </c>
      <c r="E772" s="15" t="s">
        <v>2002</v>
      </c>
      <c r="F772" s="15" t="s">
        <v>2190</v>
      </c>
      <c r="G772" s="15" t="s">
        <v>120</v>
      </c>
      <c r="H772" s="15" t="s">
        <v>1988</v>
      </c>
      <c r="I772" s="23" t="n">
        <v>649</v>
      </c>
      <c r="J772" s="15" t="s">
        <v>2191</v>
      </c>
      <c r="K772" s="15" t="s">
        <v>2192</v>
      </c>
      <c r="L772" s="15" t="s">
        <v>2184</v>
      </c>
      <c r="M772" s="15" t="s">
        <v>1478</v>
      </c>
      <c r="N772" s="15"/>
    </row>
    <row r="773" customFormat="false" ht="39" hidden="false" customHeight="true" outlineLevel="0" collapsed="false">
      <c r="A773" s="15" t="s">
        <v>3127</v>
      </c>
      <c r="B773" s="15" t="s">
        <v>312</v>
      </c>
      <c r="C773" s="15" t="s">
        <v>327</v>
      </c>
      <c r="D773" s="15" t="s">
        <v>2252</v>
      </c>
      <c r="E773" s="15" t="s">
        <v>2027</v>
      </c>
      <c r="F773" s="15" t="s">
        <v>2190</v>
      </c>
      <c r="G773" s="15" t="s">
        <v>120</v>
      </c>
      <c r="H773" s="15" t="s">
        <v>1988</v>
      </c>
      <c r="I773" s="23" t="n">
        <v>599</v>
      </c>
      <c r="J773" s="15" t="s">
        <v>2191</v>
      </c>
      <c r="K773" s="15" t="s">
        <v>2192</v>
      </c>
      <c r="L773" s="15" t="s">
        <v>2184</v>
      </c>
      <c r="M773" s="15" t="s">
        <v>1478</v>
      </c>
      <c r="N773" s="15"/>
    </row>
    <row r="774" customFormat="false" ht="39" hidden="false" customHeight="true" outlineLevel="0" collapsed="false">
      <c r="A774" s="15" t="s">
        <v>3128</v>
      </c>
      <c r="B774" s="15" t="s">
        <v>312</v>
      </c>
      <c r="C774" s="15" t="s">
        <v>327</v>
      </c>
      <c r="D774" s="15" t="s">
        <v>2308</v>
      </c>
      <c r="E774" s="15" t="s">
        <v>2002</v>
      </c>
      <c r="F774" s="15" t="s">
        <v>2190</v>
      </c>
      <c r="G774" s="15" t="s">
        <v>120</v>
      </c>
      <c r="H774" s="15" t="s">
        <v>1988</v>
      </c>
      <c r="I774" s="23" t="n">
        <v>599</v>
      </c>
      <c r="J774" s="15" t="s">
        <v>2191</v>
      </c>
      <c r="K774" s="15" t="s">
        <v>2192</v>
      </c>
      <c r="L774" s="15" t="s">
        <v>2184</v>
      </c>
      <c r="M774" s="15" t="s">
        <v>1478</v>
      </c>
      <c r="N774" s="15"/>
    </row>
    <row r="775" customFormat="false" ht="39" hidden="false" customHeight="true" outlineLevel="0" collapsed="false">
      <c r="A775" s="15" t="s">
        <v>3129</v>
      </c>
      <c r="B775" s="15" t="s">
        <v>312</v>
      </c>
      <c r="C775" s="15" t="s">
        <v>327</v>
      </c>
      <c r="D775" s="15" t="s">
        <v>2385</v>
      </c>
      <c r="E775" s="15" t="s">
        <v>2047</v>
      </c>
      <c r="F775" s="15" t="s">
        <v>2190</v>
      </c>
      <c r="G775" s="15" t="s">
        <v>120</v>
      </c>
      <c r="H775" s="15" t="s">
        <v>1988</v>
      </c>
      <c r="I775" s="23" t="n">
        <v>579</v>
      </c>
      <c r="J775" s="15" t="s">
        <v>2191</v>
      </c>
      <c r="K775" s="15" t="s">
        <v>2192</v>
      </c>
      <c r="L775" s="15" t="s">
        <v>2184</v>
      </c>
      <c r="M775" s="15" t="s">
        <v>1478</v>
      </c>
      <c r="N775" s="15"/>
    </row>
    <row r="776" customFormat="false" ht="39" hidden="false" customHeight="true" outlineLevel="0" collapsed="false">
      <c r="A776" s="15" t="s">
        <v>3130</v>
      </c>
      <c r="B776" s="15" t="s">
        <v>312</v>
      </c>
      <c r="C776" s="15" t="s">
        <v>327</v>
      </c>
      <c r="D776" s="15" t="s">
        <v>2312</v>
      </c>
      <c r="E776" s="15" t="s">
        <v>2002</v>
      </c>
      <c r="F776" s="15" t="s">
        <v>2190</v>
      </c>
      <c r="G776" s="15" t="s">
        <v>120</v>
      </c>
      <c r="H776" s="15" t="s">
        <v>1988</v>
      </c>
      <c r="I776" s="23" t="n">
        <v>549</v>
      </c>
      <c r="J776" s="15" t="s">
        <v>2191</v>
      </c>
      <c r="K776" s="15" t="s">
        <v>2192</v>
      </c>
      <c r="L776" s="15" t="s">
        <v>2184</v>
      </c>
      <c r="M776" s="15" t="s">
        <v>1478</v>
      </c>
      <c r="N776" s="15"/>
    </row>
    <row r="777" customFormat="false" ht="39" hidden="false" customHeight="true" outlineLevel="0" collapsed="false">
      <c r="A777" s="15" t="s">
        <v>3131</v>
      </c>
      <c r="B777" s="15" t="s">
        <v>312</v>
      </c>
      <c r="C777" s="15" t="s">
        <v>327</v>
      </c>
      <c r="D777" s="15" t="s">
        <v>2310</v>
      </c>
      <c r="E777" s="15" t="s">
        <v>2002</v>
      </c>
      <c r="F777" s="15" t="s">
        <v>2190</v>
      </c>
      <c r="G777" s="15" t="s">
        <v>120</v>
      </c>
      <c r="H777" s="15" t="s">
        <v>1988</v>
      </c>
      <c r="I777" s="23" t="n">
        <v>549</v>
      </c>
      <c r="J777" s="15" t="s">
        <v>2191</v>
      </c>
      <c r="K777" s="15" t="s">
        <v>2192</v>
      </c>
      <c r="L777" s="15" t="s">
        <v>2184</v>
      </c>
      <c r="M777" s="15" t="s">
        <v>1478</v>
      </c>
      <c r="N777" s="15"/>
    </row>
    <row r="778" customFormat="false" ht="39" hidden="false" customHeight="true" outlineLevel="0" collapsed="false">
      <c r="A778" s="15" t="s">
        <v>3132</v>
      </c>
      <c r="B778" s="15" t="s">
        <v>312</v>
      </c>
      <c r="C778" s="15" t="s">
        <v>327</v>
      </c>
      <c r="D778" s="15" t="s">
        <v>2387</v>
      </c>
      <c r="E778" s="15" t="s">
        <v>2234</v>
      </c>
      <c r="F778" s="15" t="s">
        <v>2190</v>
      </c>
      <c r="G778" s="15" t="s">
        <v>120</v>
      </c>
      <c r="H778" s="15" t="s">
        <v>1988</v>
      </c>
      <c r="I778" s="23" t="n">
        <v>549</v>
      </c>
      <c r="J778" s="15" t="s">
        <v>2191</v>
      </c>
      <c r="K778" s="15" t="s">
        <v>2192</v>
      </c>
      <c r="L778" s="15" t="s">
        <v>2184</v>
      </c>
      <c r="M778" s="15" t="s">
        <v>1478</v>
      </c>
      <c r="N778" s="15"/>
    </row>
    <row r="779" customFormat="false" ht="39" hidden="false" customHeight="true" outlineLevel="0" collapsed="false">
      <c r="A779" s="15" t="s">
        <v>3133</v>
      </c>
      <c r="B779" s="15" t="s">
        <v>312</v>
      </c>
      <c r="C779" s="15" t="s">
        <v>327</v>
      </c>
      <c r="D779" s="15" t="s">
        <v>2389</v>
      </c>
      <c r="E779" s="15" t="s">
        <v>2234</v>
      </c>
      <c r="F779" s="15" t="s">
        <v>2190</v>
      </c>
      <c r="G779" s="15" t="s">
        <v>120</v>
      </c>
      <c r="H779" s="15" t="s">
        <v>1988</v>
      </c>
      <c r="I779" s="23" t="n">
        <v>499</v>
      </c>
      <c r="J779" s="15" t="s">
        <v>2191</v>
      </c>
      <c r="K779" s="15" t="s">
        <v>2192</v>
      </c>
      <c r="L779" s="15" t="s">
        <v>2184</v>
      </c>
      <c r="M779" s="15" t="s">
        <v>1478</v>
      </c>
      <c r="N779" s="15"/>
    </row>
    <row r="780" customFormat="false" ht="39" hidden="false" customHeight="true" outlineLevel="0" collapsed="false">
      <c r="A780" s="15" t="s">
        <v>3134</v>
      </c>
      <c r="B780" s="15" t="s">
        <v>312</v>
      </c>
      <c r="C780" s="15" t="s">
        <v>327</v>
      </c>
      <c r="D780" s="15" t="s">
        <v>2272</v>
      </c>
      <c r="E780" s="15" t="s">
        <v>2002</v>
      </c>
      <c r="F780" s="15" t="s">
        <v>2190</v>
      </c>
      <c r="G780" s="15" t="s">
        <v>120</v>
      </c>
      <c r="H780" s="15" t="s">
        <v>1988</v>
      </c>
      <c r="I780" s="23" t="n">
        <v>499</v>
      </c>
      <c r="J780" s="15" t="s">
        <v>2191</v>
      </c>
      <c r="K780" s="15" t="s">
        <v>2192</v>
      </c>
      <c r="L780" s="15" t="s">
        <v>2184</v>
      </c>
      <c r="M780" s="15" t="s">
        <v>1478</v>
      </c>
      <c r="N780" s="15"/>
    </row>
    <row r="781" customFormat="false" ht="39" hidden="false" customHeight="true" outlineLevel="0" collapsed="false">
      <c r="A781" s="15" t="s">
        <v>3135</v>
      </c>
      <c r="B781" s="15" t="s">
        <v>312</v>
      </c>
      <c r="C781" s="15" t="s">
        <v>327</v>
      </c>
      <c r="D781" s="15" t="s">
        <v>2274</v>
      </c>
      <c r="E781" s="15" t="s">
        <v>2002</v>
      </c>
      <c r="F781" s="15" t="s">
        <v>2190</v>
      </c>
      <c r="G781" s="15" t="s">
        <v>120</v>
      </c>
      <c r="H781" s="15" t="s">
        <v>1988</v>
      </c>
      <c r="I781" s="23" t="n">
        <v>449</v>
      </c>
      <c r="J781" s="15" t="s">
        <v>2191</v>
      </c>
      <c r="K781" s="15" t="s">
        <v>2192</v>
      </c>
      <c r="L781" s="15" t="s">
        <v>2184</v>
      </c>
      <c r="M781" s="15" t="s">
        <v>1478</v>
      </c>
      <c r="N781" s="15"/>
    </row>
    <row r="782" customFormat="false" ht="39" hidden="false" customHeight="true" outlineLevel="0" collapsed="false">
      <c r="A782" s="15" t="s">
        <v>3136</v>
      </c>
      <c r="B782" s="15" t="s">
        <v>312</v>
      </c>
      <c r="C782" s="15" t="s">
        <v>327</v>
      </c>
      <c r="D782" s="15" t="s">
        <v>2391</v>
      </c>
      <c r="E782" s="15" t="s">
        <v>2234</v>
      </c>
      <c r="F782" s="15" t="s">
        <v>2190</v>
      </c>
      <c r="G782" s="15" t="s">
        <v>120</v>
      </c>
      <c r="H782" s="15" t="s">
        <v>1988</v>
      </c>
      <c r="I782" s="23" t="n">
        <v>444</v>
      </c>
      <c r="J782" s="15" t="s">
        <v>2191</v>
      </c>
      <c r="K782" s="15" t="s">
        <v>2192</v>
      </c>
      <c r="L782" s="15" t="s">
        <v>2184</v>
      </c>
      <c r="M782" s="15" t="s">
        <v>1478</v>
      </c>
      <c r="N782" s="15"/>
    </row>
    <row r="783" customFormat="false" ht="39" hidden="false" customHeight="true" outlineLevel="0" collapsed="false">
      <c r="A783" s="15" t="s">
        <v>3137</v>
      </c>
      <c r="B783" s="15" t="s">
        <v>312</v>
      </c>
      <c r="C783" s="15" t="s">
        <v>327</v>
      </c>
      <c r="D783" s="15" t="s">
        <v>2314</v>
      </c>
      <c r="E783" s="15" t="s">
        <v>2234</v>
      </c>
      <c r="F783" s="15" t="s">
        <v>2190</v>
      </c>
      <c r="G783" s="15" t="s">
        <v>120</v>
      </c>
      <c r="H783" s="15" t="s">
        <v>1988</v>
      </c>
      <c r="I783" s="23" t="n">
        <v>439</v>
      </c>
      <c r="J783" s="15" t="s">
        <v>2191</v>
      </c>
      <c r="K783" s="15" t="s">
        <v>2192</v>
      </c>
      <c r="L783" s="15" t="s">
        <v>2184</v>
      </c>
      <c r="M783" s="15" t="s">
        <v>1478</v>
      </c>
      <c r="N783" s="15"/>
    </row>
    <row r="784" customFormat="false" ht="39" hidden="false" customHeight="true" outlineLevel="0" collapsed="false">
      <c r="A784" s="15" t="s">
        <v>3138</v>
      </c>
      <c r="B784" s="15" t="s">
        <v>312</v>
      </c>
      <c r="C784" s="15" t="s">
        <v>327</v>
      </c>
      <c r="D784" s="15" t="s">
        <v>2393</v>
      </c>
      <c r="E784" s="15" t="s">
        <v>2234</v>
      </c>
      <c r="F784" s="15" t="s">
        <v>2190</v>
      </c>
      <c r="G784" s="15" t="s">
        <v>120</v>
      </c>
      <c r="H784" s="15" t="s">
        <v>1988</v>
      </c>
      <c r="I784" s="23" t="n">
        <v>431</v>
      </c>
      <c r="J784" s="15" t="s">
        <v>2191</v>
      </c>
      <c r="K784" s="15" t="s">
        <v>2192</v>
      </c>
      <c r="L784" s="15" t="s">
        <v>2184</v>
      </c>
      <c r="M784" s="15" t="s">
        <v>1478</v>
      </c>
      <c r="N784" s="15"/>
    </row>
    <row r="785" customFormat="false" ht="39" hidden="false" customHeight="true" outlineLevel="0" collapsed="false">
      <c r="A785" s="15" t="s">
        <v>3139</v>
      </c>
      <c r="B785" s="15" t="s">
        <v>312</v>
      </c>
      <c r="C785" s="15" t="s">
        <v>327</v>
      </c>
      <c r="D785" s="15" t="s">
        <v>2397</v>
      </c>
      <c r="E785" s="15" t="s">
        <v>2234</v>
      </c>
      <c r="F785" s="15" t="s">
        <v>2190</v>
      </c>
      <c r="G785" s="15" t="s">
        <v>120</v>
      </c>
      <c r="H785" s="15" t="s">
        <v>1988</v>
      </c>
      <c r="I785" s="23" t="n">
        <v>419</v>
      </c>
      <c r="J785" s="15" t="s">
        <v>2191</v>
      </c>
      <c r="K785" s="15" t="s">
        <v>2192</v>
      </c>
      <c r="L785" s="15" t="s">
        <v>2184</v>
      </c>
      <c r="M785" s="15" t="s">
        <v>1478</v>
      </c>
      <c r="N785" s="15"/>
    </row>
    <row r="786" customFormat="false" ht="39" hidden="false" customHeight="true" outlineLevel="0" collapsed="false">
      <c r="A786" s="15" t="s">
        <v>3140</v>
      </c>
      <c r="B786" s="15" t="s">
        <v>312</v>
      </c>
      <c r="C786" s="15" t="s">
        <v>327</v>
      </c>
      <c r="D786" s="15" t="s">
        <v>2395</v>
      </c>
      <c r="E786" s="15" t="s">
        <v>2234</v>
      </c>
      <c r="F786" s="15" t="s">
        <v>2190</v>
      </c>
      <c r="G786" s="15" t="s">
        <v>120</v>
      </c>
      <c r="H786" s="15" t="s">
        <v>1988</v>
      </c>
      <c r="I786" s="23" t="n">
        <v>419</v>
      </c>
      <c r="J786" s="15" t="s">
        <v>2191</v>
      </c>
      <c r="K786" s="15" t="s">
        <v>2192</v>
      </c>
      <c r="L786" s="15" t="s">
        <v>2184</v>
      </c>
      <c r="M786" s="15" t="s">
        <v>1478</v>
      </c>
      <c r="N786" s="15"/>
    </row>
    <row r="787" customFormat="false" ht="39" hidden="false" customHeight="true" outlineLevel="0" collapsed="false">
      <c r="A787" s="15" t="s">
        <v>3141</v>
      </c>
      <c r="B787" s="15" t="s">
        <v>312</v>
      </c>
      <c r="C787" s="15" t="s">
        <v>327</v>
      </c>
      <c r="D787" s="15" t="s">
        <v>2399</v>
      </c>
      <c r="E787" s="15" t="s">
        <v>2234</v>
      </c>
      <c r="F787" s="15" t="s">
        <v>2190</v>
      </c>
      <c r="G787" s="15" t="s">
        <v>120</v>
      </c>
      <c r="H787" s="15" t="s">
        <v>1988</v>
      </c>
      <c r="I787" s="23" t="n">
        <v>399</v>
      </c>
      <c r="J787" s="15" t="s">
        <v>2191</v>
      </c>
      <c r="K787" s="15" t="s">
        <v>2192</v>
      </c>
      <c r="L787" s="15" t="s">
        <v>2184</v>
      </c>
      <c r="M787" s="15" t="s">
        <v>1478</v>
      </c>
      <c r="N787" s="15"/>
    </row>
    <row r="788" customFormat="false" ht="39" hidden="false" customHeight="true" outlineLevel="0" collapsed="false">
      <c r="A788" s="15" t="s">
        <v>3142</v>
      </c>
      <c r="B788" s="15" t="s">
        <v>312</v>
      </c>
      <c r="C788" s="15" t="s">
        <v>327</v>
      </c>
      <c r="D788" s="15" t="s">
        <v>2401</v>
      </c>
      <c r="E788" s="15" t="s">
        <v>2331</v>
      </c>
      <c r="F788" s="15" t="s">
        <v>2190</v>
      </c>
      <c r="G788" s="15" t="s">
        <v>120</v>
      </c>
      <c r="H788" s="15" t="s">
        <v>1988</v>
      </c>
      <c r="I788" s="23" t="n">
        <v>399</v>
      </c>
      <c r="J788" s="15" t="s">
        <v>2191</v>
      </c>
      <c r="K788" s="15" t="s">
        <v>2192</v>
      </c>
      <c r="L788" s="15" t="s">
        <v>2184</v>
      </c>
      <c r="M788" s="15" t="s">
        <v>1478</v>
      </c>
      <c r="N788" s="15"/>
    </row>
    <row r="789" customFormat="false" ht="39" hidden="false" customHeight="true" outlineLevel="0" collapsed="false">
      <c r="A789" s="15" t="s">
        <v>3143</v>
      </c>
      <c r="B789" s="15" t="s">
        <v>312</v>
      </c>
      <c r="C789" s="15" t="s">
        <v>327</v>
      </c>
      <c r="D789" s="15" t="s">
        <v>2278</v>
      </c>
      <c r="E789" s="15" t="s">
        <v>2002</v>
      </c>
      <c r="F789" s="15" t="s">
        <v>2190</v>
      </c>
      <c r="G789" s="15" t="s">
        <v>120</v>
      </c>
      <c r="H789" s="15" t="s">
        <v>1988</v>
      </c>
      <c r="I789" s="23" t="n">
        <v>349</v>
      </c>
      <c r="J789" s="15" t="s">
        <v>2191</v>
      </c>
      <c r="K789" s="15" t="s">
        <v>2192</v>
      </c>
      <c r="L789" s="15" t="s">
        <v>2184</v>
      </c>
      <c r="M789" s="15" t="s">
        <v>1478</v>
      </c>
      <c r="N789" s="15"/>
    </row>
    <row r="790" customFormat="false" ht="39" hidden="false" customHeight="true" outlineLevel="0" collapsed="false">
      <c r="A790" s="15" t="s">
        <v>3144</v>
      </c>
      <c r="B790" s="15" t="s">
        <v>312</v>
      </c>
      <c r="C790" s="15" t="s">
        <v>327</v>
      </c>
      <c r="D790" s="15" t="s">
        <v>2282</v>
      </c>
      <c r="E790" s="15" t="s">
        <v>2002</v>
      </c>
      <c r="F790" s="15" t="s">
        <v>2190</v>
      </c>
      <c r="G790" s="15" t="s">
        <v>120</v>
      </c>
      <c r="H790" s="15" t="s">
        <v>1988</v>
      </c>
      <c r="I790" s="23" t="n">
        <v>339</v>
      </c>
      <c r="J790" s="15" t="s">
        <v>2191</v>
      </c>
      <c r="K790" s="15" t="s">
        <v>2192</v>
      </c>
      <c r="L790" s="15" t="s">
        <v>2184</v>
      </c>
      <c r="M790" s="15" t="s">
        <v>1478</v>
      </c>
      <c r="N790" s="15"/>
    </row>
    <row r="791" customFormat="false" ht="39" hidden="false" customHeight="true" outlineLevel="0" collapsed="false">
      <c r="A791" s="15" t="s">
        <v>3145</v>
      </c>
      <c r="B791" s="15" t="s">
        <v>312</v>
      </c>
      <c r="C791" s="15" t="s">
        <v>327</v>
      </c>
      <c r="D791" s="15" t="s">
        <v>2280</v>
      </c>
      <c r="E791" s="15" t="s">
        <v>2002</v>
      </c>
      <c r="F791" s="15" t="s">
        <v>2190</v>
      </c>
      <c r="G791" s="15" t="s">
        <v>120</v>
      </c>
      <c r="H791" s="15" t="s">
        <v>1988</v>
      </c>
      <c r="I791" s="23" t="n">
        <v>339</v>
      </c>
      <c r="J791" s="15" t="s">
        <v>2191</v>
      </c>
      <c r="K791" s="15" t="s">
        <v>2192</v>
      </c>
      <c r="L791" s="15" t="s">
        <v>2184</v>
      </c>
      <c r="M791" s="15" t="s">
        <v>1478</v>
      </c>
      <c r="N791" s="15"/>
    </row>
    <row r="792" customFormat="false" ht="39" hidden="false" customHeight="true" outlineLevel="0" collapsed="false">
      <c r="A792" s="15" t="s">
        <v>3146</v>
      </c>
      <c r="B792" s="15" t="s">
        <v>312</v>
      </c>
      <c r="C792" s="15" t="s">
        <v>327</v>
      </c>
      <c r="D792" s="15" t="s">
        <v>2284</v>
      </c>
      <c r="E792" s="15" t="s">
        <v>2002</v>
      </c>
      <c r="F792" s="15" t="s">
        <v>2190</v>
      </c>
      <c r="G792" s="15" t="s">
        <v>120</v>
      </c>
      <c r="H792" s="15" t="s">
        <v>1988</v>
      </c>
      <c r="I792" s="23" t="n">
        <v>339</v>
      </c>
      <c r="J792" s="15" t="s">
        <v>2191</v>
      </c>
      <c r="K792" s="15" t="s">
        <v>2192</v>
      </c>
      <c r="L792" s="15" t="s">
        <v>2184</v>
      </c>
      <c r="M792" s="15" t="s">
        <v>1478</v>
      </c>
      <c r="N792" s="15"/>
    </row>
    <row r="793" customFormat="false" ht="39" hidden="false" customHeight="true" outlineLevel="0" collapsed="false">
      <c r="A793" s="15" t="s">
        <v>3147</v>
      </c>
      <c r="B793" s="15" t="s">
        <v>312</v>
      </c>
      <c r="C793" s="15" t="s">
        <v>327</v>
      </c>
      <c r="D793" s="15" t="s">
        <v>2286</v>
      </c>
      <c r="E793" s="15" t="s">
        <v>2002</v>
      </c>
      <c r="F793" s="15" t="s">
        <v>2190</v>
      </c>
      <c r="G793" s="15" t="s">
        <v>120</v>
      </c>
      <c r="H793" s="15" t="s">
        <v>1988</v>
      </c>
      <c r="I793" s="23" t="n">
        <v>333</v>
      </c>
      <c r="J793" s="15" t="s">
        <v>2191</v>
      </c>
      <c r="K793" s="15" t="s">
        <v>2192</v>
      </c>
      <c r="L793" s="15" t="s">
        <v>2184</v>
      </c>
      <c r="M793" s="15" t="s">
        <v>1478</v>
      </c>
      <c r="N793" s="15"/>
    </row>
    <row r="794" customFormat="false" ht="39" hidden="false" customHeight="true" outlineLevel="0" collapsed="false">
      <c r="A794" s="15" t="s">
        <v>3148</v>
      </c>
      <c r="B794" s="15" t="s">
        <v>312</v>
      </c>
      <c r="C794" s="15" t="s">
        <v>327</v>
      </c>
      <c r="D794" s="15" t="s">
        <v>2403</v>
      </c>
      <c r="E794" s="15" t="s">
        <v>2234</v>
      </c>
      <c r="F794" s="15" t="s">
        <v>2190</v>
      </c>
      <c r="G794" s="15" t="s">
        <v>120</v>
      </c>
      <c r="H794" s="15" t="s">
        <v>1988</v>
      </c>
      <c r="I794" s="23" t="n">
        <v>330</v>
      </c>
      <c r="J794" s="15" t="s">
        <v>2191</v>
      </c>
      <c r="K794" s="15" t="s">
        <v>2192</v>
      </c>
      <c r="L794" s="15" t="s">
        <v>2184</v>
      </c>
      <c r="M794" s="15" t="s">
        <v>1478</v>
      </c>
      <c r="N794" s="15"/>
    </row>
    <row r="795" customFormat="false" ht="39" hidden="false" customHeight="true" outlineLevel="0" collapsed="false">
      <c r="A795" s="15" t="s">
        <v>3149</v>
      </c>
      <c r="B795" s="15" t="s">
        <v>312</v>
      </c>
      <c r="C795" s="15" t="s">
        <v>327</v>
      </c>
      <c r="D795" s="15" t="s">
        <v>2405</v>
      </c>
      <c r="E795" s="15" t="s">
        <v>2002</v>
      </c>
      <c r="F795" s="15" t="s">
        <v>2190</v>
      </c>
      <c r="G795" s="15" t="s">
        <v>120</v>
      </c>
      <c r="H795" s="15" t="s">
        <v>1988</v>
      </c>
      <c r="I795" s="23" t="n">
        <v>329</v>
      </c>
      <c r="J795" s="15" t="s">
        <v>2191</v>
      </c>
      <c r="K795" s="15" t="s">
        <v>2192</v>
      </c>
      <c r="L795" s="15" t="s">
        <v>2184</v>
      </c>
      <c r="M795" s="15" t="s">
        <v>1478</v>
      </c>
      <c r="N795" s="15"/>
    </row>
    <row r="796" customFormat="false" ht="39" hidden="false" customHeight="true" outlineLevel="0" collapsed="false">
      <c r="A796" s="15" t="s">
        <v>3150</v>
      </c>
      <c r="B796" s="15" t="s">
        <v>312</v>
      </c>
      <c r="C796" s="15" t="s">
        <v>327</v>
      </c>
      <c r="D796" s="15" t="s">
        <v>2407</v>
      </c>
      <c r="E796" s="15" t="s">
        <v>2234</v>
      </c>
      <c r="F796" s="15" t="s">
        <v>2190</v>
      </c>
      <c r="G796" s="15" t="s">
        <v>120</v>
      </c>
      <c r="H796" s="15" t="s">
        <v>1988</v>
      </c>
      <c r="I796" s="23" t="n">
        <v>319</v>
      </c>
      <c r="J796" s="15" t="s">
        <v>2191</v>
      </c>
      <c r="K796" s="15" t="s">
        <v>2192</v>
      </c>
      <c r="L796" s="15" t="s">
        <v>2184</v>
      </c>
      <c r="M796" s="15" t="s">
        <v>1478</v>
      </c>
      <c r="N796" s="15"/>
    </row>
    <row r="797" customFormat="false" ht="39" hidden="false" customHeight="true" outlineLevel="0" collapsed="false">
      <c r="A797" s="15" t="s">
        <v>3151</v>
      </c>
      <c r="B797" s="15" t="s">
        <v>312</v>
      </c>
      <c r="C797" s="15" t="s">
        <v>327</v>
      </c>
      <c r="D797" s="15" t="s">
        <v>2409</v>
      </c>
      <c r="E797" s="15" t="s">
        <v>2234</v>
      </c>
      <c r="F797" s="15" t="s">
        <v>2190</v>
      </c>
      <c r="G797" s="15" t="s">
        <v>120</v>
      </c>
      <c r="H797" s="15" t="s">
        <v>1988</v>
      </c>
      <c r="I797" s="23" t="n">
        <v>319</v>
      </c>
      <c r="J797" s="15" t="s">
        <v>2191</v>
      </c>
      <c r="K797" s="15" t="s">
        <v>2192</v>
      </c>
      <c r="L797" s="15" t="s">
        <v>2184</v>
      </c>
      <c r="M797" s="15" t="s">
        <v>1478</v>
      </c>
      <c r="N797" s="15"/>
    </row>
    <row r="798" customFormat="false" ht="39" hidden="false" customHeight="true" outlineLevel="0" collapsed="false">
      <c r="A798" s="15" t="s">
        <v>3152</v>
      </c>
      <c r="B798" s="15" t="s">
        <v>312</v>
      </c>
      <c r="C798" s="15" t="s">
        <v>327</v>
      </c>
      <c r="D798" s="15" t="s">
        <v>2411</v>
      </c>
      <c r="E798" s="15" t="s">
        <v>2234</v>
      </c>
      <c r="F798" s="15" t="s">
        <v>2190</v>
      </c>
      <c r="G798" s="15" t="s">
        <v>120</v>
      </c>
      <c r="H798" s="15" t="s">
        <v>1988</v>
      </c>
      <c r="I798" s="23" t="n">
        <v>319</v>
      </c>
      <c r="J798" s="15" t="s">
        <v>2191</v>
      </c>
      <c r="K798" s="15" t="s">
        <v>2192</v>
      </c>
      <c r="L798" s="15" t="s">
        <v>2184</v>
      </c>
      <c r="M798" s="15" t="s">
        <v>1478</v>
      </c>
      <c r="N798" s="15"/>
    </row>
    <row r="799" customFormat="false" ht="39" hidden="false" customHeight="true" outlineLevel="0" collapsed="false">
      <c r="A799" s="15" t="s">
        <v>3153</v>
      </c>
      <c r="B799" s="15" t="s">
        <v>312</v>
      </c>
      <c r="C799" s="15" t="s">
        <v>327</v>
      </c>
      <c r="D799" s="15" t="s">
        <v>2223</v>
      </c>
      <c r="E799" s="15" t="s">
        <v>2002</v>
      </c>
      <c r="F799" s="15" t="s">
        <v>2190</v>
      </c>
      <c r="G799" s="15" t="s">
        <v>120</v>
      </c>
      <c r="H799" s="15" t="s">
        <v>1988</v>
      </c>
      <c r="I799" s="23" t="n">
        <v>299</v>
      </c>
      <c r="J799" s="15" t="s">
        <v>2191</v>
      </c>
      <c r="K799" s="15" t="s">
        <v>2192</v>
      </c>
      <c r="L799" s="15" t="s">
        <v>2184</v>
      </c>
      <c r="M799" s="15" t="s">
        <v>1478</v>
      </c>
      <c r="N799" s="15"/>
    </row>
    <row r="800" customFormat="false" ht="39" hidden="false" customHeight="true" outlineLevel="0" collapsed="false">
      <c r="A800" s="15" t="s">
        <v>3154</v>
      </c>
      <c r="B800" s="15" t="s">
        <v>312</v>
      </c>
      <c r="C800" s="15" t="s">
        <v>327</v>
      </c>
      <c r="D800" s="15" t="s">
        <v>2288</v>
      </c>
      <c r="E800" s="15" t="s">
        <v>2002</v>
      </c>
      <c r="F800" s="15" t="s">
        <v>2190</v>
      </c>
      <c r="G800" s="15" t="s">
        <v>120</v>
      </c>
      <c r="H800" s="15" t="s">
        <v>1988</v>
      </c>
      <c r="I800" s="23" t="n">
        <v>299</v>
      </c>
      <c r="J800" s="15" t="s">
        <v>2191</v>
      </c>
      <c r="K800" s="15" t="s">
        <v>2192</v>
      </c>
      <c r="L800" s="15" t="s">
        <v>2184</v>
      </c>
      <c r="M800" s="15" t="s">
        <v>1478</v>
      </c>
      <c r="N800" s="15"/>
    </row>
    <row r="801" customFormat="false" ht="39" hidden="false" customHeight="true" outlineLevel="0" collapsed="false">
      <c r="A801" s="15" t="s">
        <v>3155</v>
      </c>
      <c r="B801" s="15" t="s">
        <v>312</v>
      </c>
      <c r="C801" s="15" t="s">
        <v>327</v>
      </c>
      <c r="D801" s="15" t="s">
        <v>2413</v>
      </c>
      <c r="E801" s="15" t="s">
        <v>2234</v>
      </c>
      <c r="F801" s="15" t="s">
        <v>2190</v>
      </c>
      <c r="G801" s="15" t="s">
        <v>120</v>
      </c>
      <c r="H801" s="15" t="s">
        <v>1988</v>
      </c>
      <c r="I801" s="23" t="n">
        <v>289</v>
      </c>
      <c r="J801" s="15" t="s">
        <v>2191</v>
      </c>
      <c r="K801" s="15" t="s">
        <v>2192</v>
      </c>
      <c r="L801" s="15" t="s">
        <v>2184</v>
      </c>
      <c r="M801" s="15" t="s">
        <v>1478</v>
      </c>
      <c r="N801" s="15"/>
    </row>
    <row r="802" customFormat="false" ht="39" hidden="false" customHeight="true" outlineLevel="0" collapsed="false">
      <c r="A802" s="15" t="s">
        <v>3156</v>
      </c>
      <c r="B802" s="15" t="s">
        <v>312</v>
      </c>
      <c r="C802" s="15" t="s">
        <v>327</v>
      </c>
      <c r="D802" s="15" t="s">
        <v>2415</v>
      </c>
      <c r="E802" s="15" t="s">
        <v>2234</v>
      </c>
      <c r="F802" s="15" t="s">
        <v>2190</v>
      </c>
      <c r="G802" s="15" t="s">
        <v>120</v>
      </c>
      <c r="H802" s="15" t="s">
        <v>1988</v>
      </c>
      <c r="I802" s="23" t="n">
        <v>269</v>
      </c>
      <c r="J802" s="15" t="s">
        <v>2191</v>
      </c>
      <c r="K802" s="15" t="s">
        <v>2192</v>
      </c>
      <c r="L802" s="15" t="s">
        <v>2184</v>
      </c>
      <c r="M802" s="15" t="s">
        <v>1478</v>
      </c>
      <c r="N802" s="15"/>
    </row>
    <row r="803" customFormat="false" ht="39" hidden="false" customHeight="true" outlineLevel="0" collapsed="false">
      <c r="A803" s="15" t="s">
        <v>3157</v>
      </c>
      <c r="B803" s="15" t="s">
        <v>312</v>
      </c>
      <c r="C803" s="15" t="s">
        <v>327</v>
      </c>
      <c r="D803" s="15" t="s">
        <v>2254</v>
      </c>
      <c r="E803" s="15" t="s">
        <v>2234</v>
      </c>
      <c r="F803" s="15" t="s">
        <v>2190</v>
      </c>
      <c r="G803" s="15" t="s">
        <v>120</v>
      </c>
      <c r="H803" s="15" t="s">
        <v>1988</v>
      </c>
      <c r="I803" s="23" t="n">
        <v>262</v>
      </c>
      <c r="J803" s="15" t="s">
        <v>2191</v>
      </c>
      <c r="K803" s="15" t="s">
        <v>2192</v>
      </c>
      <c r="L803" s="15" t="s">
        <v>2184</v>
      </c>
      <c r="M803" s="15" t="s">
        <v>1478</v>
      </c>
      <c r="N803" s="15" t="s">
        <v>3158</v>
      </c>
    </row>
    <row r="804" customFormat="false" ht="39" hidden="false" customHeight="true" outlineLevel="0" collapsed="false">
      <c r="A804" s="15" t="s">
        <v>3159</v>
      </c>
      <c r="B804" s="15" t="s">
        <v>312</v>
      </c>
      <c r="C804" s="15" t="s">
        <v>327</v>
      </c>
      <c r="D804" s="15" t="s">
        <v>2417</v>
      </c>
      <c r="E804" s="15" t="s">
        <v>2234</v>
      </c>
      <c r="F804" s="15" t="s">
        <v>2190</v>
      </c>
      <c r="G804" s="15" t="s">
        <v>120</v>
      </c>
      <c r="H804" s="15" t="s">
        <v>1988</v>
      </c>
      <c r="I804" s="23" t="n">
        <v>249</v>
      </c>
      <c r="J804" s="15" t="s">
        <v>2191</v>
      </c>
      <c r="K804" s="15" t="s">
        <v>2192</v>
      </c>
      <c r="L804" s="15" t="s">
        <v>2184</v>
      </c>
      <c r="M804" s="15" t="s">
        <v>1478</v>
      </c>
      <c r="N804" s="15"/>
    </row>
    <row r="805" customFormat="false" ht="39" hidden="false" customHeight="true" outlineLevel="0" collapsed="false">
      <c r="A805" s="15" t="s">
        <v>3160</v>
      </c>
      <c r="B805" s="15" t="s">
        <v>312</v>
      </c>
      <c r="C805" s="15" t="s">
        <v>327</v>
      </c>
      <c r="D805" s="15" t="s">
        <v>2419</v>
      </c>
      <c r="E805" s="15" t="s">
        <v>2234</v>
      </c>
      <c r="F805" s="15" t="s">
        <v>2190</v>
      </c>
      <c r="G805" s="15" t="s">
        <v>120</v>
      </c>
      <c r="H805" s="15" t="s">
        <v>1988</v>
      </c>
      <c r="I805" s="23" t="n">
        <v>243</v>
      </c>
      <c r="J805" s="15" t="s">
        <v>2191</v>
      </c>
      <c r="K805" s="15" t="s">
        <v>2192</v>
      </c>
      <c r="L805" s="15" t="s">
        <v>2184</v>
      </c>
      <c r="M805" s="15" t="s">
        <v>1478</v>
      </c>
      <c r="N805" s="15"/>
    </row>
    <row r="806" customFormat="false" ht="39" hidden="false" customHeight="true" outlineLevel="0" collapsed="false">
      <c r="A806" s="15" t="s">
        <v>3161</v>
      </c>
      <c r="B806" s="15" t="s">
        <v>312</v>
      </c>
      <c r="C806" s="15" t="s">
        <v>327</v>
      </c>
      <c r="D806" s="15" t="s">
        <v>2316</v>
      </c>
      <c r="E806" s="15" t="s">
        <v>2002</v>
      </c>
      <c r="F806" s="15" t="s">
        <v>2190</v>
      </c>
      <c r="G806" s="15" t="s">
        <v>120</v>
      </c>
      <c r="H806" s="15" t="s">
        <v>1988</v>
      </c>
      <c r="I806" s="23" t="n">
        <v>239</v>
      </c>
      <c r="J806" s="15" t="s">
        <v>2191</v>
      </c>
      <c r="K806" s="15" t="s">
        <v>2192</v>
      </c>
      <c r="L806" s="15" t="s">
        <v>2184</v>
      </c>
      <c r="M806" s="15" t="s">
        <v>1478</v>
      </c>
      <c r="N806" s="15"/>
    </row>
    <row r="807" customFormat="false" ht="39" hidden="false" customHeight="true" outlineLevel="0" collapsed="false">
      <c r="A807" s="15" t="s">
        <v>3162</v>
      </c>
      <c r="B807" s="15" t="s">
        <v>312</v>
      </c>
      <c r="C807" s="15" t="s">
        <v>327</v>
      </c>
      <c r="D807" s="15" t="s">
        <v>2421</v>
      </c>
      <c r="E807" s="15" t="s">
        <v>2234</v>
      </c>
      <c r="F807" s="15" t="s">
        <v>2190</v>
      </c>
      <c r="G807" s="15" t="s">
        <v>120</v>
      </c>
      <c r="H807" s="15" t="s">
        <v>1988</v>
      </c>
      <c r="I807" s="23" t="n">
        <v>222</v>
      </c>
      <c r="J807" s="15" t="s">
        <v>2191</v>
      </c>
      <c r="K807" s="15" t="s">
        <v>2192</v>
      </c>
      <c r="L807" s="15" t="s">
        <v>2184</v>
      </c>
      <c r="M807" s="15" t="s">
        <v>1478</v>
      </c>
      <c r="N807" s="15"/>
    </row>
    <row r="808" customFormat="false" ht="39" hidden="false" customHeight="true" outlineLevel="0" collapsed="false">
      <c r="A808" s="15" t="s">
        <v>3163</v>
      </c>
      <c r="B808" s="15" t="s">
        <v>312</v>
      </c>
      <c r="C808" s="15" t="s">
        <v>327</v>
      </c>
      <c r="D808" s="15" t="s">
        <v>2423</v>
      </c>
      <c r="E808" s="15" t="s">
        <v>2234</v>
      </c>
      <c r="F808" s="15" t="s">
        <v>2190</v>
      </c>
      <c r="G808" s="15" t="s">
        <v>120</v>
      </c>
      <c r="H808" s="15" t="s">
        <v>1988</v>
      </c>
      <c r="I808" s="23" t="n">
        <v>222</v>
      </c>
      <c r="J808" s="15" t="s">
        <v>2191</v>
      </c>
      <c r="K808" s="15" t="s">
        <v>2192</v>
      </c>
      <c r="L808" s="15" t="s">
        <v>2184</v>
      </c>
      <c r="M808" s="15" t="s">
        <v>1478</v>
      </c>
      <c r="N808" s="15"/>
    </row>
    <row r="809" customFormat="false" ht="39" hidden="false" customHeight="true" outlineLevel="0" collapsed="false">
      <c r="A809" s="15" t="s">
        <v>3164</v>
      </c>
      <c r="B809" s="15" t="s">
        <v>312</v>
      </c>
      <c r="C809" s="15" t="s">
        <v>327</v>
      </c>
      <c r="D809" s="15" t="s">
        <v>2425</v>
      </c>
      <c r="E809" s="15" t="s">
        <v>2234</v>
      </c>
      <c r="F809" s="15" t="s">
        <v>2190</v>
      </c>
      <c r="G809" s="15" t="s">
        <v>120</v>
      </c>
      <c r="H809" s="15" t="s">
        <v>1988</v>
      </c>
      <c r="I809" s="23" t="n">
        <v>221</v>
      </c>
      <c r="J809" s="15" t="s">
        <v>2191</v>
      </c>
      <c r="K809" s="15" t="s">
        <v>2192</v>
      </c>
      <c r="L809" s="15" t="s">
        <v>2184</v>
      </c>
      <c r="M809" s="15" t="s">
        <v>1478</v>
      </c>
      <c r="N809" s="15"/>
    </row>
    <row r="810" customFormat="false" ht="39" hidden="false" customHeight="true" outlineLevel="0" collapsed="false">
      <c r="A810" s="15" t="s">
        <v>3165</v>
      </c>
      <c r="B810" s="15" t="s">
        <v>312</v>
      </c>
      <c r="C810" s="15" t="s">
        <v>327</v>
      </c>
      <c r="D810" s="15" t="s">
        <v>2427</v>
      </c>
      <c r="E810" s="15" t="s">
        <v>2234</v>
      </c>
      <c r="F810" s="15" t="s">
        <v>2190</v>
      </c>
      <c r="G810" s="15" t="s">
        <v>120</v>
      </c>
      <c r="H810" s="15" t="s">
        <v>1988</v>
      </c>
      <c r="I810" s="23" t="n">
        <v>199</v>
      </c>
      <c r="J810" s="15" t="s">
        <v>2191</v>
      </c>
      <c r="K810" s="15" t="s">
        <v>2192</v>
      </c>
      <c r="L810" s="15" t="s">
        <v>2184</v>
      </c>
      <c r="M810" s="15" t="s">
        <v>1478</v>
      </c>
      <c r="N810" s="15"/>
    </row>
    <row r="811" customFormat="false" ht="39" hidden="false" customHeight="true" outlineLevel="0" collapsed="false">
      <c r="A811" s="15" t="s">
        <v>3166</v>
      </c>
      <c r="B811" s="15" t="s">
        <v>312</v>
      </c>
      <c r="C811" s="15" t="s">
        <v>327</v>
      </c>
      <c r="D811" s="15" t="s">
        <v>2429</v>
      </c>
      <c r="E811" s="15" t="s">
        <v>2234</v>
      </c>
      <c r="F811" s="15" t="s">
        <v>2190</v>
      </c>
      <c r="G811" s="15" t="s">
        <v>120</v>
      </c>
      <c r="H811" s="15" t="s">
        <v>1988</v>
      </c>
      <c r="I811" s="23" t="n">
        <v>195</v>
      </c>
      <c r="J811" s="15" t="s">
        <v>2191</v>
      </c>
      <c r="K811" s="15" t="s">
        <v>2192</v>
      </c>
      <c r="L811" s="15" t="s">
        <v>2184</v>
      </c>
      <c r="M811" s="15" t="s">
        <v>1478</v>
      </c>
      <c r="N811" s="15"/>
    </row>
    <row r="812" customFormat="false" ht="39" hidden="false" customHeight="true" outlineLevel="0" collapsed="false">
      <c r="A812" s="15" t="s">
        <v>3167</v>
      </c>
      <c r="B812" s="15" t="s">
        <v>312</v>
      </c>
      <c r="C812" s="15" t="s">
        <v>327</v>
      </c>
      <c r="D812" s="15" t="s">
        <v>2433</v>
      </c>
      <c r="E812" s="15" t="s">
        <v>2234</v>
      </c>
      <c r="F812" s="15" t="s">
        <v>2190</v>
      </c>
      <c r="G812" s="15" t="s">
        <v>120</v>
      </c>
      <c r="H812" s="15" t="s">
        <v>1988</v>
      </c>
      <c r="I812" s="23" t="n">
        <v>195</v>
      </c>
      <c r="J812" s="15" t="s">
        <v>2191</v>
      </c>
      <c r="K812" s="15" t="s">
        <v>2192</v>
      </c>
      <c r="L812" s="15" t="s">
        <v>2184</v>
      </c>
      <c r="M812" s="15" t="s">
        <v>1478</v>
      </c>
      <c r="N812" s="15"/>
    </row>
    <row r="813" customFormat="false" ht="39" hidden="false" customHeight="true" outlineLevel="0" collapsed="false">
      <c r="A813" s="15" t="s">
        <v>3168</v>
      </c>
      <c r="B813" s="15" t="s">
        <v>312</v>
      </c>
      <c r="C813" s="15" t="s">
        <v>327</v>
      </c>
      <c r="D813" s="15" t="s">
        <v>2431</v>
      </c>
      <c r="E813" s="15" t="s">
        <v>2234</v>
      </c>
      <c r="F813" s="15" t="s">
        <v>2190</v>
      </c>
      <c r="G813" s="15" t="s">
        <v>120</v>
      </c>
      <c r="H813" s="15" t="s">
        <v>1988</v>
      </c>
      <c r="I813" s="23" t="n">
        <v>195</v>
      </c>
      <c r="J813" s="15" t="s">
        <v>2191</v>
      </c>
      <c r="K813" s="15" t="s">
        <v>2192</v>
      </c>
      <c r="L813" s="15" t="s">
        <v>2184</v>
      </c>
      <c r="M813" s="15" t="s">
        <v>1478</v>
      </c>
      <c r="N813" s="15"/>
    </row>
    <row r="814" customFormat="false" ht="39" hidden="false" customHeight="true" outlineLevel="0" collapsed="false">
      <c r="A814" s="15" t="s">
        <v>3169</v>
      </c>
      <c r="B814" s="15" t="s">
        <v>312</v>
      </c>
      <c r="C814" s="15" t="s">
        <v>327</v>
      </c>
      <c r="D814" s="15" t="s">
        <v>2435</v>
      </c>
      <c r="E814" s="15" t="s">
        <v>2234</v>
      </c>
      <c r="F814" s="15" t="s">
        <v>2190</v>
      </c>
      <c r="G814" s="15" t="s">
        <v>120</v>
      </c>
      <c r="H814" s="15" t="s">
        <v>1988</v>
      </c>
      <c r="I814" s="23" t="n">
        <v>190</v>
      </c>
      <c r="J814" s="15" t="s">
        <v>2191</v>
      </c>
      <c r="K814" s="15" t="s">
        <v>2192</v>
      </c>
      <c r="L814" s="15" t="s">
        <v>2184</v>
      </c>
      <c r="M814" s="15" t="s">
        <v>1478</v>
      </c>
      <c r="N814" s="15"/>
    </row>
    <row r="815" customFormat="false" ht="39" hidden="false" customHeight="true" outlineLevel="0" collapsed="false">
      <c r="A815" s="15" t="s">
        <v>3170</v>
      </c>
      <c r="B815" s="15" t="s">
        <v>312</v>
      </c>
      <c r="C815" s="15" t="s">
        <v>327</v>
      </c>
      <c r="D815" s="15" t="s">
        <v>2437</v>
      </c>
      <c r="E815" s="15" t="s">
        <v>2234</v>
      </c>
      <c r="F815" s="15" t="s">
        <v>2190</v>
      </c>
      <c r="G815" s="15" t="s">
        <v>120</v>
      </c>
      <c r="H815" s="15" t="s">
        <v>1988</v>
      </c>
      <c r="I815" s="23" t="n">
        <v>177</v>
      </c>
      <c r="J815" s="15" t="s">
        <v>2191</v>
      </c>
      <c r="K815" s="15" t="s">
        <v>2192</v>
      </c>
      <c r="L815" s="15" t="s">
        <v>2184</v>
      </c>
      <c r="M815" s="15" t="s">
        <v>1478</v>
      </c>
      <c r="N815" s="15"/>
    </row>
    <row r="816" customFormat="false" ht="39" hidden="false" customHeight="true" outlineLevel="0" collapsed="false">
      <c r="A816" s="15" t="s">
        <v>3171</v>
      </c>
      <c r="B816" s="15" t="s">
        <v>312</v>
      </c>
      <c r="C816" s="15" t="s">
        <v>327</v>
      </c>
      <c r="D816" s="15" t="s">
        <v>2439</v>
      </c>
      <c r="E816" s="15" t="s">
        <v>2234</v>
      </c>
      <c r="F816" s="15" t="s">
        <v>2190</v>
      </c>
      <c r="G816" s="15" t="s">
        <v>120</v>
      </c>
      <c r="H816" s="15" t="s">
        <v>1988</v>
      </c>
      <c r="I816" s="23" t="n">
        <v>174</v>
      </c>
      <c r="J816" s="15" t="s">
        <v>2191</v>
      </c>
      <c r="K816" s="15" t="s">
        <v>2192</v>
      </c>
      <c r="L816" s="15" t="s">
        <v>2184</v>
      </c>
      <c r="M816" s="15" t="s">
        <v>1478</v>
      </c>
      <c r="N816" s="15"/>
    </row>
    <row r="817" customFormat="false" ht="39" hidden="false" customHeight="true" outlineLevel="0" collapsed="false">
      <c r="A817" s="15" t="s">
        <v>3172</v>
      </c>
      <c r="B817" s="15" t="s">
        <v>312</v>
      </c>
      <c r="C817" s="15" t="s">
        <v>327</v>
      </c>
      <c r="D817" s="15" t="s">
        <v>2441</v>
      </c>
      <c r="E817" s="15" t="s">
        <v>2234</v>
      </c>
      <c r="F817" s="15" t="s">
        <v>2190</v>
      </c>
      <c r="G817" s="15" t="s">
        <v>120</v>
      </c>
      <c r="H817" s="15" t="s">
        <v>1988</v>
      </c>
      <c r="I817" s="23" t="n">
        <v>159</v>
      </c>
      <c r="J817" s="15" t="s">
        <v>2191</v>
      </c>
      <c r="K817" s="15" t="s">
        <v>2192</v>
      </c>
      <c r="L817" s="15" t="s">
        <v>2184</v>
      </c>
      <c r="M817" s="15" t="s">
        <v>1478</v>
      </c>
      <c r="N817" s="15"/>
    </row>
    <row r="818" customFormat="false" ht="39" hidden="false" customHeight="true" outlineLevel="0" collapsed="false">
      <c r="A818" s="15" t="s">
        <v>3173</v>
      </c>
      <c r="B818" s="15" t="s">
        <v>312</v>
      </c>
      <c r="C818" s="15" t="s">
        <v>327</v>
      </c>
      <c r="D818" s="15" t="s">
        <v>2443</v>
      </c>
      <c r="E818" s="15" t="s">
        <v>2234</v>
      </c>
      <c r="F818" s="15" t="s">
        <v>2190</v>
      </c>
      <c r="G818" s="15" t="s">
        <v>120</v>
      </c>
      <c r="H818" s="15" t="s">
        <v>1988</v>
      </c>
      <c r="I818" s="23" t="n">
        <v>99</v>
      </c>
      <c r="J818" s="15" t="s">
        <v>2191</v>
      </c>
      <c r="K818" s="15" t="s">
        <v>2192</v>
      </c>
      <c r="L818" s="15" t="s">
        <v>2184</v>
      </c>
      <c r="M818" s="15" t="s">
        <v>1478</v>
      </c>
      <c r="N818" s="15"/>
    </row>
    <row r="819" customFormat="false" ht="39" hidden="false" customHeight="true" outlineLevel="0" collapsed="false">
      <c r="A819" s="15" t="s">
        <v>3174</v>
      </c>
      <c r="B819" s="15" t="s">
        <v>312</v>
      </c>
      <c r="C819" s="15" t="s">
        <v>327</v>
      </c>
      <c r="D819" s="15" t="s">
        <v>2445</v>
      </c>
      <c r="E819" s="15" t="s">
        <v>2234</v>
      </c>
      <c r="F819" s="15" t="s">
        <v>2190</v>
      </c>
      <c r="G819" s="15" t="s">
        <v>120</v>
      </c>
      <c r="H819" s="15" t="s">
        <v>1988</v>
      </c>
      <c r="I819" s="23" t="n">
        <v>43</v>
      </c>
      <c r="J819" s="15" t="s">
        <v>2191</v>
      </c>
      <c r="K819" s="15" t="s">
        <v>2192</v>
      </c>
      <c r="L819" s="15" t="s">
        <v>2184</v>
      </c>
      <c r="M819" s="15" t="s">
        <v>1478</v>
      </c>
      <c r="N819" s="15"/>
    </row>
    <row r="820" customFormat="false" ht="39" hidden="false" customHeight="true" outlineLevel="0" collapsed="false">
      <c r="A820" s="15" t="s">
        <v>3175</v>
      </c>
      <c r="B820" s="15" t="s">
        <v>312</v>
      </c>
      <c r="C820" s="15" t="s">
        <v>327</v>
      </c>
      <c r="D820" s="15" t="s">
        <v>2447</v>
      </c>
      <c r="E820" s="15" t="s">
        <v>2234</v>
      </c>
      <c r="F820" s="15" t="s">
        <v>2190</v>
      </c>
      <c r="G820" s="15" t="s">
        <v>120</v>
      </c>
      <c r="H820" s="15" t="s">
        <v>1988</v>
      </c>
      <c r="I820" s="23" t="n">
        <v>30</v>
      </c>
      <c r="J820" s="15" t="s">
        <v>2191</v>
      </c>
      <c r="K820" s="15" t="s">
        <v>2192</v>
      </c>
      <c r="L820" s="15" t="s">
        <v>2184</v>
      </c>
      <c r="M820" s="15" t="s">
        <v>1478</v>
      </c>
      <c r="N820" s="15"/>
    </row>
  </sheetData>
  <autoFilter ref="A1:N820"/>
  <dataValidations count="1">
    <dataValidation allowBlank="true" errorStyle="stop" operator="between" showDropDown="false" showErrorMessage="false" showInputMessage="false" sqref="H2:H500" type="list">
      <formula1>"same,close,partial,cosmetic only,n/a"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2026-10-25T07:30:55Z</dcterms:created>
  <dc:creator>openpyxl</dc:creator>
  <dc:description/>
  <dc:language>en-US</dc:language>
  <cp:lastModifiedBy/>
  <dcterms:modified xsi:type="dcterms:W3CDTF">2026-10-25T07:31:03Z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